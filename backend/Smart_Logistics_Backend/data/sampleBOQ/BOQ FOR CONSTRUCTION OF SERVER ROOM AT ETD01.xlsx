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00.xml" ContentType="application/vnd.openxmlformats-officedocument.spreadsheetml.externalLink+xml"/>
  <Override PartName="/xl/externalLinks/externalLink301.xml" ContentType="application/vnd.openxmlformats-officedocument.spreadsheetml.externalLink+xml"/>
  <Override PartName="/xl/externalLinks/externalLink302.xml" ContentType="application/vnd.openxmlformats-officedocument.spreadsheetml.externalLink+xml"/>
  <Override PartName="/xl/externalLinks/externalLink303.xml" ContentType="application/vnd.openxmlformats-officedocument.spreadsheetml.externalLink+xml"/>
  <Override PartName="/xl/externalLinks/externalLink304.xml" ContentType="application/vnd.openxmlformats-officedocument.spreadsheetml.externalLink+xml"/>
  <Override PartName="/xl/externalLinks/externalLink305.xml" ContentType="application/vnd.openxmlformats-officedocument.spreadsheetml.externalLink+xml"/>
  <Override PartName="/xl/externalLinks/externalLink306.xml" ContentType="application/vnd.openxmlformats-officedocument.spreadsheetml.externalLink+xml"/>
  <Override PartName="/xl/externalLinks/externalLink307.xml" ContentType="application/vnd.openxmlformats-officedocument.spreadsheetml.externalLink+xml"/>
  <Override PartName="/xl/externalLinks/externalLink308.xml" ContentType="application/vnd.openxmlformats-officedocument.spreadsheetml.externalLink+xml"/>
  <Override PartName="/xl/externalLinks/externalLink309.xml" ContentType="application/vnd.openxmlformats-officedocument.spreadsheetml.externalLink+xml"/>
  <Override PartName="/xl/externalLinks/externalLink31.xml" ContentType="application/vnd.openxmlformats-officedocument.spreadsheetml.externalLink+xml"/>
  <Override PartName="/xl/externalLinks/externalLink310.xml" ContentType="application/vnd.openxmlformats-officedocument.spreadsheetml.externalLink+xml"/>
  <Override PartName="/xl/externalLinks/externalLink311.xml" ContentType="application/vnd.openxmlformats-officedocument.spreadsheetml.externalLink+xml"/>
  <Override PartName="/xl/externalLinks/externalLink312.xml" ContentType="application/vnd.openxmlformats-officedocument.spreadsheetml.externalLink+xml"/>
  <Override PartName="/xl/externalLinks/externalLink313.xml" ContentType="application/vnd.openxmlformats-officedocument.spreadsheetml.externalLink+xml"/>
  <Override PartName="/xl/externalLinks/externalLink314.xml" ContentType="application/vnd.openxmlformats-officedocument.spreadsheetml.externalLink+xml"/>
  <Override PartName="/xl/externalLinks/externalLink315.xml" ContentType="application/vnd.openxmlformats-officedocument.spreadsheetml.externalLink+xml"/>
  <Override PartName="/xl/externalLinks/externalLink316.xml" ContentType="application/vnd.openxmlformats-officedocument.spreadsheetml.externalLink+xml"/>
  <Override PartName="/xl/externalLinks/externalLink317.xml" ContentType="application/vnd.openxmlformats-officedocument.spreadsheetml.externalLink+xml"/>
  <Override PartName="/xl/externalLinks/externalLink318.xml" ContentType="application/vnd.openxmlformats-officedocument.spreadsheetml.externalLink+xml"/>
  <Override PartName="/xl/externalLinks/externalLink319.xml" ContentType="application/vnd.openxmlformats-officedocument.spreadsheetml.externalLink+xml"/>
  <Override PartName="/xl/externalLinks/externalLink32.xml" ContentType="application/vnd.openxmlformats-officedocument.spreadsheetml.externalLink+xml"/>
  <Override PartName="/xl/externalLinks/externalLink320.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20"/>
  </bookViews>
  <sheets>
    <sheet name="ETD01" sheetId="5" r:id="rId1"/>
    <sheet name="Rates" sheetId="6" r:id="rId2"/>
    <sheet name="Rate beak up" sheetId="7" r:id="rId3"/>
    <sheet name="Sheet1" sheetId="8" r:id="rId4"/>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s>
  <definedNames>
    <definedName name="_xlnm.Print_Area" localSheetId="0">'ETD01'!$A$1:$J$48</definedName>
    <definedName name="\b">#N/A</definedName>
    <definedName name="\G">#REF!</definedName>
    <definedName name="\gvfbd">#REF!</definedName>
    <definedName name="\gzfbhxcn">#REF!</definedName>
    <definedName name="\i">#N/A</definedName>
    <definedName name="\j">#N/A</definedName>
    <definedName name="\k">#N/A</definedName>
    <definedName name="\m">#N/A</definedName>
    <definedName name="\n">#N/A</definedName>
    <definedName name="\u">#N/A</definedName>
    <definedName name="\V">#REF!</definedName>
    <definedName name="\w">#N/A</definedName>
    <definedName name="\Y">#REF!</definedName>
    <definedName name="__">[2]total!#REF!</definedName>
    <definedName name="____">#REF!</definedName>
    <definedName name="__________">#REF!</definedName>
    <definedName name="_____________________________TP2">#REF!</definedName>
    <definedName name="____________________________str1">#REF!</definedName>
    <definedName name="____________________________str2">#REF!</definedName>
    <definedName name="____________________________str3">#REF!</definedName>
    <definedName name="____________________________sw1">#REF!</definedName>
    <definedName name="____________________________sw2">#REF!</definedName>
    <definedName name="____________________________sw3">#REF!</definedName>
    <definedName name="____________________________sw4">#REF!</definedName>
    <definedName name="____________________________sw5">#REF!</definedName>
    <definedName name="____________________________sw6">#REF!</definedName>
    <definedName name="____________________________sw7">#REF!</definedName>
    <definedName name="____________________________sw8">#REF!</definedName>
    <definedName name="___________________________BOX2">#REF!</definedName>
    <definedName name="___________________________CAL1">#REF!</definedName>
    <definedName name="___________________________CAL10">#REF!</definedName>
    <definedName name="___________________________CAL11">#REF!</definedName>
    <definedName name="___________________________CAL12">#REF!</definedName>
    <definedName name="___________________________CAL13">#REF!</definedName>
    <definedName name="___________________________CAL14">#REF!</definedName>
    <definedName name="___________________________CAL15">#REF!</definedName>
    <definedName name="___________________________CAL16">#REF!</definedName>
    <definedName name="___________________________CAL2">#REF!</definedName>
    <definedName name="___________________________CAL3">#REF!</definedName>
    <definedName name="___________________________CAL4">#REF!</definedName>
    <definedName name="___________________________CAL5">#REF!</definedName>
    <definedName name="___________________________CAL6">#REF!</definedName>
    <definedName name="___________________________CAL7">#REF!</definedName>
    <definedName name="___________________________CAL8">#REF!</definedName>
    <definedName name="___________________________CAL9">#REF!</definedName>
    <definedName name="___________________________SFL1">#REF!</definedName>
    <definedName name="___________________________SFL2">#REF!</definedName>
    <definedName name="___________________________SFL3">#REF!</definedName>
    <definedName name="___________________________SFM1">#REF!</definedName>
    <definedName name="___________________________SFM2">#REF!</definedName>
    <definedName name="___________________________SFM3">#REF!</definedName>
    <definedName name="___________________________SFM4">#REF!</definedName>
    <definedName name="___________________________SFM5">#REF!</definedName>
    <definedName name="___________________________SFM6">#REF!</definedName>
    <definedName name="___________________________SFM7">#REF!</definedName>
    <definedName name="___________________________SFQ1">#REF!</definedName>
    <definedName name="___________________________SFQ3">#REF!</definedName>
    <definedName name="___________________________SFQ4">#REF!</definedName>
    <definedName name="___________________________SUM1">#REF!</definedName>
    <definedName name="___________________________SUM2">#REF!</definedName>
    <definedName name="___________________________SUM3">#REF!</definedName>
    <definedName name="___________________________sw1">#REF!</definedName>
    <definedName name="___________________________sw2">#REF!</definedName>
    <definedName name="___________________________sw3">#REF!</definedName>
    <definedName name="___________________________sw4">#REF!</definedName>
    <definedName name="___________________________sw5">#REF!</definedName>
    <definedName name="___________________________sw6">#REF!</definedName>
    <definedName name="___________________________sw7">#REF!</definedName>
    <definedName name="___________________________sw8">#REF!</definedName>
    <definedName name="___________________________TOP2">#REF!</definedName>
    <definedName name="___________________________TP2">#REF!</definedName>
    <definedName name="__________________________BOX2">#REF!</definedName>
    <definedName name="__________________________CAL1">#REF!</definedName>
    <definedName name="__________________________CAL10">#REF!</definedName>
    <definedName name="__________________________CAL11">#REF!</definedName>
    <definedName name="__________________________CAL12">#REF!</definedName>
    <definedName name="__________________________CAL13">#REF!</definedName>
    <definedName name="__________________________CAL14">#REF!</definedName>
    <definedName name="__________________________CAL15">#REF!</definedName>
    <definedName name="__________________________CAL16">#REF!</definedName>
    <definedName name="__________________________CAL2">#REF!</definedName>
    <definedName name="__________________________CAL3">#REF!</definedName>
    <definedName name="__________________________CAL4">#REF!</definedName>
    <definedName name="__________________________CAL5">#REF!</definedName>
    <definedName name="__________________________CAL6">#REF!</definedName>
    <definedName name="__________________________CAL7">#REF!</definedName>
    <definedName name="__________________________CAL8">#REF!</definedName>
    <definedName name="__________________________CAL9">#REF!</definedName>
    <definedName name="__________________________SFL1">#REF!</definedName>
    <definedName name="__________________________SFL2">#REF!</definedName>
    <definedName name="__________________________SFL3">#REF!</definedName>
    <definedName name="__________________________SFM1">#REF!</definedName>
    <definedName name="__________________________SFM2">#REF!</definedName>
    <definedName name="__________________________SFM3">#REF!</definedName>
    <definedName name="__________________________SFM4">#REF!</definedName>
    <definedName name="__________________________SFM5">#REF!</definedName>
    <definedName name="__________________________SFM6">#REF!</definedName>
    <definedName name="__________________________SFM7">#REF!</definedName>
    <definedName name="__________________________SFQ1">#REF!</definedName>
    <definedName name="__________________________SFQ2">#REF!</definedName>
    <definedName name="__________________________SFQ3">#REF!</definedName>
    <definedName name="__________________________SFQ4">#REF!</definedName>
    <definedName name="__________________________str1">#REF!</definedName>
    <definedName name="__________________________str2">#REF!</definedName>
    <definedName name="__________________________str3">#REF!</definedName>
    <definedName name="__________________________SUM1">#REF!</definedName>
    <definedName name="__________________________SUM2">#REF!</definedName>
    <definedName name="__________________________SUM3">#REF!</definedName>
    <definedName name="__________________________TOP2">#REF!</definedName>
    <definedName name="__________________________TP2">#REF!</definedName>
    <definedName name="__________________________WD2">#REF!</definedName>
    <definedName name="_________________________BOX2">#REF!</definedName>
    <definedName name="_________________________CAL1">#REF!</definedName>
    <definedName name="_________________________CAL10">#REF!</definedName>
    <definedName name="_________________________CAL11">#REF!</definedName>
    <definedName name="_________________________CAL12">#REF!</definedName>
    <definedName name="_________________________CAL13">#REF!</definedName>
    <definedName name="_________________________CAL14">#REF!</definedName>
    <definedName name="_________________________CAL15">#REF!</definedName>
    <definedName name="_________________________CAL16">#REF!</definedName>
    <definedName name="_________________________CAL2">#REF!</definedName>
    <definedName name="_________________________CAL3">#REF!</definedName>
    <definedName name="_________________________CAL4">#REF!</definedName>
    <definedName name="_________________________CAL5">#REF!</definedName>
    <definedName name="_________________________CAL6">#REF!</definedName>
    <definedName name="_________________________CAL7">#REF!</definedName>
    <definedName name="_________________________CAL8">#REF!</definedName>
    <definedName name="_________________________CAL9">#REF!</definedName>
    <definedName name="_________________________SFL1">#REF!</definedName>
    <definedName name="_________________________SFL2">#REF!</definedName>
    <definedName name="_________________________SFL3">#REF!</definedName>
    <definedName name="_________________________SFM1">#REF!</definedName>
    <definedName name="_________________________SFM2">#REF!</definedName>
    <definedName name="_________________________SFM3">#REF!</definedName>
    <definedName name="_________________________SFM4">#REF!</definedName>
    <definedName name="_________________________SFM5">#REF!</definedName>
    <definedName name="_________________________SFM6">#REF!</definedName>
    <definedName name="_________________________SFM7">#REF!</definedName>
    <definedName name="_________________________SFQ1">#REF!</definedName>
    <definedName name="_________________________SFQ2">#REF!</definedName>
    <definedName name="_________________________SFQ3">#REF!</definedName>
    <definedName name="_________________________SFQ4">#REF!</definedName>
    <definedName name="_________________________str1">#REF!</definedName>
    <definedName name="_________________________str2">#REF!</definedName>
    <definedName name="_________________________str3">#REF!</definedName>
    <definedName name="_________________________SUM1">#REF!</definedName>
    <definedName name="_________________________SUM2">#REF!</definedName>
    <definedName name="_________________________SUM3">#REF!</definedName>
    <definedName name="_________________________sw1">#REF!</definedName>
    <definedName name="_________________________sw2">#REF!</definedName>
    <definedName name="_________________________sw3">#REF!</definedName>
    <definedName name="_________________________sw4">#REF!</definedName>
    <definedName name="_________________________sw5">#REF!</definedName>
    <definedName name="_________________________sw6">#REF!</definedName>
    <definedName name="_________________________sw7">#REF!</definedName>
    <definedName name="_________________________sw8">#REF!</definedName>
    <definedName name="_________________________TOP2">#REF!</definedName>
    <definedName name="_________________________TP2">#REF!</definedName>
    <definedName name="_________________________WD2">#REF!</definedName>
    <definedName name="________________________BOX2">#REF!</definedName>
    <definedName name="________________________CAL1">#REF!</definedName>
    <definedName name="________________________CAL10">#REF!</definedName>
    <definedName name="________________________CAL11">#REF!</definedName>
    <definedName name="________________________CAL12">#REF!</definedName>
    <definedName name="________________________CAL13">#REF!</definedName>
    <definedName name="________________________CAL14">#REF!</definedName>
    <definedName name="________________________CAL15">#REF!</definedName>
    <definedName name="________________________CAL16">#REF!</definedName>
    <definedName name="________________________CAL2">#REF!</definedName>
    <definedName name="________________________CAL3">#REF!</definedName>
    <definedName name="________________________CAL4">#REF!</definedName>
    <definedName name="________________________CAL5">#REF!</definedName>
    <definedName name="________________________CAL6">#REF!</definedName>
    <definedName name="________________________CAL7">#REF!</definedName>
    <definedName name="________________________CAL8">#REF!</definedName>
    <definedName name="________________________CAL9">#REF!</definedName>
    <definedName name="________________________SFL1">#REF!</definedName>
    <definedName name="________________________SFL2">#REF!</definedName>
    <definedName name="________________________SFL3">#REF!</definedName>
    <definedName name="________________________SFM1">#REF!</definedName>
    <definedName name="________________________SFM2">#REF!</definedName>
    <definedName name="________________________SFM3">#REF!</definedName>
    <definedName name="________________________SFM4">#REF!</definedName>
    <definedName name="________________________SFM5">#REF!</definedName>
    <definedName name="________________________SFM6">#REF!</definedName>
    <definedName name="________________________SFM7">#REF!</definedName>
    <definedName name="________________________SFQ1">#REF!</definedName>
    <definedName name="________________________SFQ2">#REF!</definedName>
    <definedName name="________________________SFQ3">#REF!</definedName>
    <definedName name="________________________SFQ4">#REF!</definedName>
    <definedName name="________________________str1">#REF!</definedName>
    <definedName name="________________________str2">#REF!</definedName>
    <definedName name="________________________str3">#REF!</definedName>
    <definedName name="________________________SUM1">#REF!</definedName>
    <definedName name="________________________SUM2">#REF!</definedName>
    <definedName name="________________________SUM3">#REF!</definedName>
    <definedName name="________________________TOP2">#REF!</definedName>
    <definedName name="________________________TP2">#REF!</definedName>
    <definedName name="________________________WD2">#REF!</definedName>
    <definedName name="_______________________BOX2">#REF!</definedName>
    <definedName name="_______________________CAL1">#REF!</definedName>
    <definedName name="_______________________CAL10">#REF!</definedName>
    <definedName name="_______________________CAL11">#REF!</definedName>
    <definedName name="_______________________CAL12">#REF!</definedName>
    <definedName name="_______________________CAL13">#REF!</definedName>
    <definedName name="_______________________CAL14">#REF!</definedName>
    <definedName name="_______________________CAL15">#REF!</definedName>
    <definedName name="_______________________CAL16">#REF!</definedName>
    <definedName name="_______________________CAL2">#REF!</definedName>
    <definedName name="_______________________CAL3">#REF!</definedName>
    <definedName name="_______________________CAL4">#REF!</definedName>
    <definedName name="_______________________CAL5">#REF!</definedName>
    <definedName name="_______________________CAL6">#REF!</definedName>
    <definedName name="_______________________CAL7">#REF!</definedName>
    <definedName name="_______________________CAL8">#REF!</definedName>
    <definedName name="_______________________CAL9">#REF!</definedName>
    <definedName name="_______________________SFL1">#REF!</definedName>
    <definedName name="_______________________SFL2">#REF!</definedName>
    <definedName name="_______________________SFL3">#REF!</definedName>
    <definedName name="_______________________SFM1">#REF!</definedName>
    <definedName name="_______________________SFM2">#REF!</definedName>
    <definedName name="_______________________SFM3">#REF!</definedName>
    <definedName name="_______________________SFM4">#REF!</definedName>
    <definedName name="_______________________SFM5">#REF!</definedName>
    <definedName name="_______________________SFM6">#REF!</definedName>
    <definedName name="_______________________SFM7">#REF!</definedName>
    <definedName name="_______________________SFQ1">#REF!</definedName>
    <definedName name="_______________________SFQ2">#REF!</definedName>
    <definedName name="_______________________SFQ3">#REF!</definedName>
    <definedName name="_______________________SFQ4">#REF!</definedName>
    <definedName name="_______________________str1">#REF!</definedName>
    <definedName name="_______________________str2">#REF!</definedName>
    <definedName name="_______________________str3">#REF!</definedName>
    <definedName name="_______________________SUM1">#REF!</definedName>
    <definedName name="_______________________SUM2">#REF!</definedName>
    <definedName name="_______________________sum4" hidden="1">{#N/A,#N/A,FALSE,"Sub2.1";#N/A,#N/A,FALSE,"Conc2.2";#N/A,#N/A,FALSE,"Block2.3";#N/A,#N/A,FALSE,"Roof2.4";#N/A,#N/A,FALSE,"wood2.5";#N/A,#N/A,FALSE,"Door2.6";#N/A,#N/A,FALSE,"Finish2.7";#N/A,#N/A,FALSE,"Service2.8";#N/A,#N/A,FALSE,"Summary2"}</definedName>
    <definedName name="_______________________sum5" hidden="1">{#N/A,#N/A,FALSE,"Sub2.1";#N/A,#N/A,FALSE,"Conc2.2";#N/A,#N/A,FALSE,"Block2.3";#N/A,#N/A,FALSE,"Roof2.4";#N/A,#N/A,FALSE,"wood2.5";#N/A,#N/A,FALSE,"Door2.6";#N/A,#N/A,FALSE,"Finish2.7";#N/A,#N/A,FALSE,"Service2.8";#N/A,#N/A,FALSE,"Summary2"}</definedName>
    <definedName name="_______________________sum6" hidden="1">{#N/A,#N/A,FALSE,"Sub2.1";#N/A,#N/A,FALSE,"Conc2.2";#N/A,#N/A,FALSE,"Block2.3";#N/A,#N/A,FALSE,"Roof2.4";#N/A,#N/A,FALSE,"wood2.5";#N/A,#N/A,FALSE,"Door2.6";#N/A,#N/A,FALSE,"Finish2.7";#N/A,#N/A,FALSE,"Service2.8";#N/A,#N/A,FALSE,"Summary2"}</definedName>
    <definedName name="_______________________sw1">#REF!</definedName>
    <definedName name="_______________________sw2">#REF!</definedName>
    <definedName name="_______________________sw3">#REF!</definedName>
    <definedName name="_______________________sw4">#REF!</definedName>
    <definedName name="_______________________sw5">#REF!</definedName>
    <definedName name="_______________________sw6">#REF!</definedName>
    <definedName name="_______________________sw7">#REF!</definedName>
    <definedName name="_______________________sw8">#REF!</definedName>
    <definedName name="_______________________TOP2">#REF!</definedName>
    <definedName name="_______________________TP2">#REF!</definedName>
    <definedName name="_______________________WD2">#REF!</definedName>
    <definedName name="______________________BOX2">#REF!</definedName>
    <definedName name="______________________CAL1">#REF!</definedName>
    <definedName name="______________________CAL10">#REF!</definedName>
    <definedName name="______________________CAL11">#REF!</definedName>
    <definedName name="______________________CAL12">#REF!</definedName>
    <definedName name="______________________CAL13">#REF!</definedName>
    <definedName name="______________________CAL14">#REF!</definedName>
    <definedName name="______________________CAL15">#REF!</definedName>
    <definedName name="______________________CAL16">#REF!</definedName>
    <definedName name="______________________CAL2">#REF!</definedName>
    <definedName name="______________________CAL3">#REF!</definedName>
    <definedName name="______________________CAL4">#REF!</definedName>
    <definedName name="______________________CAL5">#REF!</definedName>
    <definedName name="______________________CAL6">#REF!</definedName>
    <definedName name="______________________CAL7">#REF!</definedName>
    <definedName name="______________________CAL8">#REF!</definedName>
    <definedName name="______________________CAL9">#REF!</definedName>
    <definedName name="______________________SFL1">#REF!</definedName>
    <definedName name="______________________SFL2">#REF!</definedName>
    <definedName name="______________________SFL3">#REF!</definedName>
    <definedName name="______________________SFM1">#REF!</definedName>
    <definedName name="______________________SFM2">#REF!</definedName>
    <definedName name="______________________SFM3">#REF!</definedName>
    <definedName name="______________________SFM4">#REF!</definedName>
    <definedName name="______________________SFM5">#REF!</definedName>
    <definedName name="______________________SFM6">#REF!</definedName>
    <definedName name="______________________SFM7">#REF!</definedName>
    <definedName name="______________________SFQ1">#REF!</definedName>
    <definedName name="______________________SFQ2">#REF!</definedName>
    <definedName name="______________________SFQ3">#REF!</definedName>
    <definedName name="______________________SFQ4">#REF!</definedName>
    <definedName name="______________________str1">#REF!</definedName>
    <definedName name="______________________str2">#REF!</definedName>
    <definedName name="______________________str3">#REF!</definedName>
    <definedName name="______________________SUM1">#REF!</definedName>
    <definedName name="______________________SUM2">#REF!</definedName>
    <definedName name="______________________sum4" hidden="1">{#N/A,#N/A,FALSE,"Sub2.1";#N/A,#N/A,FALSE,"Conc2.2";#N/A,#N/A,FALSE,"Block2.3";#N/A,#N/A,FALSE,"Roof2.4";#N/A,#N/A,FALSE,"wood2.5";#N/A,#N/A,FALSE,"Door2.6";#N/A,#N/A,FALSE,"Finish2.7";#N/A,#N/A,FALSE,"Service2.8";#N/A,#N/A,FALSE,"Summary2"}</definedName>
    <definedName name="______________________sum5" hidden="1">{#N/A,#N/A,FALSE,"Sub2.1";#N/A,#N/A,FALSE,"Conc2.2";#N/A,#N/A,FALSE,"Block2.3";#N/A,#N/A,FALSE,"Roof2.4";#N/A,#N/A,FALSE,"wood2.5";#N/A,#N/A,FALSE,"Door2.6";#N/A,#N/A,FALSE,"Finish2.7";#N/A,#N/A,FALSE,"Service2.8";#N/A,#N/A,FALSE,"Summary2"}</definedName>
    <definedName name="______________________sum6" hidden="1">{#N/A,#N/A,FALSE,"Sub2.1";#N/A,#N/A,FALSE,"Conc2.2";#N/A,#N/A,FALSE,"Block2.3";#N/A,#N/A,FALSE,"Roof2.4";#N/A,#N/A,FALSE,"wood2.5";#N/A,#N/A,FALSE,"Door2.6";#N/A,#N/A,FALSE,"Finish2.7";#N/A,#N/A,FALSE,"Service2.8";#N/A,#N/A,FALSE,"Summary2"}</definedName>
    <definedName name="______________________sw1">#REF!</definedName>
    <definedName name="______________________sw2">#REF!</definedName>
    <definedName name="______________________sw3">#REF!</definedName>
    <definedName name="______________________sw4">#REF!</definedName>
    <definedName name="______________________sw5">#REF!</definedName>
    <definedName name="______________________sw6">#REF!</definedName>
    <definedName name="______________________sw7">#REF!</definedName>
    <definedName name="______________________sw8">#REF!</definedName>
    <definedName name="______________________TOP2">#REF!</definedName>
    <definedName name="______________________TP2">#REF!</definedName>
    <definedName name="______________________WD2">#REF!</definedName>
    <definedName name="_____________________BOX2">#REF!</definedName>
    <definedName name="_____________________BVS4">'[3]Ra  stair'!#REF!</definedName>
    <definedName name="_____________________CAL1">#REF!</definedName>
    <definedName name="_____________________CAL10">#REF!</definedName>
    <definedName name="_____________________CAL11">#REF!</definedName>
    <definedName name="_____________________CAL12">#REF!</definedName>
    <definedName name="_____________________CAL13">#REF!</definedName>
    <definedName name="_____________________CAL14">#REF!</definedName>
    <definedName name="_____________________CAL15">#REF!</definedName>
    <definedName name="_____________________CAL16">#REF!</definedName>
    <definedName name="_____________________CAL2">#REF!</definedName>
    <definedName name="_____________________CAL3">#REF!</definedName>
    <definedName name="_____________________CAL4">#REF!</definedName>
    <definedName name="_____________________CAL5">#REF!</definedName>
    <definedName name="_____________________CAL6">#REF!</definedName>
    <definedName name="_____________________CAL7">#REF!</definedName>
    <definedName name="_____________________CAL8">#REF!</definedName>
    <definedName name="_____________________CAL9">#REF!</definedName>
    <definedName name="_____________________SFL1">#REF!</definedName>
    <definedName name="_____________________SFL2">#REF!</definedName>
    <definedName name="_____________________SFL3">#REF!</definedName>
    <definedName name="_____________________SFM1">#REF!</definedName>
    <definedName name="_____________________SFM2">#REF!</definedName>
    <definedName name="_____________________SFM3">#REF!</definedName>
    <definedName name="_____________________SFM4">#REF!</definedName>
    <definedName name="_____________________SFM5">#REF!</definedName>
    <definedName name="_____________________SFM6">#REF!</definedName>
    <definedName name="_____________________SFM7">#REF!</definedName>
    <definedName name="_____________________SFQ1">#REF!</definedName>
    <definedName name="_____________________SFQ2">#REF!</definedName>
    <definedName name="_____________________SFQ3">#REF!</definedName>
    <definedName name="_____________________SFQ4">#REF!</definedName>
    <definedName name="_____________________str1">#REF!</definedName>
    <definedName name="_____________________str2">#REF!</definedName>
    <definedName name="_____________________str3">#REF!</definedName>
    <definedName name="_____________________SUM1">#REF!</definedName>
    <definedName name="_____________________SUM2">#REF!</definedName>
    <definedName name="_____________________sum4" hidden="1">{#N/A,#N/A,FALSE,"Sub2.1";#N/A,#N/A,FALSE,"Conc2.2";#N/A,#N/A,FALSE,"Block2.3";#N/A,#N/A,FALSE,"Roof2.4";#N/A,#N/A,FALSE,"wood2.5";#N/A,#N/A,FALSE,"Door2.6";#N/A,#N/A,FALSE,"Finish2.7";#N/A,#N/A,FALSE,"Service2.8";#N/A,#N/A,FALSE,"Summary2"}</definedName>
    <definedName name="_____________________sum5" hidden="1">{#N/A,#N/A,FALSE,"Sub2.1";#N/A,#N/A,FALSE,"Conc2.2";#N/A,#N/A,FALSE,"Block2.3";#N/A,#N/A,FALSE,"Roof2.4";#N/A,#N/A,FALSE,"wood2.5";#N/A,#N/A,FALSE,"Door2.6";#N/A,#N/A,FALSE,"Finish2.7";#N/A,#N/A,FALSE,"Service2.8";#N/A,#N/A,FALSE,"Summary2"}</definedName>
    <definedName name="_____________________sum6" hidden="1">{#N/A,#N/A,FALSE,"Sub2.1";#N/A,#N/A,FALSE,"Conc2.2";#N/A,#N/A,FALSE,"Block2.3";#N/A,#N/A,FALSE,"Roof2.4";#N/A,#N/A,FALSE,"wood2.5";#N/A,#N/A,FALSE,"Door2.6";#N/A,#N/A,FALSE,"Finish2.7";#N/A,#N/A,FALSE,"Service2.8";#N/A,#N/A,FALSE,"Summary2"}</definedName>
    <definedName name="_____________________sw1">#REF!</definedName>
    <definedName name="_____________________sw2">#REF!</definedName>
    <definedName name="_____________________sw3">#REF!</definedName>
    <definedName name="_____________________sw4">#REF!</definedName>
    <definedName name="_____________________sw5">#REF!</definedName>
    <definedName name="_____________________sw6">#REF!</definedName>
    <definedName name="_____________________sw7">#REF!</definedName>
    <definedName name="_____________________sw8">#REF!</definedName>
    <definedName name="_____________________TOP2">#REF!</definedName>
    <definedName name="_____________________TP2">#REF!</definedName>
    <definedName name="_____________________WD2">#REF!</definedName>
    <definedName name="____________________BOX2">#REF!</definedName>
    <definedName name="____________________BVS4">'[3]Ra  stair'!#REF!</definedName>
    <definedName name="____________________CAL1">#REF!</definedName>
    <definedName name="____________________CAL10">#REF!</definedName>
    <definedName name="____________________CAL11">#REF!</definedName>
    <definedName name="____________________CAL12">#REF!</definedName>
    <definedName name="____________________CAL13">#REF!</definedName>
    <definedName name="____________________CAL14">#REF!</definedName>
    <definedName name="____________________CAL15">#REF!</definedName>
    <definedName name="____________________CAL16">#REF!</definedName>
    <definedName name="____________________CAL2">#REF!</definedName>
    <definedName name="____________________CAL3">#REF!</definedName>
    <definedName name="____________________CAL4">#REF!</definedName>
    <definedName name="____________________CAL5">#REF!</definedName>
    <definedName name="____________________CAL6">#REF!</definedName>
    <definedName name="____________________CAL7">#REF!</definedName>
    <definedName name="____________________CAL8">#REF!</definedName>
    <definedName name="____________________CAL9">#REF!</definedName>
    <definedName name="____________________sep3">'[4]13-septic'!#REF!</definedName>
    <definedName name="____________________SFL1">#REF!</definedName>
    <definedName name="____________________SFL2">#REF!</definedName>
    <definedName name="____________________SFL3">#REF!</definedName>
    <definedName name="____________________SFM1">#REF!</definedName>
    <definedName name="____________________SFM2">#REF!</definedName>
    <definedName name="____________________SFM3">#REF!</definedName>
    <definedName name="____________________SFM4">#REF!</definedName>
    <definedName name="____________________SFM5">#REF!</definedName>
    <definedName name="____________________SFM6">#REF!</definedName>
    <definedName name="____________________SFM7">#REF!</definedName>
    <definedName name="____________________SFQ1">#REF!</definedName>
    <definedName name="____________________SFQ2">#REF!</definedName>
    <definedName name="____________________SFQ3">#REF!</definedName>
    <definedName name="____________________SFQ4">#REF!</definedName>
    <definedName name="____________________str1">#REF!</definedName>
    <definedName name="____________________str2">#REF!</definedName>
    <definedName name="____________________str3">#REF!</definedName>
    <definedName name="____________________SUM1">#REF!</definedName>
    <definedName name="____________________SUM2">#REF!</definedName>
    <definedName name="____________________sum4" hidden="1">{#N/A,#N/A,FALSE,"Sub2.1";#N/A,#N/A,FALSE,"Conc2.2";#N/A,#N/A,FALSE,"Block2.3";#N/A,#N/A,FALSE,"Roof2.4";#N/A,#N/A,FALSE,"wood2.5";#N/A,#N/A,FALSE,"Door2.6";#N/A,#N/A,FALSE,"Finish2.7";#N/A,#N/A,FALSE,"Service2.8";#N/A,#N/A,FALSE,"Summary2"}</definedName>
    <definedName name="____________________sum5" hidden="1">{#N/A,#N/A,FALSE,"Sub2.1";#N/A,#N/A,FALSE,"Conc2.2";#N/A,#N/A,FALSE,"Block2.3";#N/A,#N/A,FALSE,"Roof2.4";#N/A,#N/A,FALSE,"wood2.5";#N/A,#N/A,FALSE,"Door2.6";#N/A,#N/A,FALSE,"Finish2.7";#N/A,#N/A,FALSE,"Service2.8";#N/A,#N/A,FALSE,"Summary2"}</definedName>
    <definedName name="____________________sum6" hidden="1">{#N/A,#N/A,FALSE,"Sub2.1";#N/A,#N/A,FALSE,"Conc2.2";#N/A,#N/A,FALSE,"Block2.3";#N/A,#N/A,FALSE,"Roof2.4";#N/A,#N/A,FALSE,"wood2.5";#N/A,#N/A,FALSE,"Door2.6";#N/A,#N/A,FALSE,"Finish2.7";#N/A,#N/A,FALSE,"Service2.8";#N/A,#N/A,FALSE,"Summary2"}</definedName>
    <definedName name="____________________sw1">#REF!</definedName>
    <definedName name="____________________sw2">#REF!</definedName>
    <definedName name="____________________sw3">#REF!</definedName>
    <definedName name="____________________sw4">#REF!</definedName>
    <definedName name="____________________sw5">#REF!</definedName>
    <definedName name="____________________sw6">#REF!</definedName>
    <definedName name="____________________sw7">#REF!</definedName>
    <definedName name="____________________sw8">#REF!</definedName>
    <definedName name="____________________TOP2">#REF!</definedName>
    <definedName name="____________________TP2">#REF!</definedName>
    <definedName name="____________________ugt3">'[4]7-ug'!#REF!</definedName>
    <definedName name="____________________utl3">'[4]2-utility'!#REF!</definedName>
    <definedName name="____________________WD2">#REF!</definedName>
    <definedName name="___________________BOX2">#REF!</definedName>
    <definedName name="___________________CAL1">#REF!</definedName>
    <definedName name="___________________CAL10">#REF!</definedName>
    <definedName name="___________________CAL11">#REF!</definedName>
    <definedName name="___________________CAL12">#REF!</definedName>
    <definedName name="___________________CAL13">#REF!</definedName>
    <definedName name="___________________CAL14">#REF!</definedName>
    <definedName name="___________________CAL15">#REF!</definedName>
    <definedName name="___________________CAL16">#REF!</definedName>
    <definedName name="___________________CAL2">#REF!</definedName>
    <definedName name="___________________CAL3">#REF!</definedName>
    <definedName name="___________________CAL4">#REF!</definedName>
    <definedName name="___________________CAL5">#REF!</definedName>
    <definedName name="___________________CAL6">#REF!</definedName>
    <definedName name="___________________CAL7">#REF!</definedName>
    <definedName name="___________________CAL8">#REF!</definedName>
    <definedName name="___________________CAL9">#REF!</definedName>
    <definedName name="___________________sep3">'[4]13-septic'!#REF!</definedName>
    <definedName name="___________________SFL1">#REF!</definedName>
    <definedName name="___________________SFL2">#REF!</definedName>
    <definedName name="___________________SFL3">#REF!</definedName>
    <definedName name="___________________SFM1">#REF!</definedName>
    <definedName name="___________________SFM2">#REF!</definedName>
    <definedName name="___________________SFM3">#REF!</definedName>
    <definedName name="___________________SFM4">#REF!</definedName>
    <definedName name="___________________SFM5">#REF!</definedName>
    <definedName name="___________________SFM6">#REF!</definedName>
    <definedName name="___________________SFM7">#REF!</definedName>
    <definedName name="___________________SFQ1">#REF!</definedName>
    <definedName name="___________________SFQ2">#REF!</definedName>
    <definedName name="___________________SFQ3">#REF!</definedName>
    <definedName name="___________________SFQ4">#REF!</definedName>
    <definedName name="___________________str1">#REF!</definedName>
    <definedName name="___________________str2">#REF!</definedName>
    <definedName name="___________________str3">#REF!</definedName>
    <definedName name="___________________SUM1">#REF!</definedName>
    <definedName name="___________________SUM2">#REF!</definedName>
    <definedName name="___________________sum4" hidden="1">{#N/A,#N/A,FALSE,"Sub2.1";#N/A,#N/A,FALSE,"Conc2.2";#N/A,#N/A,FALSE,"Block2.3";#N/A,#N/A,FALSE,"Roof2.4";#N/A,#N/A,FALSE,"wood2.5";#N/A,#N/A,FALSE,"Door2.6";#N/A,#N/A,FALSE,"Finish2.7";#N/A,#N/A,FALSE,"Service2.8";#N/A,#N/A,FALSE,"Summary2"}</definedName>
    <definedName name="___________________sum5" hidden="1">{#N/A,#N/A,FALSE,"Sub2.1";#N/A,#N/A,FALSE,"Conc2.2";#N/A,#N/A,FALSE,"Block2.3";#N/A,#N/A,FALSE,"Roof2.4";#N/A,#N/A,FALSE,"wood2.5";#N/A,#N/A,FALSE,"Door2.6";#N/A,#N/A,FALSE,"Finish2.7";#N/A,#N/A,FALSE,"Service2.8";#N/A,#N/A,FALSE,"Summary2"}</definedName>
    <definedName name="___________________sum6" hidden="1">{#N/A,#N/A,FALSE,"Sub2.1";#N/A,#N/A,FALSE,"Conc2.2";#N/A,#N/A,FALSE,"Block2.3";#N/A,#N/A,FALSE,"Roof2.4";#N/A,#N/A,FALSE,"wood2.5";#N/A,#N/A,FALSE,"Door2.6";#N/A,#N/A,FALSE,"Finish2.7";#N/A,#N/A,FALSE,"Service2.8";#N/A,#N/A,FALSE,"Summary2"}</definedName>
    <definedName name="___________________sw1">#REF!</definedName>
    <definedName name="___________________sw2">#REF!</definedName>
    <definedName name="___________________sw3">#REF!</definedName>
    <definedName name="___________________sw4">#REF!</definedName>
    <definedName name="___________________sw5">#REF!</definedName>
    <definedName name="___________________sw6">#REF!</definedName>
    <definedName name="___________________sw7">#REF!</definedName>
    <definedName name="___________________sw8">#REF!</definedName>
    <definedName name="___________________TOP2">#REF!</definedName>
    <definedName name="___________________TP2">#REF!</definedName>
    <definedName name="___________________ugt3">'[4]7-ug'!#REF!</definedName>
    <definedName name="___________________utl3">'[4]2-utility'!#REF!</definedName>
    <definedName name="___________________WD2">#REF!</definedName>
    <definedName name="__________________BOX2">#REF!</definedName>
    <definedName name="__________________BVS4">'[3]Ra  stair'!#REF!</definedName>
    <definedName name="__________________CAL1">#REF!</definedName>
    <definedName name="__________________CAL10">#REF!</definedName>
    <definedName name="__________________CAL11">#REF!</definedName>
    <definedName name="__________________CAL12">#REF!</definedName>
    <definedName name="__________________CAL13">#REF!</definedName>
    <definedName name="__________________CAL14">#REF!</definedName>
    <definedName name="__________________CAL15">#REF!</definedName>
    <definedName name="__________________CAL16">#REF!</definedName>
    <definedName name="__________________CAL2">#REF!</definedName>
    <definedName name="__________________CAL3">#REF!</definedName>
    <definedName name="__________________CAL4">#REF!</definedName>
    <definedName name="__________________CAL5">#REF!</definedName>
    <definedName name="__________________CAL6">#REF!</definedName>
    <definedName name="__________________CAL7">#REF!</definedName>
    <definedName name="__________________CAL8">#REF!</definedName>
    <definedName name="__________________CAL9">#REF!</definedName>
    <definedName name="__________________hsd3">'[4]11-hsd'!#REF!</definedName>
    <definedName name="__________________sep3">'[4]13-septic'!#REF!</definedName>
    <definedName name="__________________SFL1">#REF!</definedName>
    <definedName name="__________________SFL2">#REF!</definedName>
    <definedName name="__________________SFL3">#REF!</definedName>
    <definedName name="__________________SFM1">#REF!</definedName>
    <definedName name="__________________SFM2">#REF!</definedName>
    <definedName name="__________________SFM3">#REF!</definedName>
    <definedName name="__________________SFM4">#REF!</definedName>
    <definedName name="__________________SFM5">#REF!</definedName>
    <definedName name="__________________SFM6">#REF!</definedName>
    <definedName name="__________________SFM7">#REF!</definedName>
    <definedName name="__________________SFQ1">#REF!</definedName>
    <definedName name="__________________SFQ2">#REF!</definedName>
    <definedName name="__________________SFQ3">#REF!</definedName>
    <definedName name="__________________SFQ4">#REF!</definedName>
    <definedName name="__________________str1">#REF!</definedName>
    <definedName name="__________________str2">#REF!</definedName>
    <definedName name="__________________str3">#REF!</definedName>
    <definedName name="__________________SUM1">#REF!</definedName>
    <definedName name="__________________SUM2">#REF!</definedName>
    <definedName name="__________________sum4" hidden="1">{#N/A,#N/A,FALSE,"Sub2.1";#N/A,#N/A,FALSE,"Conc2.2";#N/A,#N/A,FALSE,"Block2.3";#N/A,#N/A,FALSE,"Roof2.4";#N/A,#N/A,FALSE,"wood2.5";#N/A,#N/A,FALSE,"Door2.6";#N/A,#N/A,FALSE,"Finish2.7";#N/A,#N/A,FALSE,"Service2.8";#N/A,#N/A,FALSE,"Summary2"}</definedName>
    <definedName name="__________________sum5" hidden="1">{#N/A,#N/A,FALSE,"Sub2.1";#N/A,#N/A,FALSE,"Conc2.2";#N/A,#N/A,FALSE,"Block2.3";#N/A,#N/A,FALSE,"Roof2.4";#N/A,#N/A,FALSE,"wood2.5";#N/A,#N/A,FALSE,"Door2.6";#N/A,#N/A,FALSE,"Finish2.7";#N/A,#N/A,FALSE,"Service2.8";#N/A,#N/A,FALSE,"Summary2"}</definedName>
    <definedName name="__________________sum6" hidden="1">{#N/A,#N/A,FALSE,"Sub2.1";#N/A,#N/A,FALSE,"Conc2.2";#N/A,#N/A,FALSE,"Block2.3";#N/A,#N/A,FALSE,"Roof2.4";#N/A,#N/A,FALSE,"wood2.5";#N/A,#N/A,FALSE,"Door2.6";#N/A,#N/A,FALSE,"Finish2.7";#N/A,#N/A,FALSE,"Service2.8";#N/A,#N/A,FALSE,"Summary2"}</definedName>
    <definedName name="__________________sw1">#REF!</definedName>
    <definedName name="__________________sw2">#REF!</definedName>
    <definedName name="__________________sw3">#REF!</definedName>
    <definedName name="__________________sw4">#REF!</definedName>
    <definedName name="__________________sw5">#REF!</definedName>
    <definedName name="__________________sw6">#REF!</definedName>
    <definedName name="__________________sw7">#REF!</definedName>
    <definedName name="__________________sw8">#REF!</definedName>
    <definedName name="__________________TOP2">#REF!</definedName>
    <definedName name="__________________TP2">#REF!</definedName>
    <definedName name="__________________ugt3">'[4]7-ug'!#REF!</definedName>
    <definedName name="__________________utl3">'[4]2-utility'!#REF!</definedName>
    <definedName name="__________________WD2">#REF!</definedName>
    <definedName name="_________________aac178">'[5]LTG-STG'!$E$82</definedName>
    <definedName name="_________________BLK2">'[6]BLK2'!$1:$1048576</definedName>
    <definedName name="_________________BLK3">'[6]BLK3'!$1:$1048576</definedName>
    <definedName name="_________________BOX2">#REF!</definedName>
    <definedName name="_________________CAL1">#REF!</definedName>
    <definedName name="_________________CAL10">#REF!</definedName>
    <definedName name="_________________CAL11">#REF!</definedName>
    <definedName name="_________________CAL12">#REF!</definedName>
    <definedName name="_________________CAL13">#REF!</definedName>
    <definedName name="_________________CAL14">#REF!</definedName>
    <definedName name="_________________CAL15">#REF!</definedName>
    <definedName name="_________________CAL16">#REF!</definedName>
    <definedName name="_________________CAL2">#REF!</definedName>
    <definedName name="_________________CAL3">#REF!</definedName>
    <definedName name="_________________CAL4">#REF!</definedName>
    <definedName name="_________________CAL5">#REF!</definedName>
    <definedName name="_________________CAL6">#REF!</definedName>
    <definedName name="_________________CAL7">#REF!</definedName>
    <definedName name="_________________CAL8">#REF!</definedName>
    <definedName name="_________________CAL9">#REF!</definedName>
    <definedName name="_________________hsd3">'[4]11-hsd'!#REF!</definedName>
    <definedName name="_________________MRS1">#REF!</definedName>
    <definedName name="_________________rf1484">[7]RA!$B$58</definedName>
    <definedName name="_________________sep3">'[4]13-septic'!#REF!</definedName>
    <definedName name="_________________SFL1">#REF!</definedName>
    <definedName name="_________________SFL2">#REF!</definedName>
    <definedName name="_________________SFL3">#REF!</definedName>
    <definedName name="_________________SFM1">#REF!</definedName>
    <definedName name="_________________SFM2">#REF!</definedName>
    <definedName name="_________________SFM3">#REF!</definedName>
    <definedName name="_________________SFM4">#REF!</definedName>
    <definedName name="_________________SFM5">#REF!</definedName>
    <definedName name="_________________SFM6">#REF!</definedName>
    <definedName name="_________________SFM7">#REF!</definedName>
    <definedName name="_________________SFQ1">#REF!</definedName>
    <definedName name="_________________SFQ2">#REF!</definedName>
    <definedName name="_________________SFQ3">#REF!</definedName>
    <definedName name="_________________SFQ4">#REF!</definedName>
    <definedName name="_________________snd1">#REF!</definedName>
    <definedName name="_________________str1">#REF!</definedName>
    <definedName name="_________________str2">#REF!</definedName>
    <definedName name="_________________str3">#REF!</definedName>
    <definedName name="_________________SUM1">#REF!</definedName>
    <definedName name="_________________SUM2">#REF!</definedName>
    <definedName name="_________________sum4" hidden="1">{#N/A,#N/A,FALSE,"Sub2.1";#N/A,#N/A,FALSE,"Conc2.2";#N/A,#N/A,FALSE,"Block2.3";#N/A,#N/A,FALSE,"Roof2.4";#N/A,#N/A,FALSE,"wood2.5";#N/A,#N/A,FALSE,"Door2.6";#N/A,#N/A,FALSE,"Finish2.7";#N/A,#N/A,FALSE,"Service2.8";#N/A,#N/A,FALSE,"Summary2"}</definedName>
    <definedName name="_________________sum5" hidden="1">{#N/A,#N/A,FALSE,"Sub2.1";#N/A,#N/A,FALSE,"Conc2.2";#N/A,#N/A,FALSE,"Block2.3";#N/A,#N/A,FALSE,"Roof2.4";#N/A,#N/A,FALSE,"wood2.5";#N/A,#N/A,FALSE,"Door2.6";#N/A,#N/A,FALSE,"Finish2.7";#N/A,#N/A,FALSE,"Service2.8";#N/A,#N/A,FALSE,"Summary2"}</definedName>
    <definedName name="_________________sum6" hidden="1">{#N/A,#N/A,FALSE,"Sub2.1";#N/A,#N/A,FALSE,"Conc2.2";#N/A,#N/A,FALSE,"Block2.3";#N/A,#N/A,FALSE,"Roof2.4";#N/A,#N/A,FALSE,"wood2.5";#N/A,#N/A,FALSE,"Door2.6";#N/A,#N/A,FALSE,"Finish2.7";#N/A,#N/A,FALSE,"Service2.8";#N/A,#N/A,FALSE,"Summary2"}</definedName>
    <definedName name="_________________sw1">#REF!</definedName>
    <definedName name="_________________sw2">#REF!</definedName>
    <definedName name="_________________sw3">#REF!</definedName>
    <definedName name="_________________sw4">#REF!</definedName>
    <definedName name="_________________sw5">#REF!</definedName>
    <definedName name="_________________sw6">#REF!</definedName>
    <definedName name="_________________sw7">#REF!</definedName>
    <definedName name="_________________sw8">#REF!</definedName>
    <definedName name="_________________TOP2">#REF!</definedName>
    <definedName name="_________________TP2">#REF!</definedName>
    <definedName name="_________________ugt3">'[4]7-ug'!#REF!</definedName>
    <definedName name="_________________utl3">'[4]2-utility'!#REF!</definedName>
    <definedName name="_________________WD2">#REF!</definedName>
    <definedName name="________________aac178">'[5]LTG-STG'!$E$82</definedName>
    <definedName name="________________BLK2">'[6]BLK2'!$1:$1048576</definedName>
    <definedName name="________________BLK3">'[6]BLK3'!$1:$1048576</definedName>
    <definedName name="________________BOX2">#REF!</definedName>
    <definedName name="________________BVS4">'[3]Ra  stair'!#REF!</definedName>
    <definedName name="________________CAL1">#REF!</definedName>
    <definedName name="________________CAL10">#REF!</definedName>
    <definedName name="________________CAL11">#REF!</definedName>
    <definedName name="________________CAL12">#REF!</definedName>
    <definedName name="________________CAL13">#REF!</definedName>
    <definedName name="________________CAL14">#REF!</definedName>
    <definedName name="________________CAL15">#REF!</definedName>
    <definedName name="________________CAL16">#REF!</definedName>
    <definedName name="________________CAL2">#REF!</definedName>
    <definedName name="________________CAL3">#REF!</definedName>
    <definedName name="________________CAL4">#REF!</definedName>
    <definedName name="________________CAL5">#REF!</definedName>
    <definedName name="________________CAL6">#REF!</definedName>
    <definedName name="________________CAL7">#REF!</definedName>
    <definedName name="________________CAL8">#REF!</definedName>
    <definedName name="________________CAL9">#REF!</definedName>
    <definedName name="________________hsd3">'[4]11-hsd'!#REF!</definedName>
    <definedName name="________________MRS1">#REF!</definedName>
    <definedName name="________________rf1484">[7]RA!$B$58</definedName>
    <definedName name="________________sep3">'[4]13-septic'!#REF!</definedName>
    <definedName name="________________SFL1">#REF!</definedName>
    <definedName name="________________SFL2">#REF!</definedName>
    <definedName name="________________SFL3">#REF!</definedName>
    <definedName name="________________SFM1">#REF!</definedName>
    <definedName name="________________SFM2">#REF!</definedName>
    <definedName name="________________SFM3">#REF!</definedName>
    <definedName name="________________SFM4">#REF!</definedName>
    <definedName name="________________SFM5">#REF!</definedName>
    <definedName name="________________SFM6">#REF!</definedName>
    <definedName name="________________SFM7">#REF!</definedName>
    <definedName name="________________SFQ1">#REF!</definedName>
    <definedName name="________________SFQ2">#REF!</definedName>
    <definedName name="________________SFQ3">#REF!</definedName>
    <definedName name="________________SFQ4">#REF!</definedName>
    <definedName name="________________snd1">#REF!</definedName>
    <definedName name="________________str1">#REF!</definedName>
    <definedName name="________________str2">#REF!</definedName>
    <definedName name="________________str3">#REF!</definedName>
    <definedName name="________________SUM1">#REF!</definedName>
    <definedName name="________________SUM2">#REF!</definedName>
    <definedName name="________________sum4" hidden="1">{#N/A,#N/A,FALSE,"Sub2.1";#N/A,#N/A,FALSE,"Conc2.2";#N/A,#N/A,FALSE,"Block2.3";#N/A,#N/A,FALSE,"Roof2.4";#N/A,#N/A,FALSE,"wood2.5";#N/A,#N/A,FALSE,"Door2.6";#N/A,#N/A,FALSE,"Finish2.7";#N/A,#N/A,FALSE,"Service2.8";#N/A,#N/A,FALSE,"Summary2"}</definedName>
    <definedName name="________________sum5" hidden="1">{#N/A,#N/A,FALSE,"Sub2.1";#N/A,#N/A,FALSE,"Conc2.2";#N/A,#N/A,FALSE,"Block2.3";#N/A,#N/A,FALSE,"Roof2.4";#N/A,#N/A,FALSE,"wood2.5";#N/A,#N/A,FALSE,"Door2.6";#N/A,#N/A,FALSE,"Finish2.7";#N/A,#N/A,FALSE,"Service2.8";#N/A,#N/A,FALSE,"Summary2"}</definedName>
    <definedName name="________________sum6" hidden="1">{#N/A,#N/A,FALSE,"Sub2.1";#N/A,#N/A,FALSE,"Conc2.2";#N/A,#N/A,FALSE,"Block2.3";#N/A,#N/A,FALSE,"Roof2.4";#N/A,#N/A,FALSE,"wood2.5";#N/A,#N/A,FALSE,"Door2.6";#N/A,#N/A,FALSE,"Finish2.7";#N/A,#N/A,FALSE,"Service2.8";#N/A,#N/A,FALSE,"Summary2"}</definedName>
    <definedName name="________________sw1">#REF!</definedName>
    <definedName name="________________sw2">#REF!</definedName>
    <definedName name="________________sw3">#REF!</definedName>
    <definedName name="________________sw4">#REF!</definedName>
    <definedName name="________________sw5">#REF!</definedName>
    <definedName name="________________sw6">#REF!</definedName>
    <definedName name="________________sw7">#REF!</definedName>
    <definedName name="________________sw8">#REF!</definedName>
    <definedName name="________________TOP2">#REF!</definedName>
    <definedName name="________________TP2">#REF!</definedName>
    <definedName name="________________ugt3">'[4]7-ug'!#REF!</definedName>
    <definedName name="________________utl3">'[4]2-utility'!#REF!</definedName>
    <definedName name="________________WD2">#REF!</definedName>
    <definedName name="_______________aac178">'[5]LTG-STG'!$E$82</definedName>
    <definedName name="_______________BLK2">'[6]BLK2'!$1:$1048576</definedName>
    <definedName name="_______________BLK3">'[6]BLK3'!$1:$1048576</definedName>
    <definedName name="_______________BOX2">#REF!</definedName>
    <definedName name="_______________BVS4">'[3]Ra  stair'!#REF!</definedName>
    <definedName name="_______________CAL1">#REF!</definedName>
    <definedName name="_______________CAL10">#REF!</definedName>
    <definedName name="_______________CAL11">#REF!</definedName>
    <definedName name="_______________CAL12">#REF!</definedName>
    <definedName name="_______________CAL13">#REF!</definedName>
    <definedName name="_______________CAL14">#REF!</definedName>
    <definedName name="_______________CAL15">#REF!</definedName>
    <definedName name="_______________CAL16">#REF!</definedName>
    <definedName name="_______________CAL2">#REF!</definedName>
    <definedName name="_______________CAL3">#REF!</definedName>
    <definedName name="_______________CAL4">#REF!</definedName>
    <definedName name="_______________CAL5">#REF!</definedName>
    <definedName name="_______________CAL6">#REF!</definedName>
    <definedName name="_______________CAL7">#REF!</definedName>
    <definedName name="_______________CAL8">#REF!</definedName>
    <definedName name="_______________CAL9">#REF!</definedName>
    <definedName name="_______________hsd3">'[4]11-hsd'!#REF!</definedName>
    <definedName name="_______________MRS1">#REF!</definedName>
    <definedName name="_______________rf1484">[7]RA!$B$58</definedName>
    <definedName name="_______________sep3">'[4]13-septic'!#REF!</definedName>
    <definedName name="_______________SFL1">#REF!</definedName>
    <definedName name="_______________SFL2">#REF!</definedName>
    <definedName name="_______________SFL3">#REF!</definedName>
    <definedName name="_______________SFM1">#REF!</definedName>
    <definedName name="_______________SFM2">#REF!</definedName>
    <definedName name="_______________SFM3">#REF!</definedName>
    <definedName name="_______________SFM4">#REF!</definedName>
    <definedName name="_______________SFM5">#REF!</definedName>
    <definedName name="_______________SFM6">#REF!</definedName>
    <definedName name="_______________SFM7">#REF!</definedName>
    <definedName name="_______________SFQ1">#REF!</definedName>
    <definedName name="_______________SFQ2">#REF!</definedName>
    <definedName name="_______________SFQ3">#REF!</definedName>
    <definedName name="_______________SFQ4">#REF!</definedName>
    <definedName name="_______________snd1">#REF!</definedName>
    <definedName name="_______________str1">#REF!</definedName>
    <definedName name="_______________str2">#REF!</definedName>
    <definedName name="_______________str3">#REF!</definedName>
    <definedName name="_______________SUM1">#REF!</definedName>
    <definedName name="_______________SUM2">#REF!</definedName>
    <definedName name="_______________sum4" hidden="1">{#N/A,#N/A,FALSE,"Sub2.1";#N/A,#N/A,FALSE,"Conc2.2";#N/A,#N/A,FALSE,"Block2.3";#N/A,#N/A,FALSE,"Roof2.4";#N/A,#N/A,FALSE,"wood2.5";#N/A,#N/A,FALSE,"Door2.6";#N/A,#N/A,FALSE,"Finish2.7";#N/A,#N/A,FALSE,"Service2.8";#N/A,#N/A,FALSE,"Summary2"}</definedName>
    <definedName name="_______________sum5" hidden="1">{#N/A,#N/A,FALSE,"Sub2.1";#N/A,#N/A,FALSE,"Conc2.2";#N/A,#N/A,FALSE,"Block2.3";#N/A,#N/A,FALSE,"Roof2.4";#N/A,#N/A,FALSE,"wood2.5";#N/A,#N/A,FALSE,"Door2.6";#N/A,#N/A,FALSE,"Finish2.7";#N/A,#N/A,FALSE,"Service2.8";#N/A,#N/A,FALSE,"Summary2"}</definedName>
    <definedName name="_______________sum6" hidden="1">{#N/A,#N/A,FALSE,"Sub2.1";#N/A,#N/A,FALSE,"Conc2.2";#N/A,#N/A,FALSE,"Block2.3";#N/A,#N/A,FALSE,"Roof2.4";#N/A,#N/A,FALSE,"wood2.5";#N/A,#N/A,FALSE,"Door2.6";#N/A,#N/A,FALSE,"Finish2.7";#N/A,#N/A,FALSE,"Service2.8";#N/A,#N/A,FALSE,"Summary2"}</definedName>
    <definedName name="_______________sw1">#REF!</definedName>
    <definedName name="_______________sw2">#REF!</definedName>
    <definedName name="_______________sw3">#REF!</definedName>
    <definedName name="_______________sw4">#REF!</definedName>
    <definedName name="_______________sw5">#REF!</definedName>
    <definedName name="_______________sw6">#REF!</definedName>
    <definedName name="_______________sw7">#REF!</definedName>
    <definedName name="_______________sw8">#REF!</definedName>
    <definedName name="_______________TOP2">#REF!</definedName>
    <definedName name="_______________TP2">#REF!</definedName>
    <definedName name="_______________ugt3">'[4]7-ug'!#REF!</definedName>
    <definedName name="_______________utl3">'[4]2-utility'!#REF!</definedName>
    <definedName name="_______________WD2">#REF!</definedName>
    <definedName name="______________aac178">'[5]LTG-STG'!$E$82</definedName>
    <definedName name="______________BLK2">'[6]BLK2'!$1:$1048576</definedName>
    <definedName name="______________BLK3">'[6]BLK3'!$1:$1048576</definedName>
    <definedName name="______________BOX2">#REF!</definedName>
    <definedName name="______________BVS4">'[3]Ra  stair'!#REF!</definedName>
    <definedName name="______________CAL1">#REF!</definedName>
    <definedName name="______________CAL10">#REF!</definedName>
    <definedName name="______________CAL11">#REF!</definedName>
    <definedName name="______________CAL12">#REF!</definedName>
    <definedName name="______________CAL13">#REF!</definedName>
    <definedName name="______________CAL14">#REF!</definedName>
    <definedName name="______________CAL15">#REF!</definedName>
    <definedName name="______________CAL16">#REF!</definedName>
    <definedName name="______________CAL2">#REF!</definedName>
    <definedName name="______________CAL3">#REF!</definedName>
    <definedName name="______________CAL4">#REF!</definedName>
    <definedName name="______________CAL5">#REF!</definedName>
    <definedName name="______________CAL6">#REF!</definedName>
    <definedName name="______________CAL7">#REF!</definedName>
    <definedName name="______________CAL8">#REF!</definedName>
    <definedName name="______________CAL9">#REF!</definedName>
    <definedName name="______________hsd3">'[4]11-hsd'!#REF!</definedName>
    <definedName name="______________MRS1">#REF!</definedName>
    <definedName name="______________rf1484">[7]RA!$B$58</definedName>
    <definedName name="______________sep3">'[4]13-septic'!#REF!</definedName>
    <definedName name="______________SFL1">#REF!</definedName>
    <definedName name="______________SFL2">#REF!</definedName>
    <definedName name="______________SFL3">#REF!</definedName>
    <definedName name="______________SFM1">#REF!</definedName>
    <definedName name="______________SFM2">#REF!</definedName>
    <definedName name="______________SFM3">#REF!</definedName>
    <definedName name="______________SFM4">#REF!</definedName>
    <definedName name="______________SFM5">#REF!</definedName>
    <definedName name="______________SFM6">#REF!</definedName>
    <definedName name="______________SFM7">#REF!</definedName>
    <definedName name="______________SFQ1">#REF!</definedName>
    <definedName name="______________SFQ2">#REF!</definedName>
    <definedName name="______________SFQ3">#REF!</definedName>
    <definedName name="______________SFQ4">#REF!</definedName>
    <definedName name="______________snd1">#REF!</definedName>
    <definedName name="______________str1">#REF!</definedName>
    <definedName name="______________str2">#REF!</definedName>
    <definedName name="______________str3">#REF!</definedName>
    <definedName name="______________SUM1">#REF!</definedName>
    <definedName name="______________SUM2">#REF!</definedName>
    <definedName name="______________sum4" hidden="1">{#N/A,#N/A,FALSE,"Sub2.1";#N/A,#N/A,FALSE,"Conc2.2";#N/A,#N/A,FALSE,"Block2.3";#N/A,#N/A,FALSE,"Roof2.4";#N/A,#N/A,FALSE,"wood2.5";#N/A,#N/A,FALSE,"Door2.6";#N/A,#N/A,FALSE,"Finish2.7";#N/A,#N/A,FALSE,"Service2.8";#N/A,#N/A,FALSE,"Summary2"}</definedName>
    <definedName name="______________sum5" hidden="1">{#N/A,#N/A,FALSE,"Sub2.1";#N/A,#N/A,FALSE,"Conc2.2";#N/A,#N/A,FALSE,"Block2.3";#N/A,#N/A,FALSE,"Roof2.4";#N/A,#N/A,FALSE,"wood2.5";#N/A,#N/A,FALSE,"Door2.6";#N/A,#N/A,FALSE,"Finish2.7";#N/A,#N/A,FALSE,"Service2.8";#N/A,#N/A,FALSE,"Summary2"}</definedName>
    <definedName name="______________sum6" hidden="1">{#N/A,#N/A,FALSE,"Sub2.1";#N/A,#N/A,FALSE,"Conc2.2";#N/A,#N/A,FALSE,"Block2.3";#N/A,#N/A,FALSE,"Roof2.4";#N/A,#N/A,FALSE,"wood2.5";#N/A,#N/A,FALSE,"Door2.6";#N/A,#N/A,FALSE,"Finish2.7";#N/A,#N/A,FALSE,"Service2.8";#N/A,#N/A,FALSE,"Summary2"}</definedName>
    <definedName name="______________sw1">#REF!</definedName>
    <definedName name="______________sw2">#REF!</definedName>
    <definedName name="______________sw3">#REF!</definedName>
    <definedName name="______________sw4">#REF!</definedName>
    <definedName name="______________sw5">#REF!</definedName>
    <definedName name="______________sw6">#REF!</definedName>
    <definedName name="______________sw7">#REF!</definedName>
    <definedName name="______________sw8">#REF!</definedName>
    <definedName name="______________TOP2">#REF!</definedName>
    <definedName name="______________TP2">#REF!</definedName>
    <definedName name="______________ugt3">'[4]7-ug'!#REF!</definedName>
    <definedName name="______________utl3">'[4]2-utility'!#REF!</definedName>
    <definedName name="______________WD2">#REF!</definedName>
    <definedName name="_____________aac178">'[5]LTG-STG'!$E$82</definedName>
    <definedName name="_____________BLK2">'[6]BLK2'!$1:$1048576</definedName>
    <definedName name="_____________BLK3">'[6]BLK3'!$1:$1048576</definedName>
    <definedName name="_____________BOQ3">#REF!</definedName>
    <definedName name="_____________BOX2">#REF!</definedName>
    <definedName name="_____________BVS4">'[3]Ra  stair'!#REF!</definedName>
    <definedName name="_____________CAL1">#REF!</definedName>
    <definedName name="_____________CAL10">#REF!</definedName>
    <definedName name="_____________CAL11">#REF!</definedName>
    <definedName name="_____________CAL12">#REF!</definedName>
    <definedName name="_____________CAL13">#REF!</definedName>
    <definedName name="_____________CAL14">#REF!</definedName>
    <definedName name="_____________CAL15">#REF!</definedName>
    <definedName name="_____________CAL16">#REF!</definedName>
    <definedName name="_____________CAL2">#REF!</definedName>
    <definedName name="_____________CAL3">#REF!</definedName>
    <definedName name="_____________CAL4">#REF!</definedName>
    <definedName name="_____________CAL5">#REF!</definedName>
    <definedName name="_____________CAL6">#REF!</definedName>
    <definedName name="_____________CAL7">#REF!</definedName>
    <definedName name="_____________CAL8">#REF!</definedName>
    <definedName name="_____________CAL9">#REF!</definedName>
    <definedName name="_____________hsd3">'[4]11-hsd'!#REF!</definedName>
    <definedName name="_____________MRS1">#REF!</definedName>
    <definedName name="_____________rf1484">[7]RA!$B$58</definedName>
    <definedName name="_____________sep3">'[4]13-septic'!#REF!</definedName>
    <definedName name="_____________SFL1">#REF!</definedName>
    <definedName name="_____________SFL2">#REF!</definedName>
    <definedName name="_____________SFL3">#REF!</definedName>
    <definedName name="_____________SFM1">#REF!</definedName>
    <definedName name="_____________SFM2">#REF!</definedName>
    <definedName name="_____________SFM3">#REF!</definedName>
    <definedName name="_____________SFM4">#REF!</definedName>
    <definedName name="_____________SFM5">#REF!</definedName>
    <definedName name="_____________SFM6">#REF!</definedName>
    <definedName name="_____________SFM7">#REF!</definedName>
    <definedName name="_____________SFQ1">#REF!</definedName>
    <definedName name="_____________SFQ2">#REF!</definedName>
    <definedName name="_____________SFQ3">#REF!</definedName>
    <definedName name="_____________SFQ4">#REF!</definedName>
    <definedName name="_____________snd1">#REF!</definedName>
    <definedName name="_____________str1">#REF!</definedName>
    <definedName name="_____________str2">#REF!</definedName>
    <definedName name="_____________str3">#REF!</definedName>
    <definedName name="_____________SUM1">#REF!</definedName>
    <definedName name="_____________SUM2">#REF!</definedName>
    <definedName name="_____________sum4" hidden="1">{#N/A,#N/A,FALSE,"Sub2.1";#N/A,#N/A,FALSE,"Conc2.2";#N/A,#N/A,FALSE,"Block2.3";#N/A,#N/A,FALSE,"Roof2.4";#N/A,#N/A,FALSE,"wood2.5";#N/A,#N/A,FALSE,"Door2.6";#N/A,#N/A,FALSE,"Finish2.7";#N/A,#N/A,FALSE,"Service2.8";#N/A,#N/A,FALSE,"Summary2"}</definedName>
    <definedName name="_____________sum5" hidden="1">{#N/A,#N/A,FALSE,"Sub2.1";#N/A,#N/A,FALSE,"Conc2.2";#N/A,#N/A,FALSE,"Block2.3";#N/A,#N/A,FALSE,"Roof2.4";#N/A,#N/A,FALSE,"wood2.5";#N/A,#N/A,FALSE,"Door2.6";#N/A,#N/A,FALSE,"Finish2.7";#N/A,#N/A,FALSE,"Service2.8";#N/A,#N/A,FALSE,"Summary2"}</definedName>
    <definedName name="_____________sum6" hidden="1">{#N/A,#N/A,FALSE,"Sub2.1";#N/A,#N/A,FALSE,"Conc2.2";#N/A,#N/A,FALSE,"Block2.3";#N/A,#N/A,FALSE,"Roof2.4";#N/A,#N/A,FALSE,"wood2.5";#N/A,#N/A,FALSE,"Door2.6";#N/A,#N/A,FALSE,"Finish2.7";#N/A,#N/A,FALSE,"Service2.8";#N/A,#N/A,FALSE,"Summary2"}</definedName>
    <definedName name="_____________sw1">#REF!</definedName>
    <definedName name="_____________sw2">#REF!</definedName>
    <definedName name="_____________sw3">#REF!</definedName>
    <definedName name="_____________sw4">#REF!</definedName>
    <definedName name="_____________sw5">#REF!</definedName>
    <definedName name="_____________sw6">#REF!</definedName>
    <definedName name="_____________sw7">#REF!</definedName>
    <definedName name="_____________sw8">#REF!</definedName>
    <definedName name="_____________TOP2">#REF!</definedName>
    <definedName name="_____________TP2">#REF!</definedName>
    <definedName name="_____________ugt3">'[4]7-ug'!#REF!</definedName>
    <definedName name="_____________utl3">'[4]2-utility'!#REF!</definedName>
    <definedName name="_____________WD2">#REF!</definedName>
    <definedName name="____________aac178">'[5]LTG-STG'!$E$82</definedName>
    <definedName name="____________BLK2">'[6]BLK2'!$1:$1048576</definedName>
    <definedName name="____________BLK3">'[6]BLK3'!$1:$1048576</definedName>
    <definedName name="____________BOQ3">#REF!</definedName>
    <definedName name="____________BOX2">#REF!</definedName>
    <definedName name="____________BVS4">'[3]Ra  stair'!#REF!</definedName>
    <definedName name="____________CAL1">#REF!</definedName>
    <definedName name="____________CAL10">#REF!</definedName>
    <definedName name="____________CAL11">#REF!</definedName>
    <definedName name="____________CAL12">#REF!</definedName>
    <definedName name="____________CAL13">#REF!</definedName>
    <definedName name="____________CAL14">#REF!</definedName>
    <definedName name="____________CAL15">#REF!</definedName>
    <definedName name="____________CAL16">#REF!</definedName>
    <definedName name="____________CAL2">#REF!</definedName>
    <definedName name="____________CAL3">#REF!</definedName>
    <definedName name="____________CAL4">#REF!</definedName>
    <definedName name="____________CAL5">#REF!</definedName>
    <definedName name="____________CAL6">#REF!</definedName>
    <definedName name="____________CAL7">#REF!</definedName>
    <definedName name="____________CAL8">#REF!</definedName>
    <definedName name="____________CAL9">#REF!</definedName>
    <definedName name="____________hsd3">'[4]11-hsd'!#REF!</definedName>
    <definedName name="____________MRS1">#REF!</definedName>
    <definedName name="____________rf1484">[7]RA!$B$58</definedName>
    <definedName name="____________sep3">'[4]13-septic'!#REF!</definedName>
    <definedName name="____________SFL1">#REF!</definedName>
    <definedName name="____________SFL2">#REF!</definedName>
    <definedName name="____________SFL3">#REF!</definedName>
    <definedName name="____________SFM1">#REF!</definedName>
    <definedName name="____________SFM2">#REF!</definedName>
    <definedName name="____________SFM3">#REF!</definedName>
    <definedName name="____________SFM4">#REF!</definedName>
    <definedName name="____________SFM5">#REF!</definedName>
    <definedName name="____________SFM6">#REF!</definedName>
    <definedName name="____________SFM7">#REF!</definedName>
    <definedName name="____________SFQ1">#REF!</definedName>
    <definedName name="____________SFQ2">#REF!</definedName>
    <definedName name="____________SFQ3">#REF!</definedName>
    <definedName name="____________SFQ4">#REF!</definedName>
    <definedName name="____________snd1">#REF!</definedName>
    <definedName name="____________str1">#REF!</definedName>
    <definedName name="____________str2">#REF!</definedName>
    <definedName name="____________str3">#REF!</definedName>
    <definedName name="____________SUM1">#REF!</definedName>
    <definedName name="____________SUM2">#REF!</definedName>
    <definedName name="____________sum4" hidden="1">{#N/A,#N/A,FALSE,"Sub2.1";#N/A,#N/A,FALSE,"Conc2.2";#N/A,#N/A,FALSE,"Block2.3";#N/A,#N/A,FALSE,"Roof2.4";#N/A,#N/A,FALSE,"wood2.5";#N/A,#N/A,FALSE,"Door2.6";#N/A,#N/A,FALSE,"Finish2.7";#N/A,#N/A,FALSE,"Service2.8";#N/A,#N/A,FALSE,"Summary2"}</definedName>
    <definedName name="____________sum5" hidden="1">{#N/A,#N/A,FALSE,"Sub2.1";#N/A,#N/A,FALSE,"Conc2.2";#N/A,#N/A,FALSE,"Block2.3";#N/A,#N/A,FALSE,"Roof2.4";#N/A,#N/A,FALSE,"wood2.5";#N/A,#N/A,FALSE,"Door2.6";#N/A,#N/A,FALSE,"Finish2.7";#N/A,#N/A,FALSE,"Service2.8";#N/A,#N/A,FALSE,"Summary2"}</definedName>
    <definedName name="____________sum6" hidden="1">{#N/A,#N/A,FALSE,"Sub2.1";#N/A,#N/A,FALSE,"Conc2.2";#N/A,#N/A,FALSE,"Block2.3";#N/A,#N/A,FALSE,"Roof2.4";#N/A,#N/A,FALSE,"wood2.5";#N/A,#N/A,FALSE,"Door2.6";#N/A,#N/A,FALSE,"Finish2.7";#N/A,#N/A,FALSE,"Service2.8";#N/A,#N/A,FALSE,"Summary2"}</definedName>
    <definedName name="____________sw1">#REF!</definedName>
    <definedName name="____________sw2">#REF!</definedName>
    <definedName name="____________sw3">#REF!</definedName>
    <definedName name="____________sw4">#REF!</definedName>
    <definedName name="____________sw5">#REF!</definedName>
    <definedName name="____________sw6">#REF!</definedName>
    <definedName name="____________sw7">#REF!</definedName>
    <definedName name="____________sw8">#REF!</definedName>
    <definedName name="____________TOP2">#REF!</definedName>
    <definedName name="____________TP2">#REF!</definedName>
    <definedName name="____________ugt3">'[4]7-ug'!#REF!</definedName>
    <definedName name="____________utl3">'[4]2-utility'!#REF!</definedName>
    <definedName name="____________WD2">#REF!</definedName>
    <definedName name="___________aac178">'[5]LTG-STG'!$E$82</definedName>
    <definedName name="___________BLK2">'[6]BLK2'!$1:$1048576</definedName>
    <definedName name="___________BLK3">'[6]BLK3'!$1:$1048576</definedName>
    <definedName name="___________BOQ3">#REF!</definedName>
    <definedName name="___________BOX2">#REF!</definedName>
    <definedName name="___________BVS4">'[3]Ra  stair'!#REF!</definedName>
    <definedName name="___________CAL1">#REF!</definedName>
    <definedName name="___________CAL10">#REF!</definedName>
    <definedName name="___________CAL11">#REF!</definedName>
    <definedName name="___________CAL12">#REF!</definedName>
    <definedName name="___________CAL13">#REF!</definedName>
    <definedName name="___________CAL14">#REF!</definedName>
    <definedName name="___________CAL15">#REF!</definedName>
    <definedName name="___________CAL16">#REF!</definedName>
    <definedName name="___________CAL2">#REF!</definedName>
    <definedName name="___________CAL3">#REF!</definedName>
    <definedName name="___________CAL4">#REF!</definedName>
    <definedName name="___________CAL5">#REF!</definedName>
    <definedName name="___________CAL6">#REF!</definedName>
    <definedName name="___________CAL7">#REF!</definedName>
    <definedName name="___________CAL8">#REF!</definedName>
    <definedName name="___________CAL9">#REF!</definedName>
    <definedName name="___________hsd3">'[4]11-hsd'!#REF!</definedName>
    <definedName name="___________MRS1">#REF!</definedName>
    <definedName name="___________rf1484">[7]RA!$B$58</definedName>
    <definedName name="___________sep3">'[4]13-septic'!#REF!</definedName>
    <definedName name="___________SFL1">#REF!</definedName>
    <definedName name="___________SFL2">#REF!</definedName>
    <definedName name="___________SFL3">#REF!</definedName>
    <definedName name="___________SFM1">#REF!</definedName>
    <definedName name="___________SFM2">#REF!</definedName>
    <definedName name="___________SFM3">#REF!</definedName>
    <definedName name="___________SFM4">#REF!</definedName>
    <definedName name="___________SFM5">#REF!</definedName>
    <definedName name="___________SFM6">#REF!</definedName>
    <definedName name="___________SFM7">#REF!</definedName>
    <definedName name="___________SFQ1">#REF!</definedName>
    <definedName name="___________SFQ2">#REF!</definedName>
    <definedName name="___________SFQ3">#REF!</definedName>
    <definedName name="___________SFQ4">#REF!</definedName>
    <definedName name="___________snd1">#REF!</definedName>
    <definedName name="___________str1">#REF!</definedName>
    <definedName name="___________str2">#REF!</definedName>
    <definedName name="___________str3">#REF!</definedName>
    <definedName name="___________SUM1">#REF!</definedName>
    <definedName name="___________SUM2">#REF!</definedName>
    <definedName name="___________sum4" hidden="1">{#N/A,#N/A,FALSE,"Sub2.1";#N/A,#N/A,FALSE,"Conc2.2";#N/A,#N/A,FALSE,"Block2.3";#N/A,#N/A,FALSE,"Roof2.4";#N/A,#N/A,FALSE,"wood2.5";#N/A,#N/A,FALSE,"Door2.6";#N/A,#N/A,FALSE,"Finish2.7";#N/A,#N/A,FALSE,"Service2.8";#N/A,#N/A,FALSE,"Summary2"}</definedName>
    <definedName name="___________sum5" hidden="1">{#N/A,#N/A,FALSE,"Sub2.1";#N/A,#N/A,FALSE,"Conc2.2";#N/A,#N/A,FALSE,"Block2.3";#N/A,#N/A,FALSE,"Roof2.4";#N/A,#N/A,FALSE,"wood2.5";#N/A,#N/A,FALSE,"Door2.6";#N/A,#N/A,FALSE,"Finish2.7";#N/A,#N/A,FALSE,"Service2.8";#N/A,#N/A,FALSE,"Summary2"}</definedName>
    <definedName name="___________sum6" hidden="1">{#N/A,#N/A,FALSE,"Sub2.1";#N/A,#N/A,FALSE,"Conc2.2";#N/A,#N/A,FALSE,"Block2.3";#N/A,#N/A,FALSE,"Roof2.4";#N/A,#N/A,FALSE,"wood2.5";#N/A,#N/A,FALSE,"Door2.6";#N/A,#N/A,FALSE,"Finish2.7";#N/A,#N/A,FALSE,"Service2.8";#N/A,#N/A,FALSE,"Summary2"}</definedName>
    <definedName name="___________sw1">#REF!</definedName>
    <definedName name="___________sw2">#REF!</definedName>
    <definedName name="___________sw3">#REF!</definedName>
    <definedName name="___________sw4">#REF!</definedName>
    <definedName name="___________sw5">#REF!</definedName>
    <definedName name="___________sw6">#REF!</definedName>
    <definedName name="___________sw7">#REF!</definedName>
    <definedName name="___________sw8">#REF!</definedName>
    <definedName name="___________TOP2">#REF!</definedName>
    <definedName name="___________TP2">#REF!</definedName>
    <definedName name="___________ugt3">'[4]7-ug'!#REF!</definedName>
    <definedName name="___________utl3">'[4]2-utility'!#REF!</definedName>
    <definedName name="___________WD2">#REF!</definedName>
    <definedName name="__________aac178">'[5]LTG-STG'!$E$82</definedName>
    <definedName name="__________BLK2">'[6]BLK2'!$1:$1048576</definedName>
    <definedName name="__________BLK3">'[6]BLK3'!$1:$1048576</definedName>
    <definedName name="__________BOQ3">#REF!</definedName>
    <definedName name="__________BOX2">#REF!</definedName>
    <definedName name="__________BVS4">'[3]Ra  stair'!#REF!</definedName>
    <definedName name="__________CAL1">#REF!</definedName>
    <definedName name="__________CAL10">#REF!</definedName>
    <definedName name="__________CAL11">#REF!</definedName>
    <definedName name="__________CAL12">#REF!</definedName>
    <definedName name="__________CAL13">#REF!</definedName>
    <definedName name="__________CAL14">#REF!</definedName>
    <definedName name="__________CAL15">#REF!</definedName>
    <definedName name="__________CAL16">#REF!</definedName>
    <definedName name="__________CAL2">#REF!</definedName>
    <definedName name="__________CAL3">#REF!</definedName>
    <definedName name="__________CAL4">#REF!</definedName>
    <definedName name="__________CAL5">#REF!</definedName>
    <definedName name="__________CAL6">#REF!</definedName>
    <definedName name="__________CAL7">#REF!</definedName>
    <definedName name="__________CAL8">#REF!</definedName>
    <definedName name="__________CAL9">#REF!</definedName>
    <definedName name="__________hsd3">'[4]11-hsd'!#REF!</definedName>
    <definedName name="__________MRS1">#REF!</definedName>
    <definedName name="__________rf1484">[7]RA!$B$58</definedName>
    <definedName name="__________sep3">'[4]13-septic'!#REF!</definedName>
    <definedName name="__________SFL1">#REF!</definedName>
    <definedName name="__________SFL2">#REF!</definedName>
    <definedName name="__________SFL3">#REF!</definedName>
    <definedName name="__________SFM1">#REF!</definedName>
    <definedName name="__________SFM2">#REF!</definedName>
    <definedName name="__________SFM3">#REF!</definedName>
    <definedName name="__________SFM4">#REF!</definedName>
    <definedName name="__________SFM5">#REF!</definedName>
    <definedName name="__________SFM6">#REF!</definedName>
    <definedName name="__________SFM7">#REF!</definedName>
    <definedName name="__________SFQ1">#REF!</definedName>
    <definedName name="__________SFQ2">#REF!</definedName>
    <definedName name="__________SFQ3">#REF!</definedName>
    <definedName name="__________SFQ4">#REF!</definedName>
    <definedName name="__________snd1">#REF!</definedName>
    <definedName name="__________str1">#REF!</definedName>
    <definedName name="__________str2">#REF!</definedName>
    <definedName name="__________str3">#REF!</definedName>
    <definedName name="__________SUM1">#REF!</definedName>
    <definedName name="__________SUM2">#REF!</definedName>
    <definedName name="__________sum4" hidden="1">{#N/A,#N/A,FALSE,"Sub2.1";#N/A,#N/A,FALSE,"Conc2.2";#N/A,#N/A,FALSE,"Block2.3";#N/A,#N/A,FALSE,"Roof2.4";#N/A,#N/A,FALSE,"wood2.5";#N/A,#N/A,FALSE,"Door2.6";#N/A,#N/A,FALSE,"Finish2.7";#N/A,#N/A,FALSE,"Service2.8";#N/A,#N/A,FALSE,"Summary2"}</definedName>
    <definedName name="__________sum5" hidden="1">{#N/A,#N/A,FALSE,"Sub2.1";#N/A,#N/A,FALSE,"Conc2.2";#N/A,#N/A,FALSE,"Block2.3";#N/A,#N/A,FALSE,"Roof2.4";#N/A,#N/A,FALSE,"wood2.5";#N/A,#N/A,FALSE,"Door2.6";#N/A,#N/A,FALSE,"Finish2.7";#N/A,#N/A,FALSE,"Service2.8";#N/A,#N/A,FALSE,"Summary2"}</definedName>
    <definedName name="__________sum6" hidden="1">{#N/A,#N/A,FALSE,"Sub2.1";#N/A,#N/A,FALSE,"Conc2.2";#N/A,#N/A,FALSE,"Block2.3";#N/A,#N/A,FALSE,"Roof2.4";#N/A,#N/A,FALSE,"wood2.5";#N/A,#N/A,FALSE,"Door2.6";#N/A,#N/A,FALSE,"Finish2.7";#N/A,#N/A,FALSE,"Service2.8";#N/A,#N/A,FALSE,"Summary2"}</definedName>
    <definedName name="__________sw1">#REF!</definedName>
    <definedName name="__________sw2">#REF!</definedName>
    <definedName name="__________sw3">#REF!</definedName>
    <definedName name="__________sw4">#REF!</definedName>
    <definedName name="__________sw5">#REF!</definedName>
    <definedName name="__________sw6">#REF!</definedName>
    <definedName name="__________sw7">#REF!</definedName>
    <definedName name="__________sw8">#REF!</definedName>
    <definedName name="__________TOP2">#REF!</definedName>
    <definedName name="__________TP2">#REF!</definedName>
    <definedName name="__________ugt3">'[4]7-ug'!#REF!</definedName>
    <definedName name="__________utl3">'[4]2-utility'!#REF!</definedName>
    <definedName name="__________WD2">#REF!</definedName>
    <definedName name="_________aac178">'[5]LTG-STG'!$E$82</definedName>
    <definedName name="_________BLK2">'[6]BLK2'!$1:$1048576</definedName>
    <definedName name="_________BLK3">'[6]BLK3'!$1:$1048576</definedName>
    <definedName name="_________BOQ3">#REF!</definedName>
    <definedName name="_________BOX2">#REF!</definedName>
    <definedName name="_________BVS4">'[3]Ra  stair'!#REF!</definedName>
    <definedName name="_________CAL1">#REF!</definedName>
    <definedName name="_________CAL10">#REF!</definedName>
    <definedName name="_________CAL11">#REF!</definedName>
    <definedName name="_________CAL12">#REF!</definedName>
    <definedName name="_________CAL13">#REF!</definedName>
    <definedName name="_________CAL14">#REF!</definedName>
    <definedName name="_________CAL15">#REF!</definedName>
    <definedName name="_________CAL16">#REF!</definedName>
    <definedName name="_________CAL2">#REF!</definedName>
    <definedName name="_________CAL3">#REF!</definedName>
    <definedName name="_________CAL4">#REF!</definedName>
    <definedName name="_________CAL5">#REF!</definedName>
    <definedName name="_________CAL6">#REF!</definedName>
    <definedName name="_________CAL7">#REF!</definedName>
    <definedName name="_________CAL8">#REF!</definedName>
    <definedName name="_________CAL9">#REF!</definedName>
    <definedName name="_________hsd3">'[4]11-hsd'!#REF!</definedName>
    <definedName name="_________MRS1">#REF!</definedName>
    <definedName name="_________rf1484">[7]RA!$B$58</definedName>
    <definedName name="_________sep3">'[4]13-septic'!#REF!</definedName>
    <definedName name="_________SFL1">#REF!</definedName>
    <definedName name="_________SFL2">#REF!</definedName>
    <definedName name="_________SFL3">#REF!</definedName>
    <definedName name="_________SFM1">#REF!</definedName>
    <definedName name="_________SFM2">#REF!</definedName>
    <definedName name="_________SFM3">#REF!</definedName>
    <definedName name="_________SFM4">#REF!</definedName>
    <definedName name="_________SFM5">#REF!</definedName>
    <definedName name="_________SFM6">#REF!</definedName>
    <definedName name="_________SFM7">#REF!</definedName>
    <definedName name="_________SFQ1">#REF!</definedName>
    <definedName name="_________SFQ2">#REF!</definedName>
    <definedName name="_________SFQ3">#REF!</definedName>
    <definedName name="_________SFQ4">#REF!</definedName>
    <definedName name="_________snd1">#REF!</definedName>
    <definedName name="_________str1">#REF!</definedName>
    <definedName name="_________str2">#REF!</definedName>
    <definedName name="_________str3">#REF!</definedName>
    <definedName name="_________SUM1">#REF!</definedName>
    <definedName name="_________SUM2">#REF!</definedName>
    <definedName name="_________sum4" hidden="1">{#N/A,#N/A,FALSE,"Sub2.1";#N/A,#N/A,FALSE,"Conc2.2";#N/A,#N/A,FALSE,"Block2.3";#N/A,#N/A,FALSE,"Roof2.4";#N/A,#N/A,FALSE,"wood2.5";#N/A,#N/A,FALSE,"Door2.6";#N/A,#N/A,FALSE,"Finish2.7";#N/A,#N/A,FALSE,"Service2.8";#N/A,#N/A,FALSE,"Summary2"}</definedName>
    <definedName name="_________sum5" hidden="1">{#N/A,#N/A,FALSE,"Sub2.1";#N/A,#N/A,FALSE,"Conc2.2";#N/A,#N/A,FALSE,"Block2.3";#N/A,#N/A,FALSE,"Roof2.4";#N/A,#N/A,FALSE,"wood2.5";#N/A,#N/A,FALSE,"Door2.6";#N/A,#N/A,FALSE,"Finish2.7";#N/A,#N/A,FALSE,"Service2.8";#N/A,#N/A,FALSE,"Summary2"}</definedName>
    <definedName name="_________sum6" hidden="1">{#N/A,#N/A,FALSE,"Sub2.1";#N/A,#N/A,FALSE,"Conc2.2";#N/A,#N/A,FALSE,"Block2.3";#N/A,#N/A,FALSE,"Roof2.4";#N/A,#N/A,FALSE,"wood2.5";#N/A,#N/A,FALSE,"Door2.6";#N/A,#N/A,FALSE,"Finish2.7";#N/A,#N/A,FALSE,"Service2.8";#N/A,#N/A,FALSE,"Summary2"}</definedName>
    <definedName name="_________sw1">#REF!</definedName>
    <definedName name="_________sw2">#REF!</definedName>
    <definedName name="_________sw3">#REF!</definedName>
    <definedName name="_________sw4">#REF!</definedName>
    <definedName name="_________sw5">#REF!</definedName>
    <definedName name="_________sw6">#REF!</definedName>
    <definedName name="_________sw7">#REF!</definedName>
    <definedName name="_________sw8">#REF!</definedName>
    <definedName name="_________TOP2">#REF!</definedName>
    <definedName name="_________TP2">#REF!</definedName>
    <definedName name="_________ugt3">'[4]7-ug'!#REF!</definedName>
    <definedName name="_________utl3">'[4]2-utility'!#REF!</definedName>
    <definedName name="_________WD2">#REF!</definedName>
    <definedName name="________aac178">'[5]LTG-STG'!$E$82</definedName>
    <definedName name="________BLK2">'[6]BLK2'!$1:$1048576</definedName>
    <definedName name="________BLK3">'[6]BLK3'!$1:$1048576</definedName>
    <definedName name="________BOQ3">#REF!</definedName>
    <definedName name="________BOX2">#REF!</definedName>
    <definedName name="________BVS4">'[3]Ra  stair'!#REF!</definedName>
    <definedName name="________CAL1">#REF!</definedName>
    <definedName name="________CAL10">#REF!</definedName>
    <definedName name="________CAL11">#REF!</definedName>
    <definedName name="________CAL12">#REF!</definedName>
    <definedName name="________CAL13">#REF!</definedName>
    <definedName name="________CAL14">#REF!</definedName>
    <definedName name="________CAL15">#REF!</definedName>
    <definedName name="________CAL16">#REF!</definedName>
    <definedName name="________CAL2">#REF!</definedName>
    <definedName name="________CAL3">#REF!</definedName>
    <definedName name="________CAL4">#REF!</definedName>
    <definedName name="________CAL5">#REF!</definedName>
    <definedName name="________CAL6">#REF!</definedName>
    <definedName name="________CAL7">#REF!</definedName>
    <definedName name="________CAL8">#REF!</definedName>
    <definedName name="________CAL9">#REF!</definedName>
    <definedName name="________hsd3">'[4]11-hsd'!#REF!</definedName>
    <definedName name="________MRS1">#REF!</definedName>
    <definedName name="________rf1484">[7]RA!$B$58</definedName>
    <definedName name="________sep3">'[4]13-septic'!#REF!</definedName>
    <definedName name="________SFL1">#REF!</definedName>
    <definedName name="________SFL2">#REF!</definedName>
    <definedName name="________SFL3">#REF!</definedName>
    <definedName name="________SFM1">#REF!</definedName>
    <definedName name="________SFM2">#REF!</definedName>
    <definedName name="________SFM3">#REF!</definedName>
    <definedName name="________SFM4">#REF!</definedName>
    <definedName name="________SFM5">#REF!</definedName>
    <definedName name="________SFM6">#REF!</definedName>
    <definedName name="________SFM7">#REF!</definedName>
    <definedName name="________SFQ1">#REF!</definedName>
    <definedName name="________SFQ2">#REF!</definedName>
    <definedName name="________SFQ3">#REF!</definedName>
    <definedName name="________SFQ4">#REF!</definedName>
    <definedName name="________snd1">#REF!</definedName>
    <definedName name="________str1">#REF!</definedName>
    <definedName name="________str2">#REF!</definedName>
    <definedName name="________str3">#REF!</definedName>
    <definedName name="________SUM1">#REF!</definedName>
    <definedName name="________SUM2">#REF!</definedName>
    <definedName name="________sum4" hidden="1">{#N/A,#N/A,FALSE,"Sub2.1";#N/A,#N/A,FALSE,"Conc2.2";#N/A,#N/A,FALSE,"Block2.3";#N/A,#N/A,FALSE,"Roof2.4";#N/A,#N/A,FALSE,"wood2.5";#N/A,#N/A,FALSE,"Door2.6";#N/A,#N/A,FALSE,"Finish2.7";#N/A,#N/A,FALSE,"Service2.8";#N/A,#N/A,FALSE,"Summary2"}</definedName>
    <definedName name="________sum5" hidden="1">{#N/A,#N/A,FALSE,"Sub2.1";#N/A,#N/A,FALSE,"Conc2.2";#N/A,#N/A,FALSE,"Block2.3";#N/A,#N/A,FALSE,"Roof2.4";#N/A,#N/A,FALSE,"wood2.5";#N/A,#N/A,FALSE,"Door2.6";#N/A,#N/A,FALSE,"Finish2.7";#N/A,#N/A,FALSE,"Service2.8";#N/A,#N/A,FALSE,"Summary2"}</definedName>
    <definedName name="________sum6" hidden="1">{#N/A,#N/A,FALSE,"Sub2.1";#N/A,#N/A,FALSE,"Conc2.2";#N/A,#N/A,FALSE,"Block2.3";#N/A,#N/A,FALSE,"Roof2.4";#N/A,#N/A,FALSE,"wood2.5";#N/A,#N/A,FALSE,"Door2.6";#N/A,#N/A,FALSE,"Finish2.7";#N/A,#N/A,FALSE,"Service2.8";#N/A,#N/A,FALSE,"Summary2"}</definedName>
    <definedName name="________TOP2">#REF!</definedName>
    <definedName name="________TP2">#REF!</definedName>
    <definedName name="________ugt3">'[4]7-ug'!#REF!</definedName>
    <definedName name="________utl3">'[4]2-utility'!#REF!</definedName>
    <definedName name="________WD2">#REF!</definedName>
    <definedName name="_______aac178">'[5]LTG-STG'!$E$82</definedName>
    <definedName name="_______BLK2">'[6]BLK2'!$1:$1048576</definedName>
    <definedName name="_______BLK3">'[6]BLK3'!$1:$1048576</definedName>
    <definedName name="_______BOQ3">#REF!</definedName>
    <definedName name="_______BOX2">#REF!</definedName>
    <definedName name="_______BVS4">'[3]Ra  stair'!#REF!</definedName>
    <definedName name="_______CAL1">#REF!</definedName>
    <definedName name="_______CAL10">#REF!</definedName>
    <definedName name="_______CAL11">#REF!</definedName>
    <definedName name="_______CAL12">#REF!</definedName>
    <definedName name="_______CAL13">#REF!</definedName>
    <definedName name="_______CAL14">#REF!</definedName>
    <definedName name="_______CAL15">#REF!</definedName>
    <definedName name="_______CAL16">#REF!</definedName>
    <definedName name="_______CAL2">#REF!</definedName>
    <definedName name="_______CAL3">#REF!</definedName>
    <definedName name="_______CAL4">#REF!</definedName>
    <definedName name="_______CAL5">#REF!</definedName>
    <definedName name="_______CAL6">#REF!</definedName>
    <definedName name="_______CAL7">#REF!</definedName>
    <definedName name="_______CAL8">#REF!</definedName>
    <definedName name="_______CAL9">#REF!</definedName>
    <definedName name="_______hsd3">'[4]11-hsd'!#REF!</definedName>
    <definedName name="_______MRS1">#REF!</definedName>
    <definedName name="_______rf1484">[7]RA!$B$58</definedName>
    <definedName name="_______s2">#REF!</definedName>
    <definedName name="_______sd11">'[8]KKC Brkdwn'!$A:$F,'[8]KKC Brkdwn'!#REF!</definedName>
    <definedName name="_______sep3">'[4]13-septic'!#REF!</definedName>
    <definedName name="_______SFL1">#REF!</definedName>
    <definedName name="_______SFL2">#REF!</definedName>
    <definedName name="_______SFL3">#REF!</definedName>
    <definedName name="_______SFM1">#REF!</definedName>
    <definedName name="_______SFM2">#REF!</definedName>
    <definedName name="_______SFM3">#REF!</definedName>
    <definedName name="_______SFM4">#REF!</definedName>
    <definedName name="_______SFM5">#REF!</definedName>
    <definedName name="_______SFM6">#REF!</definedName>
    <definedName name="_______SFM7">#REF!</definedName>
    <definedName name="_______SFQ1">#REF!</definedName>
    <definedName name="_______SFQ2">#REF!</definedName>
    <definedName name="_______SFQ3">#REF!</definedName>
    <definedName name="_______SFQ4">#REF!</definedName>
    <definedName name="_______snd1">#REF!</definedName>
    <definedName name="_______str1">#REF!</definedName>
    <definedName name="_______str2">#REF!</definedName>
    <definedName name="_______str3">#REF!</definedName>
    <definedName name="_______SUM1">#REF!</definedName>
    <definedName name="_______SUM2">#REF!</definedName>
    <definedName name="_______sum4" hidden="1">{#N/A,#N/A,FALSE,"Sub2.1";#N/A,#N/A,FALSE,"Conc2.2";#N/A,#N/A,FALSE,"Block2.3";#N/A,#N/A,FALSE,"Roof2.4";#N/A,#N/A,FALSE,"wood2.5";#N/A,#N/A,FALSE,"Door2.6";#N/A,#N/A,FALSE,"Finish2.7";#N/A,#N/A,FALSE,"Service2.8";#N/A,#N/A,FALSE,"Summary2"}</definedName>
    <definedName name="_______sum5" hidden="1">{#N/A,#N/A,FALSE,"Sub2.1";#N/A,#N/A,FALSE,"Conc2.2";#N/A,#N/A,FALSE,"Block2.3";#N/A,#N/A,FALSE,"Roof2.4";#N/A,#N/A,FALSE,"wood2.5";#N/A,#N/A,FALSE,"Door2.6";#N/A,#N/A,FALSE,"Finish2.7";#N/A,#N/A,FALSE,"Service2.8";#N/A,#N/A,FALSE,"Summary2"}</definedName>
    <definedName name="_______sum6" hidden="1">{#N/A,#N/A,FALSE,"Sub2.1";#N/A,#N/A,FALSE,"Conc2.2";#N/A,#N/A,FALSE,"Block2.3";#N/A,#N/A,FALSE,"Roof2.4";#N/A,#N/A,FALSE,"wood2.5";#N/A,#N/A,FALSE,"Door2.6";#N/A,#N/A,FALSE,"Finish2.7";#N/A,#N/A,FALSE,"Service2.8";#N/A,#N/A,FALSE,"Summary2"}</definedName>
    <definedName name="_______TOP2">#REF!</definedName>
    <definedName name="_______TP2">#REF!</definedName>
    <definedName name="_______ugt3">'[4]7-ug'!#REF!</definedName>
    <definedName name="_______utl3">'[4]2-utility'!#REF!</definedName>
    <definedName name="_______WD2">#REF!</definedName>
    <definedName name="______a66000">#REF!</definedName>
    <definedName name="______aac178">'[5]LTG-STG'!$E$82</definedName>
    <definedName name="______ADD1">#N/A</definedName>
    <definedName name="______ADD2">#N/A</definedName>
    <definedName name="______Apr1">#REF!</definedName>
    <definedName name="______Apr2">#REF!</definedName>
    <definedName name="______BLK2">'[6]BLK2'!$1:$1048576</definedName>
    <definedName name="______BLK3">'[6]BLK3'!$1:$1048576</definedName>
    <definedName name="______BOQ3">#REF!</definedName>
    <definedName name="______BOX2">#REF!</definedName>
    <definedName name="______BUD05">#REF!</definedName>
    <definedName name="______BVS4">'[3]Ra  stair'!#REF!</definedName>
    <definedName name="______CAL1">#REF!</definedName>
    <definedName name="______CAL10">#REF!</definedName>
    <definedName name="______CAL11">#REF!</definedName>
    <definedName name="______CAL12">#REF!</definedName>
    <definedName name="______CAL13">#REF!</definedName>
    <definedName name="______CAL14">#REF!</definedName>
    <definedName name="______CAL15">#REF!</definedName>
    <definedName name="______CAL16">#REF!</definedName>
    <definedName name="______CAL2">#REF!</definedName>
    <definedName name="______CAL3">#REF!</definedName>
    <definedName name="______CAL4">#REF!</definedName>
    <definedName name="______CAL5">#REF!</definedName>
    <definedName name="______CAL6">#REF!</definedName>
    <definedName name="______CAL7">#REF!</definedName>
    <definedName name="______CAL8">#REF!</definedName>
    <definedName name="______CAL9">#REF!</definedName>
    <definedName name="______dep2">#REF!</definedName>
    <definedName name="______dep3">#REF!</definedName>
    <definedName name="______est1">#REF!</definedName>
    <definedName name="______ext2">#REF!</definedName>
    <definedName name="______ext3">#REF!</definedName>
    <definedName name="______fin43">'[9]BILL 4 NEW multi'!$H$673</definedName>
    <definedName name="______hsd3">'[4]11-hsd'!#REF!</definedName>
    <definedName name="______len2">#REF!</definedName>
    <definedName name="______len3">#REF!</definedName>
    <definedName name="______M2">'[10]Total Operations:White Group'!$P$10:$S$205</definedName>
    <definedName name="______mo2">[11]Admin!$B$2:$B$13</definedName>
    <definedName name="______MON1">#REF!</definedName>
    <definedName name="______MON2">#REF!</definedName>
    <definedName name="______MON3">#REF!</definedName>
    <definedName name="______MRS1">#REF!</definedName>
    <definedName name="______ops2">[11]Admin!$A$21:$D$32</definedName>
    <definedName name="______pc1">#REF!</definedName>
    <definedName name="______pc2">#REF!</definedName>
    <definedName name="______pc3">#REF!</definedName>
    <definedName name="______Per1">#REF!</definedName>
    <definedName name="______Per10">#REF!</definedName>
    <definedName name="______Per11">#REF!</definedName>
    <definedName name="______Per12">#REF!</definedName>
    <definedName name="______Per2">#REF!</definedName>
    <definedName name="______Per3">#REF!</definedName>
    <definedName name="______Per4">#REF!</definedName>
    <definedName name="______Per5">#REF!</definedName>
    <definedName name="______Per6">#REF!</definedName>
    <definedName name="______Per7">#REF!</definedName>
    <definedName name="______Per8">#REF!</definedName>
    <definedName name="______Per9">#REF!</definedName>
    <definedName name="______rf1484">[7]RA!$B$58</definedName>
    <definedName name="______s2">#REF!</definedName>
    <definedName name="______sd1">[12]Plumbing!#REF!</definedName>
    <definedName name="______sd11">'[8]KKC Brkdwn'!$A:$F,'[8]KKC Brkdwn'!#REF!</definedName>
    <definedName name="______sep3">'[4]13-septic'!#REF!</definedName>
    <definedName name="______SFL1">#REF!</definedName>
    <definedName name="______SFL2">#REF!</definedName>
    <definedName name="______SFL3">#REF!</definedName>
    <definedName name="______SFM1">#REF!</definedName>
    <definedName name="______SFM2">#REF!</definedName>
    <definedName name="______SFM3">#REF!</definedName>
    <definedName name="______SFM4">#REF!</definedName>
    <definedName name="______SFM5">#REF!</definedName>
    <definedName name="______SFM6">#REF!</definedName>
    <definedName name="______SFM7">#REF!</definedName>
    <definedName name="______SFQ1">#REF!</definedName>
    <definedName name="______SFQ2">#REF!</definedName>
    <definedName name="______SFQ3">#REF!</definedName>
    <definedName name="______SFQ4">#REF!</definedName>
    <definedName name="______snd1">#REF!</definedName>
    <definedName name="______str1">#REF!</definedName>
    <definedName name="______str2">#REF!</definedName>
    <definedName name="______str3">#REF!</definedName>
    <definedName name="______SUM1">#REF!</definedName>
    <definedName name="______SUM2">#REF!</definedName>
    <definedName name="______sum4" hidden="1">{#N/A,#N/A,FALSE,"Sub2.1";#N/A,#N/A,FALSE,"Conc2.2";#N/A,#N/A,FALSE,"Block2.3";#N/A,#N/A,FALSE,"Roof2.4";#N/A,#N/A,FALSE,"wood2.5";#N/A,#N/A,FALSE,"Door2.6";#N/A,#N/A,FALSE,"Finish2.7";#N/A,#N/A,FALSE,"Service2.8";#N/A,#N/A,FALSE,"Summary2"}</definedName>
    <definedName name="______sum5" hidden="1">{#N/A,#N/A,FALSE,"Sub2.1";#N/A,#N/A,FALSE,"Conc2.2";#N/A,#N/A,FALSE,"Block2.3";#N/A,#N/A,FALSE,"Roof2.4";#N/A,#N/A,FALSE,"wood2.5";#N/A,#N/A,FALSE,"Door2.6";#N/A,#N/A,FALSE,"Finish2.7";#N/A,#N/A,FALSE,"Service2.8";#N/A,#N/A,FALSE,"Summary2"}</definedName>
    <definedName name="______sum6" hidden="1">{#N/A,#N/A,FALSE,"Sub2.1";#N/A,#N/A,FALSE,"Conc2.2";#N/A,#N/A,FALSE,"Block2.3";#N/A,#N/A,FALSE,"Roof2.4";#N/A,#N/A,FALSE,"wood2.5";#N/A,#N/A,FALSE,"Door2.6";#N/A,#N/A,FALSE,"Finish2.7";#N/A,#N/A,FALSE,"Service2.8";#N/A,#N/A,FALSE,"Summary2"}</definedName>
    <definedName name="______SW10">#REF!</definedName>
    <definedName name="______tbc2">#REF!</definedName>
    <definedName name="______tbc3">#REF!</definedName>
    <definedName name="______TOP2">#REF!</definedName>
    <definedName name="______TP2">#REF!</definedName>
    <definedName name="______ugt3">'[4]7-ug'!#REF!</definedName>
    <definedName name="______utl3">'[4]2-utility'!#REF!</definedName>
    <definedName name="______WD2">#REF!</definedName>
    <definedName name="______wid2">#REF!</definedName>
    <definedName name="______wid3">#REF!</definedName>
    <definedName name="______xlnm.Criteria">"#REF!"</definedName>
    <definedName name="______xlnm.Database">"#REF!"</definedName>
    <definedName name="______xlnm.Extract">"#REF!"</definedName>
    <definedName name="______xlnm.Print_Titles">"#REF!"</definedName>
    <definedName name="_____a66000">#REF!</definedName>
    <definedName name="_____aac178">'[5]LTG-STG'!$E$82</definedName>
    <definedName name="_____Apr1">#REF!</definedName>
    <definedName name="_____Apr2">#REF!</definedName>
    <definedName name="_____BLK2">'[6]BLK2'!$1:$1048576</definedName>
    <definedName name="_____BLK3">'[6]BLK3'!$1:$1048576</definedName>
    <definedName name="_____BOQ3">#REF!</definedName>
    <definedName name="_____BOX2">#REF!</definedName>
    <definedName name="_____BUD05">#REF!</definedName>
    <definedName name="_____BVS4">'[3]Ra  stair'!#REF!</definedName>
    <definedName name="_____CAL1">#REF!</definedName>
    <definedName name="_____CAL10">#REF!</definedName>
    <definedName name="_____CAL11">#REF!</definedName>
    <definedName name="_____CAL12">#REF!</definedName>
    <definedName name="_____CAL13">#REF!</definedName>
    <definedName name="_____CAL14">#REF!</definedName>
    <definedName name="_____CAL15">#REF!</definedName>
    <definedName name="_____CAL16">#REF!</definedName>
    <definedName name="_____CAL2">#REF!</definedName>
    <definedName name="_____CAL3">#REF!</definedName>
    <definedName name="_____CAL4">#REF!</definedName>
    <definedName name="_____CAL5">#REF!</definedName>
    <definedName name="_____CAL6">#REF!</definedName>
    <definedName name="_____CAL7">#REF!</definedName>
    <definedName name="_____CAL8">#REF!</definedName>
    <definedName name="_____CAL9">#REF!</definedName>
    <definedName name="_____dep2">#REF!</definedName>
    <definedName name="_____dep3">#REF!</definedName>
    <definedName name="_____est1">#REF!</definedName>
    <definedName name="_____ext2">#REF!</definedName>
    <definedName name="_____ext3">#REF!</definedName>
    <definedName name="_____fin43">'[9]BILL 4 NEW multi'!$H$673</definedName>
    <definedName name="_____hsd3">'[4]11-hsd'!#REF!</definedName>
    <definedName name="_____len2">#REF!</definedName>
    <definedName name="_____len3">#REF!</definedName>
    <definedName name="_____M2">'[10]Total Operations:White Group'!$P$10:$S$205</definedName>
    <definedName name="_____MN1">#REF!</definedName>
    <definedName name="_____mo2">[11]Admin!$B$2:$B$13</definedName>
    <definedName name="_____MON1">#REF!</definedName>
    <definedName name="_____MON2">#REF!</definedName>
    <definedName name="_____MON3">#REF!</definedName>
    <definedName name="_____MRS1">#REF!</definedName>
    <definedName name="_____ops2">[11]Admin!$A$21:$D$32</definedName>
    <definedName name="_____pc1">#REF!</definedName>
    <definedName name="_____pc2">#REF!</definedName>
    <definedName name="_____pc3">#REF!</definedName>
    <definedName name="_____Per1">#REF!</definedName>
    <definedName name="_____Per10">#REF!</definedName>
    <definedName name="_____Per11">#REF!</definedName>
    <definedName name="_____Per12">#REF!</definedName>
    <definedName name="_____Per2">#REF!</definedName>
    <definedName name="_____Per3">#REF!</definedName>
    <definedName name="_____Per4">#REF!</definedName>
    <definedName name="_____Per5">#REF!</definedName>
    <definedName name="_____Per6">#REF!</definedName>
    <definedName name="_____Per7">#REF!</definedName>
    <definedName name="_____Per8">#REF!</definedName>
    <definedName name="_____Per9">#REF!</definedName>
    <definedName name="_____rf1484">[7]RA!$B$58</definedName>
    <definedName name="_____S1">'[9]S3 Architectural'!$F$1:$AF$3415</definedName>
    <definedName name="_____sd1">[12]Plumbing!#REF!</definedName>
    <definedName name="_____sd11">'[8]KKC Brkdwn'!$A:$F,'[8]KKC Brkdwn'!#REF!</definedName>
    <definedName name="_____sep3">'[4]13-septic'!#REF!</definedName>
    <definedName name="_____SFL1">#REF!</definedName>
    <definedName name="_____SFL2">#REF!</definedName>
    <definedName name="_____SFL3">#REF!</definedName>
    <definedName name="_____SFM1">#REF!</definedName>
    <definedName name="_____SFM2">#REF!</definedName>
    <definedName name="_____SFM3">#REF!</definedName>
    <definedName name="_____SFM4">#REF!</definedName>
    <definedName name="_____SFM5">#REF!</definedName>
    <definedName name="_____SFM6">#REF!</definedName>
    <definedName name="_____SFM7">#REF!</definedName>
    <definedName name="_____SFQ1">#REF!</definedName>
    <definedName name="_____SFQ2">#REF!</definedName>
    <definedName name="_____SFQ3">#REF!</definedName>
    <definedName name="_____SFQ4">#REF!</definedName>
    <definedName name="_____snd1">#REF!</definedName>
    <definedName name="_____str1">#REF!</definedName>
    <definedName name="_____str2">#REF!</definedName>
    <definedName name="_____str3">#REF!</definedName>
    <definedName name="_____SUM1">#REF!</definedName>
    <definedName name="_____SUM2">#REF!</definedName>
    <definedName name="_____sum4" hidden="1">{#N/A,#N/A,FALSE,"Sub2.1";#N/A,#N/A,FALSE,"Conc2.2";#N/A,#N/A,FALSE,"Block2.3";#N/A,#N/A,FALSE,"Roof2.4";#N/A,#N/A,FALSE,"wood2.5";#N/A,#N/A,FALSE,"Door2.6";#N/A,#N/A,FALSE,"Finish2.7";#N/A,#N/A,FALSE,"Service2.8";#N/A,#N/A,FALSE,"Summary2"}</definedName>
    <definedName name="_____sum5" hidden="1">{#N/A,#N/A,FALSE,"Sub2.1";#N/A,#N/A,FALSE,"Conc2.2";#N/A,#N/A,FALSE,"Block2.3";#N/A,#N/A,FALSE,"Roof2.4";#N/A,#N/A,FALSE,"wood2.5";#N/A,#N/A,FALSE,"Door2.6";#N/A,#N/A,FALSE,"Finish2.7";#N/A,#N/A,FALSE,"Service2.8";#N/A,#N/A,FALSE,"Summary2"}</definedName>
    <definedName name="_____sum6" hidden="1">{#N/A,#N/A,FALSE,"Sub2.1";#N/A,#N/A,FALSE,"Conc2.2";#N/A,#N/A,FALSE,"Block2.3";#N/A,#N/A,FALSE,"Roof2.4";#N/A,#N/A,FALSE,"wood2.5";#N/A,#N/A,FALSE,"Door2.6";#N/A,#N/A,FALSE,"Finish2.7";#N/A,#N/A,FALSE,"Service2.8";#N/A,#N/A,FALSE,"Summary2"}</definedName>
    <definedName name="_____SW10">#REF!</definedName>
    <definedName name="_____TB2">'[13]SPT vs PHI'!$B$2:$C$65</definedName>
    <definedName name="_____tbc2">#REF!</definedName>
    <definedName name="_____tbc3">#REF!</definedName>
    <definedName name="_____TOP2">#REF!</definedName>
    <definedName name="_____TP2">#REF!</definedName>
    <definedName name="_____ugt3">'[4]7-ug'!#REF!</definedName>
    <definedName name="_____utl3">'[4]2-utility'!#REF!</definedName>
    <definedName name="_____WD2">#REF!</definedName>
    <definedName name="_____wid2">#REF!</definedName>
    <definedName name="_____wid3">#REF!</definedName>
    <definedName name="_____xlnm.Print_Titles_1">'[14]1-G1'!#REF!</definedName>
    <definedName name="____a66000">#REF!</definedName>
    <definedName name="____aac178">'[5]LTG-STG'!$E$82</definedName>
    <definedName name="____Apr1">#REF!</definedName>
    <definedName name="____Apr2">#REF!</definedName>
    <definedName name="____BLK2">'[6]BLK2'!$1:$1048576</definedName>
    <definedName name="____BLK3">'[6]BLK3'!$1:$1048576</definedName>
    <definedName name="____BOQ3">#REF!</definedName>
    <definedName name="____BUD05">#REF!</definedName>
    <definedName name="____BVS4">'[3]Ra  stair'!#REF!</definedName>
    <definedName name="____dep2">#REF!</definedName>
    <definedName name="____dep3">#REF!</definedName>
    <definedName name="____dip10">"$#REF!.$D$42"</definedName>
    <definedName name="____dip12">"$#REF!.$D$43"</definedName>
    <definedName name="____dip3">"$#REF!.$D$38"</definedName>
    <definedName name="____dip4">"$#REF!.$D$39"</definedName>
    <definedName name="____dip6">"$#REF!.$D$40"</definedName>
    <definedName name="____dip8">"$#REF!.$D$41"</definedName>
    <definedName name="____est1">#REF!</definedName>
    <definedName name="____ext2">#REF!</definedName>
    <definedName name="____ext3">#REF!</definedName>
    <definedName name="____fin43">'[9]BILL 4 NEW multi'!$H$673</definedName>
    <definedName name="____hsd3">'[4]11-hsd'!#REF!</definedName>
    <definedName name="____len2">#REF!</definedName>
    <definedName name="____len3">#REF!</definedName>
    <definedName name="____M2">'[10]Total Operations:White Group'!$P$10:$S$205</definedName>
    <definedName name="____mo2">[11]Admin!$B$2:$B$13</definedName>
    <definedName name="____MON1">#REF!</definedName>
    <definedName name="____MON2">#REF!</definedName>
    <definedName name="____MON3">#REF!</definedName>
    <definedName name="____MRS1">#REF!</definedName>
    <definedName name="____ops2">[11]Admin!$A$21:$D$32</definedName>
    <definedName name="____PB10">"$#REF!.$L$20"</definedName>
    <definedName name="____PB15">"$#REF!.$L$21"</definedName>
    <definedName name="____PB20">"$#REF!.$L$22"</definedName>
    <definedName name="____pc1">#REF!</definedName>
    <definedName name="____pc2">#REF!</definedName>
    <definedName name="____pc3">#REF!</definedName>
    <definedName name="____Per1">#REF!</definedName>
    <definedName name="____Per10">#REF!</definedName>
    <definedName name="____Per11">#REF!</definedName>
    <definedName name="____Per12">#REF!</definedName>
    <definedName name="____Per2">#REF!</definedName>
    <definedName name="____Per3">#REF!</definedName>
    <definedName name="____Per4">#REF!</definedName>
    <definedName name="____Per5">#REF!</definedName>
    <definedName name="____Per6">#REF!</definedName>
    <definedName name="____Per7">#REF!</definedName>
    <definedName name="____Per8">#REF!</definedName>
    <definedName name="____Per9">#REF!</definedName>
    <definedName name="____PPR125">"$#REF!.$I$13"</definedName>
    <definedName name="____pvc10110">"$#REF!.$I$12"</definedName>
    <definedName name="____pvc10160">"$#REF!.$I$13"</definedName>
    <definedName name="____pvc1020">"$#REF!.$I$4"</definedName>
    <definedName name="____pvc10225">"$#REF!.$I$14"</definedName>
    <definedName name="____pvc1025">"$#REF!.$I$5"</definedName>
    <definedName name="____pvc1032">"$#REF!.$I$6"</definedName>
    <definedName name="____pvc1040">"$#REF!.$I$7"</definedName>
    <definedName name="____pvc1050">"$#REF!.$I$8"</definedName>
    <definedName name="____pvc1063">"$#REF!.$I$9"</definedName>
    <definedName name="____pvc1075">"$#REF!.$I$10"</definedName>
    <definedName name="____pvc1090">"$#REF!.$I$11"</definedName>
    <definedName name="____pvc4110">"$#REF!.$I$34"</definedName>
    <definedName name="____pvc450">"$#REF!.$I$30"</definedName>
    <definedName name="____pvc463">"$#REF!.$I$31"</definedName>
    <definedName name="____pvc475">"$#REF!.$I$32"</definedName>
    <definedName name="____pvc490">"$#REF!.$I$33"</definedName>
    <definedName name="____pvc6110">"$#REF!.$I$24"</definedName>
    <definedName name="____pvc6160">"$#REF!.$I$25"</definedName>
    <definedName name="____pvc6225">"$#REF!.$I$26"</definedName>
    <definedName name="____pvc632">"$#REF!.$I$18"</definedName>
    <definedName name="____pvc640">"$#REF!.$I$19"</definedName>
    <definedName name="____pvc650">"$#REF!.$I$20"</definedName>
    <definedName name="____pvc663">"$#REF!.$I$21"</definedName>
    <definedName name="____pvc675">"$#REF!.$I$22"</definedName>
    <definedName name="____pvc690">"$#REF!.$I$23"</definedName>
    <definedName name="____rf1484">[7]RA!$B$58</definedName>
    <definedName name="____S1">'[9]S3 Architectural'!$F$1:$AF$3415</definedName>
    <definedName name="____sd1">[12]Plumbing!#REF!</definedName>
    <definedName name="____sd11">#N/A</definedName>
    <definedName name="____sep3">'[4]13-septic'!#REF!</definedName>
    <definedName name="____snd1">#REF!</definedName>
    <definedName name="____str1">#REF!</definedName>
    <definedName name="____str2">#REF!</definedName>
    <definedName name="____str3">#REF!</definedName>
    <definedName name="____sum4" hidden="1">{#N/A,#N/A,FALSE,"Sub2.1";#N/A,#N/A,FALSE,"Conc2.2";#N/A,#N/A,FALSE,"Block2.3";#N/A,#N/A,FALSE,"Roof2.4";#N/A,#N/A,FALSE,"wood2.5";#N/A,#N/A,FALSE,"Door2.6";#N/A,#N/A,FALSE,"Finish2.7";#N/A,#N/A,FALSE,"Service2.8";#N/A,#N/A,FALSE,"Summary2"}</definedName>
    <definedName name="____sum5" hidden="1">{#N/A,#N/A,FALSE,"Sub2.1";#N/A,#N/A,FALSE,"Conc2.2";#N/A,#N/A,FALSE,"Block2.3";#N/A,#N/A,FALSE,"Roof2.4";#N/A,#N/A,FALSE,"wood2.5";#N/A,#N/A,FALSE,"Door2.6";#N/A,#N/A,FALSE,"Finish2.7";#N/A,#N/A,FALSE,"Service2.8";#N/A,#N/A,FALSE,"Summary2"}</definedName>
    <definedName name="____sum6" hidden="1">{#N/A,#N/A,FALSE,"Sub2.1";#N/A,#N/A,FALSE,"Conc2.2";#N/A,#N/A,FALSE,"Block2.3";#N/A,#N/A,FALSE,"Roof2.4";#N/A,#N/A,FALSE,"wood2.5";#N/A,#N/A,FALSE,"Door2.6";#N/A,#N/A,FALSE,"Finish2.7";#N/A,#N/A,FALSE,"Service2.8";#N/A,#N/A,FALSE,"Summary2"}</definedName>
    <definedName name="____SW10">#REF!</definedName>
    <definedName name="____TB2">'[13]SPT vs PHI'!$B$2:$C$65</definedName>
    <definedName name="____tbc2">#REF!</definedName>
    <definedName name="____tbc3">#REF!</definedName>
    <definedName name="____TP2">#REF!</definedName>
    <definedName name="____ugt3">'[4]7-ug'!#REF!</definedName>
    <definedName name="____utl3">'[4]2-utility'!#REF!</definedName>
    <definedName name="____vat10">"$#REF!.$C$19"</definedName>
    <definedName name="____vat20">"$#REF!.$C$20"</definedName>
    <definedName name="____wid2">#REF!</definedName>
    <definedName name="____wid3">#REF!</definedName>
    <definedName name="____xlnm.Criteria">"#REF!"</definedName>
    <definedName name="____xlnm.Database">"#REF!"</definedName>
    <definedName name="____xlnm.Extract">"#REF!"</definedName>
    <definedName name="____xlnm.Print_Titles">"#REF!"</definedName>
    <definedName name="___A65800">#REF!</definedName>
    <definedName name="___a66000">#REF!</definedName>
    <definedName name="___A99999">#REF!</definedName>
    <definedName name="___aaa10">#REF!</definedName>
    <definedName name="___aaa5">#REF!</definedName>
    <definedName name="___AAA51">#REF!</definedName>
    <definedName name="___aaa55">#REF!</definedName>
    <definedName name="___AAA6">#REF!</definedName>
    <definedName name="___AAA7">#REF!</definedName>
    <definedName name="___aac178">'[5]LTG-STG'!$E$82</definedName>
    <definedName name="___AAD5">#REF!</definedName>
    <definedName name="___aad55">#REF!</definedName>
    <definedName name="___ADD1">#N/A</definedName>
    <definedName name="___ADD2">#N/A</definedName>
    <definedName name="___Apr1">#REF!</definedName>
    <definedName name="___Apr2">#REF!</definedName>
    <definedName name="___BLK2">'[6]BLK2'!$1:$1048576</definedName>
    <definedName name="___BLK3">'[6]BLK3'!$1:$1048576</definedName>
    <definedName name="___bol1">#REF!</definedName>
    <definedName name="___BOQ3">#REF!</definedName>
    <definedName name="___BUD05">#REF!</definedName>
    <definedName name="___BVS4">'[3]Ra  stair'!#REF!</definedName>
    <definedName name="___car1" hidden="1">{"'Sheet1'!$A$1:$R$58"}</definedName>
    <definedName name="___CAR2" hidden="1">{"'Sheet1'!$A$1:$R$58"}</definedName>
    <definedName name="___CAR3" hidden="1">{"'Sheet1'!$A$1:$R$58"}</definedName>
    <definedName name="___CAR4" hidden="1">{"'Sheet1'!$A$1:$R$58"}</definedName>
    <definedName name="___CAR5" hidden="1">{"'Sheet1'!$A$1:$R$58"}</definedName>
    <definedName name="___CAr6" hidden="1">{"'Sheet1'!$A$1:$R$58"}</definedName>
    <definedName name="___CAR7" hidden="1">{"'Sheet1'!$A$1:$R$58"}</definedName>
    <definedName name="___CAr8" hidden="1">{"'Sheet1'!$A$1:$R$58"}</definedName>
    <definedName name="___CAR9" hidden="1">{"'Sheet1'!$A$1:$R$58"}</definedName>
    <definedName name="___COL10">'[15]col-reinft1'!#REF!</definedName>
    <definedName name="___COL101">'[16]col-reinft1'!#REF!</definedName>
    <definedName name="___COL11">'[15]col-reinft1'!#REF!</definedName>
    <definedName name="___COL111">'[16]col-reinft1'!#REF!</definedName>
    <definedName name="___Ctr10">#REF!</definedName>
    <definedName name="___dep2">#REF!</definedName>
    <definedName name="___dep3">#REF!</definedName>
    <definedName name="___dip10">"$#REF!.$D$42"</definedName>
    <definedName name="___dip12">"$#REF!.$D$43"</definedName>
    <definedName name="___dip3">"$#REF!.$D$38"</definedName>
    <definedName name="___dip4">"$#REF!.$D$39"</definedName>
    <definedName name="___dip6">"$#REF!.$D$40"</definedName>
    <definedName name="___dip8">"$#REF!.$D$41"</definedName>
    <definedName name="___EIC10">"$#REF!.$C$21"</definedName>
    <definedName name="___EIC15">"$#REF!.$C$22"</definedName>
    <definedName name="___est1">#REF!</definedName>
    <definedName name="___exc1">#REF!</definedName>
    <definedName name="___exc11">#REF!</definedName>
    <definedName name="___exc2">#REF!</definedName>
    <definedName name="___EXC3">#REF!</definedName>
    <definedName name="___EXC4">#REF!</definedName>
    <definedName name="___ext2">#REF!</definedName>
    <definedName name="___ext3">#REF!</definedName>
    <definedName name="___fin43">'[9]BILL 4 NEW multi'!$H$673</definedName>
    <definedName name="___foo2">#REF!</definedName>
    <definedName name="___foo3">#REF!</definedName>
    <definedName name="___FOO4">#REF!</definedName>
    <definedName name="___hsd3">'[4]11-hsd'!#REF!</definedName>
    <definedName name="___Key1" hidden="1">[17]Zones!#REF!</definedName>
    <definedName name="___Key2" hidden="1">[17]Zones!#REF!</definedName>
    <definedName name="___len2">#REF!</definedName>
    <definedName name="___len3">#REF!</definedName>
    <definedName name="___M2">'[10]Total Operations:White Group'!$P$10:$S$205</definedName>
    <definedName name="___MN1">#REF!</definedName>
    <definedName name="___mo2">[11]Admin!$B$2:$B$13</definedName>
    <definedName name="___MON1">#REF!</definedName>
    <definedName name="___MON2">#REF!</definedName>
    <definedName name="___MON3">#REF!</definedName>
    <definedName name="___MRS1">#REF!</definedName>
    <definedName name="___OCM01">[18]office!$A$19</definedName>
    <definedName name="___ops2">[11]Admin!$A$21:$D$32</definedName>
    <definedName name="___org2">#REF!</definedName>
    <definedName name="___PB10">"$#REF!.$L$20"</definedName>
    <definedName name="___PB15">"$#REF!.$L$21"</definedName>
    <definedName name="___PB20">"$#REF!.$L$22"</definedName>
    <definedName name="___pc1">#REF!</definedName>
    <definedName name="___pc2">#REF!</definedName>
    <definedName name="___pc3">#REF!</definedName>
    <definedName name="___pcc1">#REF!</definedName>
    <definedName name="___pcc2">#REF!</definedName>
    <definedName name="___pcc3">#REF!</definedName>
    <definedName name="___PCC4">#REF!</definedName>
    <definedName name="___Per1">#REF!</definedName>
    <definedName name="___Per10">#REF!</definedName>
    <definedName name="___Per11">#REF!</definedName>
    <definedName name="___Per12">#REF!</definedName>
    <definedName name="___Per2">#REF!</definedName>
    <definedName name="___Per3">#REF!</definedName>
    <definedName name="___Per4">#REF!</definedName>
    <definedName name="___Per5">#REF!</definedName>
    <definedName name="___Per6">#REF!</definedName>
    <definedName name="___Per7">#REF!</definedName>
    <definedName name="___Per8">#REF!</definedName>
    <definedName name="___Per9">#REF!</definedName>
    <definedName name="___plb1">#REF!</definedName>
    <definedName name="___plb2">#REF!</definedName>
    <definedName name="___plb3">#REF!</definedName>
    <definedName name="___plb4">#REF!</definedName>
    <definedName name="___PN1">#REF!</definedName>
    <definedName name="___PPR125">"$#REF!.$I$13"</definedName>
    <definedName name="___pvc10110">"$#REF!.$I$12"</definedName>
    <definedName name="___pvc10160">"$#REF!.$I$13"</definedName>
    <definedName name="___pvc1020">"$#REF!.$I$4"</definedName>
    <definedName name="___pvc10225">"$#REF!.$I$14"</definedName>
    <definedName name="___pvc1025">"$#REF!.$I$5"</definedName>
    <definedName name="___pvc1032">"$#REF!.$I$6"</definedName>
    <definedName name="___pvc1040">"$#REF!.$I$7"</definedName>
    <definedName name="___pvc1050">"$#REF!.$I$8"</definedName>
    <definedName name="___pvc1063">"$#REF!.$I$9"</definedName>
    <definedName name="___pvc1075">"$#REF!.$I$10"</definedName>
    <definedName name="___pvc1090">"$#REF!.$I$11"</definedName>
    <definedName name="___pvc4110">"$#REF!.$I$34"</definedName>
    <definedName name="___pvc450">"$#REF!.$I$30"</definedName>
    <definedName name="___pvc463">"$#REF!.$I$31"</definedName>
    <definedName name="___pvc475">"$#REF!.$I$32"</definedName>
    <definedName name="___pvc490">"$#REF!.$I$33"</definedName>
    <definedName name="___pvc6110">"$#REF!.$I$24"</definedName>
    <definedName name="___pvc6160">"$#REF!.$I$25"</definedName>
    <definedName name="___pvc6225">"$#REF!.$I$26"</definedName>
    <definedName name="___pvc632">"$#REF!.$I$18"</definedName>
    <definedName name="___pvc640">"$#REF!.$I$19"</definedName>
    <definedName name="___pvc650">"$#REF!.$I$20"</definedName>
    <definedName name="___pvc663">"$#REF!.$I$21"</definedName>
    <definedName name="___pvc675">"$#REF!.$I$22"</definedName>
    <definedName name="___pvc690">"$#REF!.$I$23"</definedName>
    <definedName name="___REM1">#REF!</definedName>
    <definedName name="___REM2">#REF!</definedName>
    <definedName name="___rf1484">[7]RA!$B$58</definedName>
    <definedName name="___RNN1">[19]COLUMN!#REF!</definedName>
    <definedName name="___S1">'[9]S3 Architectural'!$F$1:$AF$3415</definedName>
    <definedName name="___sd1">[12]Plumbing!#REF!</definedName>
    <definedName name="___sd11">#N/A</definedName>
    <definedName name="___sec1">#REF!</definedName>
    <definedName name="___Sec2">#REF!</definedName>
    <definedName name="___sec3">#REF!</definedName>
    <definedName name="___Sec4">#REF!</definedName>
    <definedName name="___sec5">#REF!</definedName>
    <definedName name="___sec6">#REF!</definedName>
    <definedName name="___sec7">#REF!</definedName>
    <definedName name="___sec71">#REF!</definedName>
    <definedName name="___SEC77">#REF!</definedName>
    <definedName name="___sec8">#REF!</definedName>
    <definedName name="___sec81">#REF!</definedName>
    <definedName name="___SEC88">#REF!</definedName>
    <definedName name="___SEC9">#REF!</definedName>
    <definedName name="___SEG1">[18]Lab!$H:$I</definedName>
    <definedName name="___sep3">'[4]13-septic'!#REF!</definedName>
    <definedName name="___SH1">#REF!</definedName>
    <definedName name="___SH2">#REF!</definedName>
    <definedName name="___SH3">#REF!</definedName>
    <definedName name="___SH4">#REF!</definedName>
    <definedName name="___SH5">#REF!</definedName>
    <definedName name="___snd1">#REF!</definedName>
    <definedName name="___SSS3">'[16]col-reinft1'!#REF!</definedName>
    <definedName name="___str1">#REF!</definedName>
    <definedName name="___str2">#REF!</definedName>
    <definedName name="___str3">#REF!</definedName>
    <definedName name="___sub10">#REF!</definedName>
    <definedName name="___sub11">#REF!</definedName>
    <definedName name="___sub12">#REF!</definedName>
    <definedName name="___sub13">#REF!</definedName>
    <definedName name="___sub14">#REF!</definedName>
    <definedName name="___sub15">#REF!</definedName>
    <definedName name="___sub16">#REF!</definedName>
    <definedName name="___sub2">#REF!</definedName>
    <definedName name="___sub3">#REF!</definedName>
    <definedName name="___sub4">#REF!</definedName>
    <definedName name="___sub5">#REF!</definedName>
    <definedName name="___sub6">#REF!</definedName>
    <definedName name="___sub7">#REF!</definedName>
    <definedName name="___sub8">#REF!</definedName>
    <definedName name="___sub9">#REF!</definedName>
    <definedName name="___sum4" hidden="1">{#N/A,#N/A,FALSE,"Sub2.1";#N/A,#N/A,FALSE,"Conc2.2";#N/A,#N/A,FALSE,"Block2.3";#N/A,#N/A,FALSE,"Roof2.4";#N/A,#N/A,FALSE,"wood2.5";#N/A,#N/A,FALSE,"Door2.6";#N/A,#N/A,FALSE,"Finish2.7";#N/A,#N/A,FALSE,"Service2.8";#N/A,#N/A,FALSE,"Summary2"}</definedName>
    <definedName name="___sum5" hidden="1">{#N/A,#N/A,FALSE,"Sub2.1";#N/A,#N/A,FALSE,"Conc2.2";#N/A,#N/A,FALSE,"Block2.3";#N/A,#N/A,FALSE,"Roof2.4";#N/A,#N/A,FALSE,"wood2.5";#N/A,#N/A,FALSE,"Door2.6";#N/A,#N/A,FALSE,"Finish2.7";#N/A,#N/A,FALSE,"Service2.8";#N/A,#N/A,FALSE,"Summary2"}</definedName>
    <definedName name="___sum6" hidden="1">{#N/A,#N/A,FALSE,"Sub2.1";#N/A,#N/A,FALSE,"Conc2.2";#N/A,#N/A,FALSE,"Block2.3";#N/A,#N/A,FALSE,"Roof2.4";#N/A,#N/A,FALSE,"wood2.5";#N/A,#N/A,FALSE,"Door2.6";#N/A,#N/A,FALSE,"Finish2.7";#N/A,#N/A,FALSE,"Service2.8";#N/A,#N/A,FALSE,"Summary2"}</definedName>
    <definedName name="___SW10">#REF!</definedName>
    <definedName name="___TB2">'[13]SPT vs PHI'!$B$2:$C$65</definedName>
    <definedName name="___tbc2">#REF!</definedName>
    <definedName name="___tbc3">#REF!</definedName>
    <definedName name="___tk1">#REF!</definedName>
    <definedName name="___TP2">#REF!</definedName>
    <definedName name="___ugt3">'[4]7-ug'!#REF!</definedName>
    <definedName name="___upa4">[20]upa!$I:$M</definedName>
    <definedName name="___utl3">'[4]2-utility'!#REF!</definedName>
    <definedName name="___Val101">#REF!</definedName>
    <definedName name="___Val102">#REF!</definedName>
    <definedName name="___Val201">#REF!</definedName>
    <definedName name="___Val202">#REF!</definedName>
    <definedName name="___Val301">#REF!</definedName>
    <definedName name="___Val302">#REF!</definedName>
    <definedName name="___vat10">"$#REF!.$C$19"</definedName>
    <definedName name="___vat12">"$#REF!.$C$14"</definedName>
    <definedName name="___vat20">"$#REF!.$C$20"</definedName>
    <definedName name="___wid2">#REF!</definedName>
    <definedName name="___wid3">#REF!</definedName>
    <definedName name="___xlnm.Print_Titles_1">'[14]1-G1'!#REF!</definedName>
    <definedName name="__1__123Graph_ACHART_1" hidden="1">[21]A!$J$144:$U$144</definedName>
    <definedName name="__123Graph_ACURRENT" hidden="1">[23]FitOutConfCentre!#REF!</definedName>
    <definedName name="__123Graph_AOCPRZ2WP" hidden="1">[22]WB!#REF!</definedName>
    <definedName name="__123Graph_A内装" hidden="1">[24]基本ﾃﾞｰﾀ!#REF!</definedName>
    <definedName name="__123Graph_A土工" hidden="1">[24]基本ﾃﾞｰﾀ!#REF!</definedName>
    <definedName name="__123Graph_A外装" hidden="1">[24]基本ﾃﾞｰﾀ!#REF!</definedName>
    <definedName name="__123Graph_A室内" hidden="1">[24]基本ﾃﾞｰﾀ!#REF!</definedName>
    <definedName name="__123Graph_A建築" hidden="1">[24]基本ﾃﾞｰﾀ!#REF!</definedName>
    <definedName name="__123Graph_A躯体" hidden="1">[24]基本ﾃﾞｰﾀ!#REF!</definedName>
    <definedName name="__123Graph_BCURRENT" hidden="1">[1]MOS!$C$6:$C$15</definedName>
    <definedName name="__123Graph_BOCPRZ2DO" hidden="1">[22]WB!#REF!</definedName>
    <definedName name="__123Graph_BOCPRZ2WP" hidden="1">[22]WB!#REF!</definedName>
    <definedName name="__123Graph_BPERFORMANCE" hidden="1">[25]BQMPALOC!#REF!</definedName>
    <definedName name="__123Graph_C" hidden="1">[1]MOS!$D$6:$D$15</definedName>
    <definedName name="__123Graph_CCURRENT" hidden="1">[1]MOS!$D$6:$D$15</definedName>
    <definedName name="__123Graph_COCPRZ1DO" hidden="1">[22]WB!#REF!</definedName>
    <definedName name="__123Graph_COCPRZ2DO" hidden="1">[22]WB!#REF!</definedName>
    <definedName name="__123Graph_COCPRZ2WP" hidden="1">[22]WB!#REF!</definedName>
    <definedName name="__123Graph_D" hidden="1">[1]MOS!$E$6:$E$15</definedName>
    <definedName name="__123Graph_DCURRENT" hidden="1">[1]MOS!$E$6:$E$15</definedName>
    <definedName name="__123Graph_DOCPRZ1DO" hidden="1">[22]WB!#REF!</definedName>
    <definedName name="__123Graph_DOCPRZ1WP" hidden="1">[22]WB!#REF!</definedName>
    <definedName name="__123Graph_DOCPRZ2DO" hidden="1">[22]WB!#REF!</definedName>
    <definedName name="__123Graph_DOCPRZ2WP" hidden="1">[22]WB!#REF!</definedName>
    <definedName name="__123Graph_E" hidden="1">[1]MOS!$F$6:$F$15</definedName>
    <definedName name="__123Graph_ECURRENT" hidden="1">[1]MOS!$F$6:$F$15</definedName>
    <definedName name="__123Graph_EOCPRZ1WP" hidden="1">[22]WB!#REF!</definedName>
    <definedName name="__123Graph_F" hidden="1">[1]MOS!$G$6:$G$15</definedName>
    <definedName name="__123Graph_FCURRENT" hidden="1">[1]MOS!$G$6:$G$15</definedName>
    <definedName name="__123Graph_LBL_B" hidden="1">'[27]PILING (1B &amp; 2)'!$F$7:$F$9</definedName>
    <definedName name="__123Graph_X内装" hidden="1">[24]基本ﾃﾞｰﾀ!#REF!</definedName>
    <definedName name="__123Graph_X土工" hidden="1">[24]基本ﾃﾞｰﾀ!#REF!</definedName>
    <definedName name="__123Graph_X外装" hidden="1">[24]基本ﾃﾞｰﾀ!#REF!</definedName>
    <definedName name="__123Graph_X室内" hidden="1">[24]基本ﾃﾞｰﾀ!#REF!</definedName>
    <definedName name="__123Graph_X建築" hidden="1">[24]基本ﾃﾞｰﾀ!#REF!</definedName>
    <definedName name="__123Graph_X躯体" hidden="1">[24]基本ﾃﾞｰﾀ!#REF!</definedName>
    <definedName name="__1Excel_BuiltIn_Print_Area_3_1">#REF!</definedName>
    <definedName name="__2__123Graph_ACHART_10" hidden="1">[21]A!$J$17:$U$17</definedName>
    <definedName name="__2Excel_BuiltIn_Print_Area_3_1_1_1_1">#REF!</definedName>
    <definedName name="__3__123Graph_ACHART_2" hidden="1">[21]A!$J$6:$U$6</definedName>
    <definedName name="__3Excel_BuiltIn_Print_Area_5_1_1_1">#REF!</definedName>
    <definedName name="__4Excel_BuiltIn_Print_Area_6_1_1_1">#REF!</definedName>
    <definedName name="__5Excel_BuiltIn_Print_Titles_5_1_1_1">#REF!</definedName>
    <definedName name="__6Excel_BuiltIn_Print_Titles_6_1_1_1">#REF!</definedName>
    <definedName name="__a532803">#REF!</definedName>
    <definedName name="__A65800">#REF!</definedName>
    <definedName name="__a66000">#REF!</definedName>
    <definedName name="__A99999">#REF!</definedName>
    <definedName name="__aaa10">#REF!</definedName>
    <definedName name="__aaa5">#REF!</definedName>
    <definedName name="__AAA51">#REF!</definedName>
    <definedName name="__aaa55">#REF!</definedName>
    <definedName name="__AAA6">#REF!</definedName>
    <definedName name="__AAA7">#REF!</definedName>
    <definedName name="__aac178">'[5]LTG-STG'!$E$82</definedName>
    <definedName name="__AAD5">#REF!</definedName>
    <definedName name="__aad55">#REF!</definedName>
    <definedName name="__ab1" hidden="1">{#N/A,#N/A,FALSE,"SumD";#N/A,#N/A,FALSE,"ElecD";#N/A,#N/A,FALSE,"MechD";#N/A,#N/A,FALSE,"GeotD";#N/A,#N/A,FALSE,"PrcsD";#N/A,#N/A,FALSE,"TunnD";#N/A,#N/A,FALSE,"CivlD";#N/A,#N/A,FALSE,"NtwkD";#N/A,#N/A,FALSE,"EstgD";#N/A,#N/A,FALSE,"PEngD"}</definedName>
    <definedName name="__abc123">[28]!__abc123</definedName>
    <definedName name="__abd456">[28]!__abd456</definedName>
    <definedName name="__ADD1">[9]!STOP2:[9]!STOP2E</definedName>
    <definedName name="__ADD2">[9]!STOP:[9]!STOPE</definedName>
    <definedName name="__all1">'[29]Raw Data'!$A$1:$K$63</definedName>
    <definedName name="__Apr1">#REF!</definedName>
    <definedName name="__Apr2">#REF!</definedName>
    <definedName name="__as1" hidden="1">{#N/A,#N/A,FALSE,"SumD";#N/A,#N/A,FALSE,"ElecD";#N/A,#N/A,FALSE,"MechD";#N/A,#N/A,FALSE,"GeotD";#N/A,#N/A,FALSE,"PrcsD";#N/A,#N/A,FALSE,"TunnD";#N/A,#N/A,FALSE,"CivlD";#N/A,#N/A,FALSE,"NtwkD";#N/A,#N/A,FALSE,"EstgD";#N/A,#N/A,FALSE,"PEngD"}</definedName>
    <definedName name="__B800000">#REF!</definedName>
    <definedName name="__blk100">#REF!</definedName>
    <definedName name="__BLK2">'[6]BLK2'!$1:$1048576</definedName>
    <definedName name="__blk200">#REF!</definedName>
    <definedName name="__BLK3">'[6]BLK3'!$1:$1048576</definedName>
    <definedName name="__bol1">#REF!</definedName>
    <definedName name="__BOQ3">#REF!</definedName>
    <definedName name="__BUD05">#REF!</definedName>
    <definedName name="__BVS4">'[3]Ra  stair'!#REF!</definedName>
    <definedName name="__bwk115">#REF!</definedName>
    <definedName name="__bwk230">#REF!</definedName>
    <definedName name="__bwk75">#REF!</definedName>
    <definedName name="__C710T_IFS_BASIC_B">'[30]7IFS-5A'!#REF!</definedName>
    <definedName name="__C710T_IFS_BASIC_C1">'[30]7IFS-5A'!#REF!</definedName>
    <definedName name="__car1" hidden="1">{"'Sheet1'!$A$1:$R$58"}</definedName>
    <definedName name="__CAR2" hidden="1">{"'Sheet1'!$A$1:$R$58"}</definedName>
    <definedName name="__CAR3" hidden="1">{"'Sheet1'!$A$1:$R$58"}</definedName>
    <definedName name="__CAR4" hidden="1">{"'Sheet1'!$A$1:$R$58"}</definedName>
    <definedName name="__CAR5" hidden="1">{"'Sheet1'!$A$1:$R$58"}</definedName>
    <definedName name="__CAr6" hidden="1">{"'Sheet1'!$A$1:$R$58"}</definedName>
    <definedName name="__CAR7" hidden="1">{"'Sheet1'!$A$1:$R$58"}</definedName>
    <definedName name="__CAr8" hidden="1">{"'Sheet1'!$A$1:$R$58"}</definedName>
    <definedName name="__CAR9" hidden="1">{"'Sheet1'!$A$1:$R$58"}</definedName>
    <definedName name="__ccr1" hidden="1">{#N/A,#N/A,TRUE,"Cover";#N/A,#N/A,TRUE,"Conts";#N/A,#N/A,TRUE,"VOS";#N/A,#N/A,TRUE,"Warrington";#N/A,#N/A,TRUE,"Widnes"}</definedName>
    <definedName name="__cf4">[28]!__cf4</definedName>
    <definedName name="__COL10">'[15]col-reinft1'!#REF!</definedName>
    <definedName name="__col100">#REF!</definedName>
    <definedName name="__COL101">'[16]col-reinft1'!#REF!</definedName>
    <definedName name="__COL11">'[15]col-reinft1'!#REF!</definedName>
    <definedName name="__COL111">'[16]col-reinft1'!#REF!</definedName>
    <definedName name="__col150">#REF!</definedName>
    <definedName name="__col200">#REF!</definedName>
    <definedName name="__col250">#REF!</definedName>
    <definedName name="__col300">#REF!</definedName>
    <definedName name="__col50">#REF!</definedName>
    <definedName name="__col75">#REF!</definedName>
    <definedName name="__con124">[31]Analysis!$E$1387</definedName>
    <definedName name="__con136">[31]Analysis!$E$1400</definedName>
    <definedName name="__Ctr10">#REF!</definedName>
    <definedName name="__dip10">"$#REF!.$D$42"</definedName>
    <definedName name="__dip12">"$#REF!.$D$43"</definedName>
    <definedName name="__dip3">"$#REF!.$D$38"</definedName>
    <definedName name="__dip4">"$#REF!.$D$39"</definedName>
    <definedName name="__dip6">"$#REF!.$D$40"</definedName>
    <definedName name="__dip8">"$#REF!.$D$41"</definedName>
    <definedName name="__DIS5">#REF!</definedName>
    <definedName name="__dpc115">#REF!</definedName>
    <definedName name="__dpc230">#REF!</definedName>
    <definedName name="__dpc75">#REF!</definedName>
    <definedName name="__edb150">#REF!</definedName>
    <definedName name="__edb300">#REF!</definedName>
    <definedName name="__edb75">#REF!</definedName>
    <definedName name="__EIC10">"$#REF!.$C$21"</definedName>
    <definedName name="__EIC15">"$#REF!.$C$22"</definedName>
    <definedName name="__ELL45">#REF!</definedName>
    <definedName name="__ELL90">#REF!</definedName>
    <definedName name="__esb100">#REF!</definedName>
    <definedName name="__esb150">#REF!</definedName>
    <definedName name="__esb200">#REF!</definedName>
    <definedName name="__esb300">#REF!</definedName>
    <definedName name="__est1">#REF!</definedName>
    <definedName name="__exc1">#REF!</definedName>
    <definedName name="__exc11">#REF!</definedName>
    <definedName name="__EXC3">#REF!</definedName>
    <definedName name="__exc6">#REF!</definedName>
    <definedName name="__exc8">#REF!</definedName>
    <definedName name="__F1">#REF!</definedName>
    <definedName name="__F3">#REF!</definedName>
    <definedName name="__FF3">#REF!</definedName>
    <definedName name="__fin43">'[9]BILL 4 NEW multi'!$H$673</definedName>
    <definedName name="__flx300">#REF!</definedName>
    <definedName name="__fmk100">#REF!</definedName>
    <definedName name="__fmk200">#REF!</definedName>
    <definedName name="__fmk300">#REF!</definedName>
    <definedName name="__foo1">#REF!</definedName>
    <definedName name="__foo2">#REF!</definedName>
    <definedName name="__foo3">#REF!</definedName>
    <definedName name="__FOO4">#REF!</definedName>
    <definedName name="__FST2">Arch-[32]Master01!$L$2:$L$65536</definedName>
    <definedName name="__hsd3">'[4]11-hsd'!#REF!</definedName>
    <definedName name="__IntlFixup" hidden="1">TRUE</definedName>
    <definedName name="__jay1">#REF!</definedName>
    <definedName name="__jet510">#REF!</definedName>
    <definedName name="__Key1" hidden="1">[17]Zones!#REF!</definedName>
    <definedName name="__Key2" hidden="1">[17]Zones!#REF!</definedName>
    <definedName name="__lat226">#REF!</definedName>
    <definedName name="__lat3810">#REF!</definedName>
    <definedName name="__lat4237">#REF!</definedName>
    <definedName name="__LBV15">[33]Factors!$S$34</definedName>
    <definedName name="__LID32">[33]Factors!$C$109</definedName>
    <definedName name="__m1">'[34]#REF'!#REF!</definedName>
    <definedName name="__M2">'[10]Total Operations:White Group'!$P$10:$S$205</definedName>
    <definedName name="__mo2">[11]Admin!$B$2:$B$13</definedName>
    <definedName name="__MON1">#REF!</definedName>
    <definedName name="__MON2">#REF!</definedName>
    <definedName name="__MON3">#REF!</definedName>
    <definedName name="__MRS1">#REF!</definedName>
    <definedName name="__mt20">#REF!</definedName>
    <definedName name="__mt25">#REF!</definedName>
    <definedName name="__mt32">#REF!</definedName>
    <definedName name="__OCM01">[18]office!$A$19</definedName>
    <definedName name="__old2">'[29]Raw Data'!$B$1:$CF$120</definedName>
    <definedName name="__old3" hidden="1">{#N/A,#N/A,FALSE,"Summary";#N/A,#N/A,FALSE,"3TJ";#N/A,#N/A,FALSE,"3TN";#N/A,#N/A,FALSE,"3TP";#N/A,#N/A,FALSE,"3SJ";#N/A,#N/A,FALSE,"3CJ";#N/A,#N/A,FALSE,"3CN";#N/A,#N/A,FALSE,"3CP";#N/A,#N/A,FALSE,"3A"}</definedName>
    <definedName name="__old4">'[29]Raw Data'!$B$1:$CF$120</definedName>
    <definedName name="__old5" hidden="1">{#N/A,#N/A,FALSE,"Summary";#N/A,#N/A,FALSE,"3TJ";#N/A,#N/A,FALSE,"3TN";#N/A,#N/A,FALSE,"3TP";#N/A,#N/A,FALSE,"3SJ";#N/A,#N/A,FALSE,"3CJ";#N/A,#N/A,FALSE,"3CN";#N/A,#N/A,FALSE,"3CP";#N/A,#N/A,FALSE,"3A"}</definedName>
    <definedName name="__old6">'[29]Raw Data'!$B$1:$CF$120</definedName>
    <definedName name="__old7" hidden="1">{#N/A,#N/A,FALSE,"Summary";#N/A,#N/A,FALSE,"3TJ";#N/A,#N/A,FALSE,"3TN";#N/A,#N/A,FALSE,"3TP";#N/A,#N/A,FALSE,"3SJ";#N/A,#N/A,FALSE,"3CJ";#N/A,#N/A,FALSE,"3CN";#N/A,#N/A,FALSE,"3CP";#N/A,#N/A,FALSE,"3A"}</definedName>
    <definedName name="__ops2">[11]Admin!$A$21:$D$32</definedName>
    <definedName name="__org2">#REF!</definedName>
    <definedName name="__PAV50">[33]Factors!$R$36</definedName>
    <definedName name="__PB10">"$#REF!.$L$20"</definedName>
    <definedName name="__PB15">"$#REF!.$L$21"</definedName>
    <definedName name="__PB20">"$#REF!.$L$22"</definedName>
    <definedName name="__PBV15">[33]Factors!$R$34</definedName>
    <definedName name="__pcc1">#REF!</definedName>
    <definedName name="__pcc2">#REF!</definedName>
    <definedName name="__pcc3">#REF!</definedName>
    <definedName name="__PCC4">#REF!</definedName>
    <definedName name="__PCV100">[33]Factors!$G$40</definedName>
    <definedName name="__PCV25">[33]Factors!$G$34</definedName>
    <definedName name="__Per1">#REF!</definedName>
    <definedName name="__Per10">#REF!</definedName>
    <definedName name="__Per11">#REF!</definedName>
    <definedName name="__Per12">#REF!</definedName>
    <definedName name="__Per2">#REF!</definedName>
    <definedName name="__Per3">#REF!</definedName>
    <definedName name="__Per4">#REF!</definedName>
    <definedName name="__Per5">#REF!</definedName>
    <definedName name="__Per6">#REF!</definedName>
    <definedName name="__Per7">#REF!</definedName>
    <definedName name="__Per8">#REF!</definedName>
    <definedName name="__Per9">#REF!</definedName>
    <definedName name="__PGV15">[33]Factors!$B$32</definedName>
    <definedName name="__PGV20">[33]Factors!$B$33</definedName>
    <definedName name="__PGV25">[33]Factors!$B$34</definedName>
    <definedName name="__PGV50">[33]Factors!$B$37</definedName>
    <definedName name="__pgv65">[33]Factors!$B$38</definedName>
    <definedName name="__PID32">[33]Factors!$B$109</definedName>
    <definedName name="__plb1">#REF!</definedName>
    <definedName name="__plb2">#REF!</definedName>
    <definedName name="__plb3">#REF!</definedName>
    <definedName name="__plb4">#REF!</definedName>
    <definedName name="__PN1">#REF!</definedName>
    <definedName name="__PPR125">"$#REF!.$I$13"</definedName>
    <definedName name="__pvc10110">"$#REF!.$I$12"</definedName>
    <definedName name="__pvc10160">"$#REF!.$I$13"</definedName>
    <definedName name="__pvc1020">"$#REF!.$I$4"</definedName>
    <definedName name="__pvc10225">"$#REF!.$I$14"</definedName>
    <definedName name="__pvc1025">"$#REF!.$I$5"</definedName>
    <definedName name="__pvc1032">"$#REF!.$I$6"</definedName>
    <definedName name="__pvc1040">"$#REF!.$I$7"</definedName>
    <definedName name="__pvc1050">"$#REF!.$I$8"</definedName>
    <definedName name="__pvc1063">"$#REF!.$I$9"</definedName>
    <definedName name="__pvc1075">"$#REF!.$I$10"</definedName>
    <definedName name="__pvc1090">"$#REF!.$I$11"</definedName>
    <definedName name="__pvc4110">"$#REF!.$I$34"</definedName>
    <definedName name="__pvc450">"$#REF!.$I$30"</definedName>
    <definedName name="__pvc463">"$#REF!.$I$31"</definedName>
    <definedName name="__pvc475">"$#REF!.$I$32"</definedName>
    <definedName name="__pvc490">"$#REF!.$I$33"</definedName>
    <definedName name="__pvc6110">"$#REF!.$I$24"</definedName>
    <definedName name="__pvc6160">"$#REF!.$I$25"</definedName>
    <definedName name="__pvc6225">"$#REF!.$I$26"</definedName>
    <definedName name="__pvc632">"$#REF!.$I$18"</definedName>
    <definedName name="__pvc640">"$#REF!.$I$19"</definedName>
    <definedName name="__pvc650">"$#REF!.$I$20"</definedName>
    <definedName name="__pvc663">"$#REF!.$I$21"</definedName>
    <definedName name="__pvc675">"$#REF!.$I$22"</definedName>
    <definedName name="__pvc690">"$#REF!.$I$23"</definedName>
    <definedName name="__QTY1">#N/A</definedName>
    <definedName name="__R__P_BS_ยอดเง">#N/A</definedName>
    <definedName name="__RE112">#REF!</definedName>
    <definedName name="__RE26">#REF!</definedName>
    <definedName name="__RE28">#REF!</definedName>
    <definedName name="__RE30">#REF!</definedName>
    <definedName name="__RE32">#REF!</definedName>
    <definedName name="__RE34">#REF!</definedName>
    <definedName name="__RE36">#REF!</definedName>
    <definedName name="__RE38">#REF!</definedName>
    <definedName name="__RE40">#REF!</definedName>
    <definedName name="__RE42">#REF!</definedName>
    <definedName name="__RE44">#REF!</definedName>
    <definedName name="__RE48">#REF!</definedName>
    <definedName name="__RE52">#REF!</definedName>
    <definedName name="__RE56">#REF!</definedName>
    <definedName name="__RE60">#REF!</definedName>
    <definedName name="__RE64">#REF!</definedName>
    <definedName name="__RE68">#REF!</definedName>
    <definedName name="__RE72">#REF!</definedName>
    <definedName name="__RE76">#REF!</definedName>
    <definedName name="__RE80">#REF!</definedName>
    <definedName name="__RE88">#REF!</definedName>
    <definedName name="__RE92">#REF!</definedName>
    <definedName name="__RE96">#REF!</definedName>
    <definedName name="__REM1">#REF!</definedName>
    <definedName name="__REM2">#REF!</definedName>
    <definedName name="__rf1484">[7]RA!$B$58</definedName>
    <definedName name="__rfr1">#REF!</definedName>
    <definedName name="__rfr2">#REF!</definedName>
    <definedName name="__rfs1000">#REF!</definedName>
    <definedName name="__RNN1">[19]COLUMN!#REF!</definedName>
    <definedName name="__rt6">[28]!__rt6</definedName>
    <definedName name="__S1">'[35]S3 Architectural'!$F$1:$AF$3415</definedName>
    <definedName name="__sb175">#REF!</definedName>
    <definedName name="__sb275">#REF!</definedName>
    <definedName name="__sb300">#REF!</definedName>
    <definedName name="__SC1">#N/A</definedName>
    <definedName name="__sd1">[12]Plumbing!#REF!</definedName>
    <definedName name="__sd11">'[8]KKC Brkdwn'!$A:$F,'[8]KKC Brkdwn'!#REF!</definedName>
    <definedName name="__SDP100">[36]Factors!$B$74</definedName>
    <definedName name="__SDP150">[36]Factors!$B$75</definedName>
    <definedName name="__SDP200">[36]Factors!$B$76</definedName>
    <definedName name="__SDP250">[36]Factors!$B$77</definedName>
    <definedName name="__SDP300">[36]Factors!$B$78</definedName>
    <definedName name="__sec1">#REF!</definedName>
    <definedName name="__Sec2">#REF!</definedName>
    <definedName name="__sec3">#REF!</definedName>
    <definedName name="__Sec4">#REF!</definedName>
    <definedName name="__sec5">#REF!</definedName>
    <definedName name="__sec6">#REF!</definedName>
    <definedName name="__sec7">#REF!</definedName>
    <definedName name="__sec71">#REF!</definedName>
    <definedName name="__SEC77">#REF!</definedName>
    <definedName name="__sec8">#REF!</definedName>
    <definedName name="__sec81">#REF!</definedName>
    <definedName name="__SEC88">#REF!</definedName>
    <definedName name="__SEC9">#REF!</definedName>
    <definedName name="__SEG1">[18]Lab!$H:$I</definedName>
    <definedName name="__sep3">'[4]13-septic'!#REF!</definedName>
    <definedName name="__SH1">#REF!</definedName>
    <definedName name="__SH2">#REF!</definedName>
    <definedName name="__SH3">#REF!</definedName>
    <definedName name="__SH4">#REF!</definedName>
    <definedName name="__SH5">#REF!</definedName>
    <definedName name="__snd1">#REF!</definedName>
    <definedName name="__SSS3">'[16]col-reinft1'!#REF!</definedName>
    <definedName name="__str1">#REF!</definedName>
    <definedName name="__str2">#REF!</definedName>
    <definedName name="__str3">#REF!</definedName>
    <definedName name="__sub10">#REF!</definedName>
    <definedName name="__sub11">#REF!</definedName>
    <definedName name="__sub12">#REF!</definedName>
    <definedName name="__sub13">#REF!</definedName>
    <definedName name="__sub14">#REF!</definedName>
    <definedName name="__sub15">#REF!</definedName>
    <definedName name="__sub16">#REF!</definedName>
    <definedName name="__sub2">#REF!</definedName>
    <definedName name="__sub3">#REF!</definedName>
    <definedName name="__sub4">#REF!</definedName>
    <definedName name="__sub5">#REF!</definedName>
    <definedName name="__sub6">#REF!</definedName>
    <definedName name="__sub7">#REF!</definedName>
    <definedName name="__sub8">#REF!</definedName>
    <definedName name="__sub9">#REF!</definedName>
    <definedName name="__sum4" hidden="1">{#N/A,#N/A,FALSE,"Sub2.1";#N/A,#N/A,FALSE,"Conc2.2";#N/A,#N/A,FALSE,"Block2.3";#N/A,#N/A,FALSE,"Roof2.4";#N/A,#N/A,FALSE,"wood2.5";#N/A,#N/A,FALSE,"Door2.6";#N/A,#N/A,FALSE,"Finish2.7";#N/A,#N/A,FALSE,"Service2.8";#N/A,#N/A,FALSE,"Summary2"}</definedName>
    <definedName name="__sum5" hidden="1">{#N/A,#N/A,FALSE,"Sub2.1";#N/A,#N/A,FALSE,"Conc2.2";#N/A,#N/A,FALSE,"Block2.3";#N/A,#N/A,FALSE,"Roof2.4";#N/A,#N/A,FALSE,"wood2.5";#N/A,#N/A,FALSE,"Door2.6";#N/A,#N/A,FALSE,"Finish2.7";#N/A,#N/A,FALSE,"Service2.8";#N/A,#N/A,FALSE,"Summary2"}</definedName>
    <definedName name="__sum6" hidden="1">{#N/A,#N/A,FALSE,"Sub2.1";#N/A,#N/A,FALSE,"Conc2.2";#N/A,#N/A,FALSE,"Block2.3";#N/A,#N/A,FALSE,"Roof2.4";#N/A,#N/A,FALSE,"wood2.5";#N/A,#N/A,FALSE,"Door2.6";#N/A,#N/A,FALSE,"Finish2.7";#N/A,#N/A,FALSE,"Service2.8";#N/A,#N/A,FALSE,"Summary2"}</definedName>
    <definedName name="__SW10">#REF!</definedName>
    <definedName name="__sw999">#REF!</definedName>
    <definedName name="__TB2">'[13]SPT vs PHI'!$B$2:$C$65</definedName>
    <definedName name="__tee12">#REF!</definedName>
    <definedName name="__tee20">#REF!</definedName>
    <definedName name="__tee25">#REF!</definedName>
    <definedName name="__tee32">#REF!</definedName>
    <definedName name="__tee37">#REF!</definedName>
    <definedName name="__tk1">#REF!</definedName>
    <definedName name="__TP2">#REF!</definedName>
    <definedName name="__ugt3">'[4]7-ug'!#REF!</definedName>
    <definedName name="__upa4">[20]upa!$I:$M</definedName>
    <definedName name="__utl3">'[4]2-utility'!#REF!</definedName>
    <definedName name="__Val101">#REF!</definedName>
    <definedName name="__Val102">#REF!</definedName>
    <definedName name="__Val201">#REF!</definedName>
    <definedName name="__Val202">#REF!</definedName>
    <definedName name="__Val301">#REF!</definedName>
    <definedName name="__Val302">#REF!</definedName>
    <definedName name="__vat10">"$#REF!.$C$19"</definedName>
    <definedName name="__vat12">"$#REF!.$C$14"</definedName>
    <definedName name="__vat20">"$#REF!.$C$20"</definedName>
    <definedName name="__ven3">#REF!</definedName>
    <definedName name="__WP1">#REF!</definedName>
    <definedName name="__xlcn.WorksheetConnection_MainDATAA1O2831" hidden="1">#REF!</definedName>
    <definedName name="__xlcn.WorksheetConnection_SGEMDATAA1O571" hidden="1">#REF!</definedName>
    <definedName name="__xlcn.WorksheetConnection_TAMDEEDDATAA1O2881" hidden="1">#REF!</definedName>
    <definedName name="__xlfn.BAHTTEXT" hidden="1">#NAME?</definedName>
    <definedName name="__xlnm.Criteria">"#REF!"</definedName>
    <definedName name="__xlnm.Database">"#REF!"</definedName>
    <definedName name="__xlnm.Extract">"#REF!"</definedName>
    <definedName name="__xlnm.Print_Area">#REF!</definedName>
    <definedName name="__xlnm.Print_Area_15">#REF!</definedName>
    <definedName name="__xlnm.Print_Area_2">#REF!</definedName>
    <definedName name="__xlnm.Print_Area_7">"#REF!!$A$1:$C$47"</definedName>
    <definedName name="__xlnm.Print_Titles">"#REF!"</definedName>
    <definedName name="__xlnm.Print_Titles_15">#REF!</definedName>
    <definedName name="__xlnm.Print_Titles_2">"#REF!!$1:$1"</definedName>
    <definedName name="__xlnm.Print_Titles_3">"#REF!!$1:$1"</definedName>
    <definedName name="__xlnm.Print_Titles_5">"#REF!!$1:$1"</definedName>
    <definedName name="__xlnm.Print_Titles_6">"#REF!!$1:$1"</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1">#REF!</definedName>
    <definedName name="_01BFCST">#REF!</definedName>
    <definedName name="_02BFCST">#REF!</definedName>
    <definedName name="_03BFCST">#REF!</definedName>
    <definedName name="_04BFCST">#REF!</definedName>
    <definedName name="_05BFCST">#REF!</definedName>
    <definedName name="_06BFCST">#REF!</definedName>
    <definedName name="_07BFCST">#REF!</definedName>
    <definedName name="_08BFCST">#REF!</definedName>
    <definedName name="_09BFCST">#REF!</definedName>
    <definedName name="_0は表示せず空">#REF!</definedName>
    <definedName name="_1_____Excel_BuiltIn_Print_Area_3_1">#REF!</definedName>
    <definedName name="_1___123Graph_ACHART_1" hidden="1">[37]Cash2!$G$16:$G$31</definedName>
    <definedName name="_1__123Graph_ACHART_1" hidden="1">[37]Cash2!$G$16:$G$31</definedName>
    <definedName name="_1__123Graph_Aｸﾞﾗﾌ_1" hidden="1">#REF!</definedName>
    <definedName name="_1_0__123Grap" hidden="1">[38]금융비용!#REF!</definedName>
    <definedName name="_1_US">"jy"</definedName>
    <definedName name="_1_z_1">NA()</definedName>
    <definedName name="_1_労賃金入力">#REF!</definedName>
    <definedName name="_1_総括_B_4縦_">#REF!</definedName>
    <definedName name="_10">#REF!</definedName>
    <definedName name="_10____Excel_BuiltIn_Print_Area_6_1_1_1">#REF!</definedName>
    <definedName name="_10__123Graph_BCHART_17" hidden="1">[21]A!$J$131:$U$131</definedName>
    <definedName name="_10__123Graph_BCHART_19" hidden="1">[39]A!$J$153:$U$153</definedName>
    <definedName name="_10__123Graph_DCHART_1" hidden="1">[37]Cash2!$K$16:$K$36</definedName>
    <definedName name="_10__123Graph_Xｸﾞﾗﾌ_5" hidden="1">#REF!</definedName>
    <definedName name="_1000x2100_H__door">[40]slipsumpR!#REF!</definedName>
    <definedName name="_10BFCST">#REF!</definedName>
    <definedName name="_10Excel_BuiltIn_Print_Area_3_1">NA()</definedName>
    <definedName name="_10Excel_BuiltIn_Print_Titles_5_1_1">"$#REF!.$A$1:$EV$15"</definedName>
    <definedName name="_11____Excel_BuiltIn_Print_Titles_5_1_1_1">#REF!</definedName>
    <definedName name="_11__123Graph_BCHART_19" hidden="1">[21]A!$J$153:$U$153</definedName>
    <definedName name="_11__123Graph_BCHART_2" hidden="1">[39]A!$J$7:$U$7</definedName>
    <definedName name="_11a1_">{"'Sheet1'!$L$16"}</definedName>
    <definedName name="_11BFCST">#REF!</definedName>
    <definedName name="_11Excel_BuiltIn_Print_Area_4_1">NA()</definedName>
    <definedName name="_11Excel_BuiltIn_Print_Titles_6_1_1">"$#REF!.$A$1:$IM$12"</definedName>
    <definedName name="_12" hidden="1">#REF!</definedName>
    <definedName name="_12____Excel_BuiltIn_Print_Titles_6_1_1_1">#REF!</definedName>
    <definedName name="_12__123Graph_BCHART_2" hidden="1">[21]A!$J$7:$U$7</definedName>
    <definedName name="_12__123Graph_BCHART_4" hidden="1">[39]A!$L$128:$U$128</definedName>
    <definedName name="_123">#REF!</definedName>
    <definedName name="_1231" hidden="1">'[41]Raw Data'!#REF!</definedName>
    <definedName name="_12BFCST">#REF!</definedName>
    <definedName name="_12Excel_BuiltIn_Print_Area_3_1">#REF!</definedName>
    <definedName name="_12Excel_BuiltIn_Print_Titles_2_1">NA()</definedName>
    <definedName name="_12Excel_BuiltIn_Print_Titles_7_1_1">"$#REF!.$A$1:$HY$11"</definedName>
    <definedName name="_12FCST">#REF!</definedName>
    <definedName name="_13">#REF!</definedName>
    <definedName name="_13___Excel_BuiltIn_Print_Area_3_1">#REF!</definedName>
    <definedName name="_13__123Graph_BCHART_3" hidden="1">[42]Competitors!$G$5:$G$10</definedName>
    <definedName name="_13__123Graph_CCHART_15" hidden="1">[39]A!$J$138:$U$138</definedName>
    <definedName name="_13Excel_BuiltIn_Print_Area_3_1_1_1_1">#REF!</definedName>
    <definedName name="_13Excel_BuiltIn_Print_Titles_3_1">NA()</definedName>
    <definedName name="_13Excel_BuiltIn_Print_Titles_8_1_1">"$#REF!.$A$1:$IF$11"</definedName>
    <definedName name="_14">#REF!</definedName>
    <definedName name="_14___Excel_BuiltIn_Print_Area_3_1_1_1_1">#REF!</definedName>
    <definedName name="_14__123Graph_BCHART_4" hidden="1">[21]A!$L$128:$U$128</definedName>
    <definedName name="_14__123Graph_CCHART_17" hidden="1">[39]A!$J$130:$U$130</definedName>
    <definedName name="_14Excel_BuiltIn_Print_Titles_4_1">NA()</definedName>
    <definedName name="_15">#REF!</definedName>
    <definedName name="_15___Excel_BuiltIn_Print_Area_5_1_1_1">#REF!</definedName>
    <definedName name="_15__123Graph_CCHART_15" hidden="1">[21]A!$J$138:$U$138</definedName>
    <definedName name="_15__123Graph_CCHART_19" hidden="1">[39]A!$J$152:$U$152</definedName>
    <definedName name="_16">#REF!</definedName>
    <definedName name="_16___Excel_BuiltIn_Print_Area_6_1_1_1">#REF!</definedName>
    <definedName name="_16__123Graph_CCHART_17" hidden="1">[21]A!$J$130:$U$130</definedName>
    <definedName name="_16__123Graph_XCHART_1" hidden="1">[39]A!$J$4:$U$4</definedName>
    <definedName name="_17">#REF!</definedName>
    <definedName name="_17___Excel_BuiltIn_Print_Titles_5_1_1_1">#REF!</definedName>
    <definedName name="_17__123Graph_CCHART_19" hidden="1">[21]A!$J$152:$U$152</definedName>
    <definedName name="_17__123Graph_XCHART_10" hidden="1">[39]A!$J$4:$U$4</definedName>
    <definedName name="_17a1_" hidden="1">{"'Sheet1'!$L$16"}</definedName>
    <definedName name="_18">#REF!</definedName>
    <definedName name="_18___Excel_BuiltIn_Print_Titles_6_1_1_1">#REF!</definedName>
    <definedName name="_18__123Graph_CCHART_3" hidden="1">[42]Competitors!$I$5:$I$10</definedName>
    <definedName name="_18__123Graph_XCHART_15" hidden="1">[39]A!$J$4:$U$4</definedName>
    <definedName name="_18Excel_BuiltIn_Print_Area_3_1_1_1_1">#REF!</definedName>
    <definedName name="_19">#REF!</definedName>
    <definedName name="_19__123Graph_CCHART_4" hidden="1">[42]Competitors!$I$12:$I$22</definedName>
    <definedName name="_19__123Graph_XCHART_17" hidden="1">[39]A!$J$4:$U$4</definedName>
    <definedName name="_19__Excel_BuiltIn_Print_Area_3_1">#REF!</definedName>
    <definedName name="_1COST_PLANNING_AREA">#REF!</definedName>
    <definedName name="_1Excel_BuiltIn_Print_Area_1_1_1">"$#REF!.$A$2:$P$5"</definedName>
    <definedName name="_1Excel_BuiltIn_Print_Area_11_1_1">"$#REF!.$A$1:$J$64"</definedName>
    <definedName name="_1Excel_BuiltIn_Print_Area_12_1_1">#REF!</definedName>
    <definedName name="_1Excel_BuiltIn_Print_Area_3_1">#REF!</definedName>
    <definedName name="_2_____Excel_BuiltIn_Print_Area_3_1_1_1_1">#REF!</definedName>
    <definedName name="_2___123Graph_ACHART_2" hidden="1">[37]Z!$T$179:$AH$179</definedName>
    <definedName name="_2__123Graph_ACHART_10" hidden="1">[39]A!$J$17:$U$17</definedName>
    <definedName name="_2__123Graph_ACHART_2" hidden="1">[37]Z!$T$179:$AH$179</definedName>
    <definedName name="_2__123Graph_Aｸﾞﾗﾌ_2" hidden="1">#REF!</definedName>
    <definedName name="_2_一覧表_棟別_">#REF!</definedName>
    <definedName name="_20">#REF!</definedName>
    <definedName name="_20__123Graph_DCHART_3" hidden="1">[42]Competitors!$K$5:$K$10</definedName>
    <definedName name="_20__123Graph_XCHART_19" hidden="1">[39]A!$J$4:$U$4</definedName>
    <definedName name="_20__Excel_BuiltIn_Print_Area_3_1_1_1_1">#REF!</definedName>
    <definedName name="_21__123Graph_DCHART_4" hidden="1">[42]Competitors!$K$12:$K$22</definedName>
    <definedName name="_21__123Graph_XCHART_2" hidden="1">[39]A!$J$4:$U$4</definedName>
    <definedName name="_21__Excel_BuiltIn_Print_Area_5_1_1_1">#REF!</definedName>
    <definedName name="_22">#N/A</definedName>
    <definedName name="_22__123Graph_ECHART_3" hidden="1">[42]Competitors!$M$5:$M$10</definedName>
    <definedName name="_22__123Graph_XCHART_4" hidden="1">[39]A!$L$4:$U$4</definedName>
    <definedName name="_22__Excel_BuiltIn_Print_Area_6_1_1_1">#REF!</definedName>
    <definedName name="_23__123Graph_ECHART_4" hidden="1">[42]Competitors!$M$12:$M$22</definedName>
    <definedName name="_23__123Graph_XCHART_5" hidden="1">[39]A!$J$4:$U$4</definedName>
    <definedName name="_23__Excel_BuiltIn_Print_Titles_5_1_1_1">#REF!</definedName>
    <definedName name="_24__123Graph_FCHART_3" hidden="1">[42]Competitors!$B$5:$B$10</definedName>
    <definedName name="_24__Excel_BuiltIn_Print_Titles_6_1_1_1">#REF!</definedName>
    <definedName name="_25__123Graph_FCHART_4" hidden="1">[42]Competitors!$B$12:$B$22</definedName>
    <definedName name="_25_Excel_BuiltIn_Print_Area_3_1">#REF!</definedName>
    <definedName name="_26__123Graph_XCHART_1" hidden="1">[21]A!$J$4:$U$4</definedName>
    <definedName name="_26_Excel_BuiltIn_Print_Area_3_1_1_1_1">#REF!</definedName>
    <definedName name="_27__123Graph_XCHART_10" hidden="1">[21]A!$J$4:$U$4</definedName>
    <definedName name="_27_Excel_BuiltIn_Print_Area_5_1_1_1">#REF!</definedName>
    <definedName name="_27Excel_BuiltIn_Print_Area_5_1_1_1">#REF!</definedName>
    <definedName name="_28__123Graph_XCHART_15" hidden="1">[21]A!$J$4:$U$4</definedName>
    <definedName name="_28_Excel_BuiltIn_Print_Area_6_1_1_1">#REF!</definedName>
    <definedName name="_29__123Graph_XCHART_17" hidden="1">[21]A!$J$4:$U$4</definedName>
    <definedName name="_29_Excel_BuiltIn_Print_Titles_5_1_1_1">#REF!</definedName>
    <definedName name="_2a1_">{"'Sheet1'!$L$16"}</definedName>
    <definedName name="_2Excel_BuiltIn__FilterDatabase_2_1">#REF!</definedName>
    <definedName name="_2Excel_BuiltIn_Print_Area_1">#REF!</definedName>
    <definedName name="_2Excel_BuiltIn_Print_Area_2_1">#REF!</definedName>
    <definedName name="_2Excel_BuiltIn_Print_Area_3_1_1_1_1">#REF!</definedName>
    <definedName name="_2Excel_BuiltIn_Print_Titles_2_1">#REF!,#REF!</definedName>
    <definedName name="_2m_100">"$#REF!.$#REF!$#REF!"</definedName>
    <definedName name="_2m_150">"$#REF!.$#REF!$#REF!"</definedName>
    <definedName name="_2m_200">"$#REF!.$#REF!$#REF!"</definedName>
    <definedName name="_2m_25">"$#REF!.$#REF!$#REF!"</definedName>
    <definedName name="_2m_250">"$#REF!.$#REF!$#REF!"</definedName>
    <definedName name="_2m_300">"$#REF!.$#REF!$#REF!"</definedName>
    <definedName name="_2m_32">"$#REF!.$#REF!$#REF!"</definedName>
    <definedName name="_2m_40">"$#REF!.$#REF!$#REF!"</definedName>
    <definedName name="_2m_50">"$#REF!.$#REF!$#REF!"</definedName>
    <definedName name="_2m_65">"$#REF!.$#REF!$#REF!"</definedName>
    <definedName name="_2m_80">"$#REF!.$#REF!$#REF!"</definedName>
    <definedName name="_3_____Excel_BuiltIn_Print_Area_5_1_1_1">#REF!</definedName>
    <definedName name="_3___123Graph_BCHART_2" hidden="1">[37]Z!$T$180:$AH$180</definedName>
    <definedName name="_3__123Graph_ACHART_2" hidden="1">[39]A!$J$6:$U$6</definedName>
    <definedName name="_3__123Graph_Aｸﾞﾗﾌ_3" hidden="1">#REF!</definedName>
    <definedName name="_3__123Graph_BCHART_2" hidden="1">[37]Z!$T$180:$AH$180</definedName>
    <definedName name="_3_初期画面に戻">#REF!</definedName>
    <definedName name="_3_総括資_A_4縦">#REF!</definedName>
    <definedName name="_30__123Graph_XCHART_19" hidden="1">[21]A!$J$4:$U$4</definedName>
    <definedName name="_30_Excel_BuiltIn_Print_Titles_6_1_1_1">#REF!</definedName>
    <definedName name="_30cd___Horizontal_Strobe_light_speaker__wall_mounted">#REF!</definedName>
    <definedName name="_30cd__Vertical_strobe_light__wall_mounted">#REF!</definedName>
    <definedName name="_31__123Graph_XCHART_2" hidden="1">[21]A!$J$4:$U$4</definedName>
    <definedName name="_31_Mar_02">#REF!</definedName>
    <definedName name="_31Excel_BuiltIn_Print_Area_3_1">#REF!</definedName>
    <definedName name="_32__123Graph_XCHART_4" hidden="1">[21]A!$L$4:$U$4</definedName>
    <definedName name="_32Excel_BuiltIn_Print_Area_3_1_1_1_1">#REF!</definedName>
    <definedName name="_33__123Graph_XCHART_5" hidden="1">[21]A!$J$4:$U$4</definedName>
    <definedName name="_33Excel_BuiltIn_Print_Area_5_1_1_1">#REF!</definedName>
    <definedName name="_34Excel_BuiltIn_Print_Area_6_1_1_1">#REF!</definedName>
    <definedName name="_34Parse_" hidden="1">[43]MAIN!#REF!</definedName>
    <definedName name="_35_0_Parse_" hidden="1">[43]MAIN!#REF!</definedName>
    <definedName name="_35Excel_BuiltIn_Print_Titles_5_1_1_1">#REF!</definedName>
    <definedName name="_36Excel_BuiltIn_Print_Area_6_1_1_1">#REF!</definedName>
    <definedName name="_36Excel_BuiltIn_Print_Titles_6_1_1_1">#REF!</definedName>
    <definedName name="_3a1_">{"'Sheet1'!$L$16"}</definedName>
    <definedName name="_3Excel_BuiltIn_Print_Area_3_1">#REF!</definedName>
    <definedName name="_3Excel_BuiltIn_Print_Area_3_1_1">"$#REF!.$A$1:$Z$5"</definedName>
    <definedName name="_3Excel_BuiltIn_Print_Area_5_1_1_1">#REF!</definedName>
    <definedName name="_3Excel_BuiltIn_Print_Titles_2_1">#REF!,#REF!</definedName>
    <definedName name="_3m_100">"$#REF!.$#REF!$#REF!"</definedName>
    <definedName name="_3m_150">"$#REF!.$#REF!$#REF!"</definedName>
    <definedName name="_3m_200">"$#REF!.$#REF!$#REF!"</definedName>
    <definedName name="_3m_25">"$#REF!.$#REF!$#REF!"</definedName>
    <definedName name="_3m_250">"$#REF!.$#REF!$#REF!"</definedName>
    <definedName name="_3m_300">"$#REF!.$#REF!$#REF!"</definedName>
    <definedName name="_3m_32">"$#REF!.$#REF!$#REF!"</definedName>
    <definedName name="_3m_40">"$#REF!.$#REF!$#REF!"</definedName>
    <definedName name="_3m_50">"$#REF!.$#REF!$#REF!"</definedName>
    <definedName name="_3m_65">"$#REF!.$#REF!$#REF!"</definedName>
    <definedName name="_3m_80">"$#REF!.$#REF!$#REF!"</definedName>
    <definedName name="_4.0___M_E_COST_BREAKDOWN___0">#REF!</definedName>
    <definedName name="_4_____Excel_BuiltIn_Print_Area_6_1_1_1">#REF!</definedName>
    <definedName name="_4___123Graph_CCHART_1" hidden="1">[37]Cash2!$J$16:$J$36</definedName>
    <definedName name="_4__123Graph_ACHART_3" hidden="1">[42]Competitors!$E$5:$E$10</definedName>
    <definedName name="_4__123Graph_ACHART_4" hidden="1">[39]A!$L$25:$U$25</definedName>
    <definedName name="_4__123Graph_Aｸﾞﾗﾌ_4" hidden="1">#REF!</definedName>
    <definedName name="_4__123Graph_CCHART_1" hidden="1">[37]Cash2!$J$16:$J$36</definedName>
    <definedName name="_4_事業資_A_4縦">#REF!</definedName>
    <definedName name="_4_印刷">#REF!</definedName>
    <definedName name="_45Excel_BuiltIn_Print_Titles_5_1_1_1">#REF!</definedName>
    <definedName name="_4C_x">#REF!</definedName>
    <definedName name="_4Excel_BuiltIn_Print_Area_3_1_1_1_1">"$#REF!.$A$1:$Z$5"</definedName>
    <definedName name="_4Excel_BuiltIn_Print_Area_4_1">#REF!</definedName>
    <definedName name="_4Excel_BuiltIn_Print_Area_6_1_1_1">#REF!</definedName>
    <definedName name="_4Excel_BuiltIn_Print_Titles_2_1">#REF!,#REF!</definedName>
    <definedName name="_5_____Excel_BuiltIn_Print_Titles_5_1_1_1">#REF!</definedName>
    <definedName name="_5___123Graph_DCHART_1" hidden="1">[37]Cash2!$K$16:$K$36</definedName>
    <definedName name="_5__123Graph_ACHART_4" hidden="1">[21]A!$L$25:$U$25</definedName>
    <definedName name="_5__123Graph_ACHART_5" hidden="1">[39]A!$J$204:$U$204</definedName>
    <definedName name="_5__123Graph_Aｸﾞﾗﾌ_5" hidden="1">#REF!</definedName>
    <definedName name="_5__123Graph_DCHART_1" hidden="1">[37]Cash2!$K$16:$K$36</definedName>
    <definedName name="_5_0ACwvu.Pag" hidden="1">[44]SUMMARY!#REF!</definedName>
    <definedName name="_5_入力表_棟別_">#REF!</definedName>
    <definedName name="_5_罫線引き">#REF!</definedName>
    <definedName name="_54Excel_BuiltIn_Print_Titles_6_1_1_1">#REF!</definedName>
    <definedName name="_5a1_">{"'Sheet1'!$L$16"}</definedName>
    <definedName name="_5Excel_BuiltIn_Print_Area_1">#REF!</definedName>
    <definedName name="_5Excel_BuiltIn_Print_Area_4_1_1">"$#REF!.$A$1:$U$960"</definedName>
    <definedName name="_5Excel_BuiltIn_Print_Area_7_1_1_1_1_1_1_1_1_1_1">"$#REF!.$A$1:$E$2421"</definedName>
    <definedName name="_5Excel_BuiltIn_Print_Titles_5_1_1_1">#REF!</definedName>
    <definedName name="_6_____Excel_BuiltIn_Print_Titles_6_1_1_1">#REF!</definedName>
    <definedName name="_6__123Graph_ACHART_1" hidden="1">[37]Cash2!$G$16:$G$31</definedName>
    <definedName name="_6__123Graph_ACHART_5" hidden="1">[21]A!$J$204:$U$204</definedName>
    <definedName name="_6__123Graph_BCHART_1" hidden="1">[39]A!$J$145:$U$145</definedName>
    <definedName name="_6__123Graph_Xｸﾞﾗﾌ_1" hidden="1">#REF!</definedName>
    <definedName name="_6_0Swvu.Pag" hidden="1">[44]SUMMARY!#REF!</definedName>
    <definedName name="_6_罫線消去">#REF!</definedName>
    <definedName name="_6Excel_BuiltIn_Print_Area_6_1_1">"$#REF!.$A$1:$AF$697"</definedName>
    <definedName name="_6Excel_BuiltIn_Print_Titles_2_1">#REF!,#REF!</definedName>
    <definedName name="_6Excel_BuiltIn_Print_Titles_6_1_1_1">#REF!</definedName>
    <definedName name="_7____Excel_BuiltIn_Print_Area_3_1">#REF!</definedName>
    <definedName name="_7__123Graph_ACHART_2" hidden="1">[37]Z!$T$179:$AH$179</definedName>
    <definedName name="_7__123Graph_BCHART_1" hidden="1">[21]A!$J$145:$U$145</definedName>
    <definedName name="_7__123Graph_BCHART_10" hidden="1">[39]A!$J$24:$U$24</definedName>
    <definedName name="_7__123Graph_Xｸﾞﾗﾌ_2" hidden="1">#REF!</definedName>
    <definedName name="_7a1_">{"'Sheet1'!$L$16"}</definedName>
    <definedName name="_7Excel_BuiltIn_Print_Area_7_1_1">"$#REF!.$A$1:$U$569"</definedName>
    <definedName name="_7Excel_BuiltIn_Print_Titles_3_1">#REF!</definedName>
    <definedName name="_8____Excel_BuiltIn_Print_Area_3_1_1_1_1">#REF!</definedName>
    <definedName name="_8__123Graph_BCHART_10" hidden="1">[21]A!$J$24:$U$24</definedName>
    <definedName name="_8__123Graph_BCHART_15" hidden="1">[39]A!$J$139:$U$139</definedName>
    <definedName name="_8__123Graph_BCHART_2" hidden="1">[37]Z!$T$180:$AH$180</definedName>
    <definedName name="_8__123Graph_Xｸﾞﾗﾌ_3" hidden="1">#REF!</definedName>
    <definedName name="_8_0Rwvu.Pag" hidden="1">[44]SUMMARY!#REF!</definedName>
    <definedName name="_8Excel_BuiltIn_Print_Area_1_1">NA()</definedName>
    <definedName name="_8Excel_BuiltIn_Print_Area_8_1_1">"$#REF!.$A$4:$K$7"</definedName>
    <definedName name="_9____Excel_BuiltIn_Print_Area_5_1_1_1">#REF!</definedName>
    <definedName name="_9__123Graph_BCHART_15" hidden="1">[21]A!$J$139:$U$139</definedName>
    <definedName name="_9__123Graph_BCHART_17" hidden="1">[39]A!$J$131:$U$131</definedName>
    <definedName name="_9__123Graph_CCHART_1" hidden="1">[37]Cash2!$J$16:$J$36</definedName>
    <definedName name="_9__123Graph_Xｸﾞﾗﾌ_4" hidden="1">#REF!</definedName>
    <definedName name="_9a1_">{"'Sheet1'!$L$16"}</definedName>
    <definedName name="_9Excel_BuiltIn_Print_Area_2_1">NA()</definedName>
    <definedName name="_9Excel_BuiltIn_Print_Area_3_1">#REF!</definedName>
    <definedName name="_9Excel_BuiltIn_Print_Titles_4_1_1">"$#REF!.$A$1:$EV$14"</definedName>
    <definedName name="_a">#REF!</definedName>
    <definedName name="_a___0">#REF!</definedName>
    <definedName name="_a___4">#REF!</definedName>
    <definedName name="_a1" hidden="1">{"'Sheet1'!$L$16"}</definedName>
    <definedName name="_a532803">#REF!</definedName>
    <definedName name="_A65800">#REF!</definedName>
    <definedName name="_a66000">#REF!</definedName>
    <definedName name="_A99999">#REF!</definedName>
    <definedName name="_aa1" hidden="1">{#N/A,#N/A,FALSE,"CCTV"}</definedName>
    <definedName name="_aaa1" hidden="1">{#N/A,#N/A,FALSE,"CCTV"}</definedName>
    <definedName name="_AAA51">'[45]#REF'!$A$78</definedName>
    <definedName name="_AAA6">'[45]#REF'!$A$78</definedName>
    <definedName name="_AAA7">'[45]#REF'!$A$78</definedName>
    <definedName name="_aac178">'[5]LTG-STG'!$E$82</definedName>
    <definedName name="_AAD5">[45]Sheet1!$A$78</definedName>
    <definedName name="_ab1" hidden="1">{#N/A,#N/A,FALSE,"SumD";#N/A,#N/A,FALSE,"ElecD";#N/A,#N/A,FALSE,"MechD";#N/A,#N/A,FALSE,"GeotD";#N/A,#N/A,FALSE,"PrcsD";#N/A,#N/A,FALSE,"TunnD";#N/A,#N/A,FALSE,"CivlD";#N/A,#N/A,FALSE,"NtwkD";#N/A,#N/A,FALSE,"EstgD";#N/A,#N/A,FALSE,"PEngD"}</definedName>
    <definedName name="_ABC" hidden="1">[37]Cash2!$G$16:$G$31</definedName>
    <definedName name="_abc123">[28]!_abc123</definedName>
    <definedName name="_abd456">[28]!_abd456</definedName>
    <definedName name="_ACW50">'[46]BUR4-Rd'!$K$603</definedName>
    <definedName name="_ADD1">[47]!STOP2:[47]!STOP2E</definedName>
    <definedName name="_ADD2">[47]!STOP:[47]!STOPE</definedName>
    <definedName name="_ade1">[48]Factors!$AA$272</definedName>
    <definedName name="_ade10">[48]Factors!$AA$281</definedName>
    <definedName name="_ade11">[48]Factors!$AA$282</definedName>
    <definedName name="_ade12">[48]Factors!$AA$283</definedName>
    <definedName name="_ade13">[48]Factors!$AA$284</definedName>
    <definedName name="_ade14">[48]Factors!$AA$285</definedName>
    <definedName name="_ade15">[48]Factors!$AA$286</definedName>
    <definedName name="_ade16">[48]Factors!$AA$287</definedName>
    <definedName name="_ade17">[48]Factors!$AA$288</definedName>
    <definedName name="_ade18">[48]Factors!$AA$289</definedName>
    <definedName name="_ade2">[48]Factors!$AA$273</definedName>
    <definedName name="_ade3">[48]Factors!$AA$274</definedName>
    <definedName name="_ade4">[48]Factors!$AA$275</definedName>
    <definedName name="_ade5">[48]Factors!$AA$276</definedName>
    <definedName name="_ade6">[48]Factors!$AA$277</definedName>
    <definedName name="_ade7">[48]Factors!$AA$278</definedName>
    <definedName name="_ade8">[48]Factors!$AA$279</definedName>
    <definedName name="_ade9">[48]Factors!$AA$280</definedName>
    <definedName name="_afv100">#REF!</definedName>
    <definedName name="_afv125">#REF!</definedName>
    <definedName name="_afv15">#REF!</definedName>
    <definedName name="_afv150">#REF!</definedName>
    <definedName name="_afv20">#REF!</definedName>
    <definedName name="_afv200">#REF!</definedName>
    <definedName name="_afv25">#REF!</definedName>
    <definedName name="_afv250">#REF!</definedName>
    <definedName name="_afv32">#REF!</definedName>
    <definedName name="_afv40">#REF!</definedName>
    <definedName name="_afv50">#REF!</definedName>
    <definedName name="_afv65">[49]Factors!$N$121</definedName>
    <definedName name="_afv80">[49]Factors!$N$122</definedName>
    <definedName name="_alc100">#REF!</definedName>
    <definedName name="_Alclad">[50]Factors!$D$379</definedName>
    <definedName name="_all1">'[29]Raw Data'!$A$1:$K$63</definedName>
    <definedName name="_APP1_FCBR_D__B">#N/A</definedName>
    <definedName name="_Apr1">#REF!</definedName>
    <definedName name="_Apr2">#REF!</definedName>
    <definedName name="_as1" hidden="1">{#N/A,#N/A,FALSE,"SumD";#N/A,#N/A,FALSE,"ElecD";#N/A,#N/A,FALSE,"MechD";#N/A,#N/A,FALSE,"GeotD";#N/A,#N/A,FALSE,"PrcsD";#N/A,#N/A,FALSE,"TunnD";#N/A,#N/A,FALSE,"CivlD";#N/A,#N/A,FALSE,"NtwkD";#N/A,#N/A,FALSE,"EstgD";#N/A,#N/A,FALSE,"PEngD"}</definedName>
    <definedName name="_AUX3">#REF!</definedName>
    <definedName name="_b">#REF!</definedName>
    <definedName name="_B100000">#REF!</definedName>
    <definedName name="_B1000000">#REF!</definedName>
    <definedName name="_B19000">#REF!</definedName>
    <definedName name="_B800000">#REF!</definedName>
    <definedName name="_B990000">#REF!</definedName>
    <definedName name="_Backfilling">#REF!</definedName>
    <definedName name="_Bas1">#REF!</definedName>
    <definedName name="_Bas2">#REF!</definedName>
    <definedName name="_bbb1" hidden="1">{#N/A,#N/A,FALSE,"CCTV"}</definedName>
    <definedName name="_BDR1">#REF!</definedName>
    <definedName name="_BDR2">#REF!</definedName>
    <definedName name="_bht4" hidden="1">{#N/A,#N/A,FALSE,"Chi tiÆt"}</definedName>
    <definedName name="_bht5" hidden="1">{#N/A,#N/A,FALSE,"Chi tiÆt"}</definedName>
    <definedName name="_bht6" hidden="1">{"'Sheet1'!$L$16"}</definedName>
    <definedName name="_BIGRIGHT_2__R_">#N/A</definedName>
    <definedName name="_blk100">#REF!</definedName>
    <definedName name="_BLK2">'[6]BLK2'!$1:$1048576</definedName>
    <definedName name="_blk200">#REF!</definedName>
    <definedName name="_BLK3">'[6]BLK3'!$1:$1048576</definedName>
    <definedName name="_blv100">#REF!</definedName>
    <definedName name="_blv125">#REF!</definedName>
    <definedName name="_blv15">#REF!</definedName>
    <definedName name="_blv150">#REF!</definedName>
    <definedName name="_blv20">#REF!</definedName>
    <definedName name="_blv200">#REF!</definedName>
    <definedName name="_blv25">#REF!</definedName>
    <definedName name="_blv250">#REF!</definedName>
    <definedName name="_blv300">#REF!</definedName>
    <definedName name="_blv32">#REF!</definedName>
    <definedName name="_blv40">#REF!</definedName>
    <definedName name="_blv50">#REF!</definedName>
    <definedName name="_blv65">#REF!</definedName>
    <definedName name="_blv80">#REF!</definedName>
    <definedName name="_bol1">#REF!</definedName>
    <definedName name="_BOQ1">#REF!</definedName>
    <definedName name="_BOQ2" hidden="1">{#N/A,#N/A,FALSE,"OUTPUT SHEET "}</definedName>
    <definedName name="_BUD05">#REF!</definedName>
    <definedName name="_BVS4">'[3]Ra  stair'!#REF!</definedName>
    <definedName name="_bwk115">#REF!</definedName>
    <definedName name="_bwk230">#REF!</definedName>
    <definedName name="_bwk75">#REF!</definedName>
    <definedName name="_c___0">#REF!</definedName>
    <definedName name="_c___4">#REF!</definedName>
    <definedName name="_C710T_IFS_BASIC_A_C">'[30]7IFS-5A'!#REF!</definedName>
    <definedName name="_C710T_IFS_BASIC_B">'[30]7IFS-5A'!#REF!</definedName>
    <definedName name="_C710T_IFS_BASIC_C">'[30]7IFS-5A'!#REF!</definedName>
    <definedName name="_C710T_IFS_BASIC_C1">'[30]7IFS-5A'!#REF!</definedName>
    <definedName name="_C710T_IFS_BASIC_D">'[30]7IFS-5A'!#REF!</definedName>
    <definedName name="_Cable">[51]FC!$L$213:$L$324</definedName>
    <definedName name="_Cable_Acc">#REF!</definedName>
    <definedName name="_car1" hidden="1">{"'Sheet1'!$A$1:$R$58"}</definedName>
    <definedName name="_CAR2" hidden="1">{"'Sheet1'!$A$1:$R$58"}</definedName>
    <definedName name="_CAR3" hidden="1">{"'Sheet1'!$A$1:$R$58"}</definedName>
    <definedName name="_CAR4" hidden="1">{"'Sheet1'!$A$1:$R$58"}</definedName>
    <definedName name="_CAR5" hidden="1">{"'Sheet1'!$A$1:$R$58"}</definedName>
    <definedName name="_CAr6" hidden="1">{"'Sheet1'!$A$1:$R$58"}</definedName>
    <definedName name="_CAR7" hidden="1">{"'Sheet1'!$A$1:$R$58"}</definedName>
    <definedName name="_CAr8" hidden="1">{"'Sheet1'!$A$1:$R$58"}</definedName>
    <definedName name="_CAR9" hidden="1">{"'Sheet1'!$A$1:$R$58"}</definedName>
    <definedName name="_carriage">#REF!</definedName>
    <definedName name="_ccr1" hidden="1">{#N/A,#N/A,TRUE,"Cover";#N/A,#N/A,TRUE,"Conts";#N/A,#N/A,TRUE,"VOS";#N/A,#N/A,TRUE,"Warrington";#N/A,#N/A,TRUE,"Widnes"}</definedName>
    <definedName name="_cf4">[28]!_cf4</definedName>
    <definedName name="_cla100">#REF!</definedName>
    <definedName name="_cla125">#REF!</definedName>
    <definedName name="_cla15">#REF!</definedName>
    <definedName name="_cla150">#REF!</definedName>
    <definedName name="_cla20">#REF!</definedName>
    <definedName name="_cla200">#REF!</definedName>
    <definedName name="_cla25">#REF!</definedName>
    <definedName name="_cla250">#REF!</definedName>
    <definedName name="_cla300">#REF!</definedName>
    <definedName name="_cla32">#REF!</definedName>
    <definedName name="_cla350">#REF!</definedName>
    <definedName name="_cla40">#REF!</definedName>
    <definedName name="_cla400">#REF!</definedName>
    <definedName name="_cla450">#REF!</definedName>
    <definedName name="_cla50">#REF!</definedName>
    <definedName name="_cla65">#REF!</definedName>
    <definedName name="_cla80">#REF!</definedName>
    <definedName name="_Col1">#REF!</definedName>
    <definedName name="_col100">#REF!</definedName>
    <definedName name="_col150">#REF!</definedName>
    <definedName name="_Col2">#REF!</definedName>
    <definedName name="_col200">#REF!</definedName>
    <definedName name="_col250">#REF!</definedName>
    <definedName name="_Col3">#REF!</definedName>
    <definedName name="_col300">#REF!</definedName>
    <definedName name="_Col4">#REF!</definedName>
    <definedName name="_Col5">#REF!</definedName>
    <definedName name="_col50">#REF!</definedName>
    <definedName name="_col75">#REF!</definedName>
    <definedName name="_CON10">[52]Control!$E$6</definedName>
    <definedName name="_con124">[31]Analysis!$E$1387</definedName>
    <definedName name="_con136">[31]Analysis!$E$1400</definedName>
    <definedName name="_CON20">[52]Control!$E$7</definedName>
    <definedName name="_CON2040">[52]Control!$E$8</definedName>
    <definedName name="_CON30">[52]Control!$E$9</definedName>
    <definedName name="_CON40">[52]Control!$E$10</definedName>
    <definedName name="_CON45">[52]Control!$E$11</definedName>
    <definedName name="_Core">[51]FC!$K$213:$K$324</definedName>
    <definedName name="_d">#REF!</definedName>
    <definedName name="_D__R_7___R_3__">#N/A</definedName>
    <definedName name="_d1500" hidden="1">{"'Sheet1'!$L$16"}</definedName>
    <definedName name="_dam24">[53]GIAVLIEU!$M$51</definedName>
    <definedName name="_DAT1">[54]data!#REF!</definedName>
    <definedName name="_DAT10">[54]data!#REF!</definedName>
    <definedName name="_DAT11">[54]data!#REF!</definedName>
    <definedName name="_DAT12">[54]data!#REF!</definedName>
    <definedName name="_DAT13">[54]data!#REF!</definedName>
    <definedName name="_DAT14">[54]data!#REF!</definedName>
    <definedName name="_DAT15">[54]data!#REF!</definedName>
    <definedName name="_DAT16">[54]data!#REF!</definedName>
    <definedName name="_DAT17">[54]data!#REF!</definedName>
    <definedName name="_DAT18">[54]data!#REF!</definedName>
    <definedName name="_DAT19">[54]data!#REF!</definedName>
    <definedName name="_DAT2">[54]data!#REF!</definedName>
    <definedName name="_DAT20">[54]data!#REF!</definedName>
    <definedName name="_DAT21">[54]data!#REF!</definedName>
    <definedName name="_DAT22">[54]data!#REF!</definedName>
    <definedName name="_DAT3">[54]data!#REF!</definedName>
    <definedName name="_DAT4">[54]data!#REF!</definedName>
    <definedName name="_DAT5">[54]data!#REF!</definedName>
    <definedName name="_DAT6">[54]data!#REF!</definedName>
    <definedName name="_DAT7">[54]data!#REF!</definedName>
    <definedName name="_DAT8">[54]data!#REF!</definedName>
    <definedName name="_DAT9">[54]data!#REF!</definedName>
    <definedName name="_Day">[51]EV_FC!$K$53</definedName>
    <definedName name="_dbs11">'[29]Raw Data'!#REF!</definedName>
    <definedName name="_dbs76">'[29]Raw Data'!#REF!</definedName>
    <definedName name="_dip10">#REF!</definedName>
    <definedName name="_dip12">#REF!</definedName>
    <definedName name="_dip3">#REF!</definedName>
    <definedName name="_dip4">#REF!</definedName>
    <definedName name="_dip6">#REF!</definedName>
    <definedName name="_dip8">#REF!</definedName>
    <definedName name="_DIS2">"$#REF!.$#REF!$#REF!"</definedName>
    <definedName name="_DIS3">"$#REF!.$#REF!$#REF!"</definedName>
    <definedName name="_DIS4">"$#REF!.$#REF!$#REF!"</definedName>
    <definedName name="_DIS5">"$#REF!.$#REF!$#REF!"</definedName>
    <definedName name="_Dist_Bin" hidden="1">#REF!</definedName>
    <definedName name="_Dist_Values" hidden="1">#REF!</definedName>
    <definedName name="_dpc115">#REF!</definedName>
    <definedName name="_dpc230">#REF!</definedName>
    <definedName name="_dpc75">#REF!</definedName>
    <definedName name="_e">#REF!</definedName>
    <definedName name="_eag200">[55]Factors!$I$393</definedName>
    <definedName name="_Earth">[51]FC!$M$213:$M$324</definedName>
    <definedName name="_edb150">#REF!</definedName>
    <definedName name="_edb300">#REF!</definedName>
    <definedName name="_edb75">#REF!</definedName>
    <definedName name="_EIC10">#REF!</definedName>
    <definedName name="_EIC15">#REF!</definedName>
    <definedName name="_ELL45">#REF!</definedName>
    <definedName name="_ELL90">#REF!</definedName>
    <definedName name="_END__L__D_">#N/A</definedName>
    <definedName name="_End1">#REF!</definedName>
    <definedName name="_End2">#REF!</definedName>
    <definedName name="_esb100">#REF!</definedName>
    <definedName name="_esb150">#REF!</definedName>
    <definedName name="_esb200">#REF!</definedName>
    <definedName name="_esb300">#REF!</definedName>
    <definedName name="_est1">#REF!</definedName>
    <definedName name="_EURO">[56]Factors!$B$6</definedName>
    <definedName name="_exc2">#REF!</definedName>
    <definedName name="_exc4">#REF!</definedName>
    <definedName name="_exc6">#REF!</definedName>
    <definedName name="_exc8">#REF!</definedName>
    <definedName name="_Excavation">#REF!</definedName>
    <definedName name="_F_Cable_Cost">#REF!</definedName>
    <definedName name="_F_CON_L">#REF!</definedName>
    <definedName name="_F_Con_M">#REF!</definedName>
    <definedName name="_F1">#REF!</definedName>
    <definedName name="_F3">#REF!</definedName>
    <definedName name="_fac15">#REF!</definedName>
    <definedName name="_fac18">#REF!</definedName>
    <definedName name="_fac21">#REF!</definedName>
    <definedName name="_FACTORS">#REF!</definedName>
    <definedName name="_faf1000">[55]Factors!$L$443</definedName>
    <definedName name="_faf21">#REF!</definedName>
    <definedName name="_faf22">#REF!</definedName>
    <definedName name="_faf600">[55]Factors!$L$438</definedName>
    <definedName name="_faf700">[55]Factors!$L$439</definedName>
    <definedName name="_fag100">#REF!</definedName>
    <definedName name="_fag150">#REF!</definedName>
    <definedName name="_fag45">#REF!</definedName>
    <definedName name="_fag50">#REF!</definedName>
    <definedName name="_fag75">#REF!</definedName>
    <definedName name="_fagv15">#REF!</definedName>
    <definedName name="_fagv20">#REF!</definedName>
    <definedName name="_fagv25">#REF!</definedName>
    <definedName name="_fagv32">#REF!</definedName>
    <definedName name="_fan13">[57]Factors!$V$167</definedName>
    <definedName name="_fappr110">[49]Factors!$P$206</definedName>
    <definedName name="_fappr160">[49]Factors!$P$207</definedName>
    <definedName name="_fappr200">#REF!</definedName>
    <definedName name="_fappr250">#REF!</definedName>
    <definedName name="_fappr315">#REF!</definedName>
    <definedName name="_fappr355">#REF!</definedName>
    <definedName name="_fappr63">[49]Factors!$P$203</definedName>
    <definedName name="_fappr75">[49]Factors!$P$204</definedName>
    <definedName name="_fappr90">[49]Factors!$P$205</definedName>
    <definedName name="_farv100">#REF!</definedName>
    <definedName name="_farv125">#REF!</definedName>
    <definedName name="_farv15">#REF!</definedName>
    <definedName name="_farv150">#REF!</definedName>
    <definedName name="_farv20">#REF!</definedName>
    <definedName name="_farv200">#REF!</definedName>
    <definedName name="_farv25">#REF!</definedName>
    <definedName name="_farv250">#REF!</definedName>
    <definedName name="_farv300">#REF!</definedName>
    <definedName name="_farv32">#REF!</definedName>
    <definedName name="_farv40">#REF!</definedName>
    <definedName name="_farv50">#REF!</definedName>
    <definedName name="_farv65">#REF!</definedName>
    <definedName name="_farv80">#REF!</definedName>
    <definedName name="_fbv100">#REF!</definedName>
    <definedName name="_fbv15">#REF!</definedName>
    <definedName name="_fbv150">#REF!</definedName>
    <definedName name="_fbv20">#REF!</definedName>
    <definedName name="_fbv200">#REF!</definedName>
    <definedName name="_fbv25">#REF!</definedName>
    <definedName name="_fbv250">[48]Factors!$M$108</definedName>
    <definedName name="_fbv300">#REF!</definedName>
    <definedName name="_fbv32">#REF!</definedName>
    <definedName name="_fbv350">#REF!</definedName>
    <definedName name="_fbv40">#REF!</definedName>
    <definedName name="_fbv50">#REF!</definedName>
    <definedName name="_fbv65">#REF!</definedName>
    <definedName name="_fbv80">#REF!</definedName>
    <definedName name="_fcd1">#REF!</definedName>
    <definedName name="_fcd2">#REF!</definedName>
    <definedName name="_fcdpi100">[50]Factors!$AC$425</definedName>
    <definedName name="_fcdpi125">[50]Factors!$AC$426</definedName>
    <definedName name="_fcdpi20">[50]Factors!$AC$418</definedName>
    <definedName name="_fcdpi25">[50]Factors!$AC$419</definedName>
    <definedName name="_fcdpi32">[50]Factors!$AC$420</definedName>
    <definedName name="_fcdpi40">[50]Factors!$AC$421</definedName>
    <definedName name="_fcdpi50">[50]Factors!$AC$422</definedName>
    <definedName name="_fcdpi65">[50]Factors!$AC$423</definedName>
    <definedName name="_fcdpi80">[50]Factors!$AC$424</definedName>
    <definedName name="_fci100.rw">#REF!</definedName>
    <definedName name="_fci150.rw">#REF!</definedName>
    <definedName name="_fci50">#REF!</definedName>
    <definedName name="_fci75">#REF!</definedName>
    <definedName name="_fcp125">#REF!</definedName>
    <definedName name="_fcp150">#REF!</definedName>
    <definedName name="_fcu10">#REF!</definedName>
    <definedName name="_fcu12">#REF!</definedName>
    <definedName name="_fcu4">#REF!</definedName>
    <definedName name="_fcu6">#REF!</definedName>
    <definedName name="_fcu8">#REF!</definedName>
    <definedName name="_fcv300">#REF!</definedName>
    <definedName name="_feg1">#REF!</definedName>
    <definedName name="_feg2">#REF!</definedName>
    <definedName name="_feg3">#REF!</definedName>
    <definedName name="_feg4">#REF!</definedName>
    <definedName name="_feg5">#REF!</definedName>
    <definedName name="_feg6">#REF!</definedName>
    <definedName name="_feg7">#REF!</definedName>
    <definedName name="_feg8">#REF!</definedName>
    <definedName name="_FF3">#REF!</definedName>
    <definedName name="_ffc300">#REF!</definedName>
    <definedName name="_ffd1">#REF!</definedName>
    <definedName name="_ffd10">#REF!</definedName>
    <definedName name="_ffd11">#REF!</definedName>
    <definedName name="_ffd12">#REF!</definedName>
    <definedName name="_ffd13">#REF!</definedName>
    <definedName name="_ffd14">#REF!</definedName>
    <definedName name="_ffd15">#REF!</definedName>
    <definedName name="_ffd16">#REF!</definedName>
    <definedName name="_ffd17">#REF!</definedName>
    <definedName name="_ffd2">#REF!</definedName>
    <definedName name="_ffd3">#REF!</definedName>
    <definedName name="_ffd4">#REF!</definedName>
    <definedName name="_ffd5">#REF!</definedName>
    <definedName name="_ffd6">#REF!</definedName>
    <definedName name="_ffd7">#REF!</definedName>
    <definedName name="_ffd8">#REF!</definedName>
    <definedName name="_ffd9">#REF!</definedName>
    <definedName name="_ffil100">#REF!</definedName>
    <definedName name="_ffil200">#REF!</definedName>
    <definedName name="_fgs1">#REF!</definedName>
    <definedName name="_fgs2">#REF!</definedName>
    <definedName name="_fgv300">#REF!</definedName>
    <definedName name="_fgv350">#REF!</definedName>
    <definedName name="_fhr30">#REF!</definedName>
    <definedName name="_ficv100">#REF!</definedName>
    <definedName name="_ficv125">#REF!</definedName>
    <definedName name="_ficv15">#REF!</definedName>
    <definedName name="_ficv150">#REF!</definedName>
    <definedName name="_ficv20">#REF!</definedName>
    <definedName name="_ficv200">#REF!</definedName>
    <definedName name="_ficv25">#REF!</definedName>
    <definedName name="_ficv250">#REF!</definedName>
    <definedName name="_ficv32">#REF!</definedName>
    <definedName name="_ficv40">#REF!</definedName>
    <definedName name="_ficv50">#REF!</definedName>
    <definedName name="_ficv65">#REF!</definedName>
    <definedName name="_ficv80">#REF!</definedName>
    <definedName name="_Fill" hidden="1">#REF!</definedName>
    <definedName name="_Fill2" hidden="1">#REF!</definedName>
    <definedName name="_xlnm._FilterDatabase" hidden="1">#REF!</definedName>
    <definedName name="_fin43">'[11]BILL 4 NEW multi'!$H$673</definedName>
    <definedName name="_flx200">"$#REF!.$#REF!$#REF!"</definedName>
    <definedName name="_flx250">"$#REF!.$#REF!$#REF!"</definedName>
    <definedName name="_flx300">"$#REF!.$#REF!$#REF!"</definedName>
    <definedName name="_fmk100">#REF!</definedName>
    <definedName name="_fmk200">#REF!</definedName>
    <definedName name="_fmk300">#REF!</definedName>
    <definedName name="_fmv100">#REF!</definedName>
    <definedName name="_fmv125">#REF!</definedName>
    <definedName name="_fmv15">#REF!</definedName>
    <definedName name="_fmv150">#REF!</definedName>
    <definedName name="_fmv20">#REF!</definedName>
    <definedName name="_fmv200">#REF!</definedName>
    <definedName name="_fmv25">#REF!</definedName>
    <definedName name="_fmv250">#REF!</definedName>
    <definedName name="_fmv300">#REF!</definedName>
    <definedName name="_fmv32">#REF!</definedName>
    <definedName name="_fmv40">#REF!</definedName>
    <definedName name="_fmv50">#REF!</definedName>
    <definedName name="_fmv65">#REF!</definedName>
    <definedName name="_fmv80">#REF!</definedName>
    <definedName name="_foa1">#REF!</definedName>
    <definedName name="_foa2">#REF!</definedName>
    <definedName name="_foa3">#REF!</definedName>
    <definedName name="_foa4">#REF!</definedName>
    <definedName name="_foa5">#REF!</definedName>
    <definedName name="_foa6">#REF!</definedName>
    <definedName name="_foa7">#REF!</definedName>
    <definedName name="_foa8">#REF!</definedName>
    <definedName name="_foa9">#REF!</definedName>
    <definedName name="_fob11">#N/A</definedName>
    <definedName name="_fob2">#N/A</definedName>
    <definedName name="_fob3">#N/A</definedName>
    <definedName name="_fob4">#N/A</definedName>
    <definedName name="_foo1">#REF!</definedName>
    <definedName name="_fos1">#REF!</definedName>
    <definedName name="_fos300">#REF!</definedName>
    <definedName name="_fpersh">[50]Factors!$F$377</definedName>
    <definedName name="_fpi350">#REF!</definedName>
    <definedName name="_fpi400">#REF!</definedName>
    <definedName name="_fpi450">#REF!</definedName>
    <definedName name="_FPI90">#REF!</definedName>
    <definedName name="_fpr300">#REF!</definedName>
    <definedName name="_FR_?__">#REF!</definedName>
    <definedName name="_frd200">#REF!</definedName>
    <definedName name="_frd250">#REF!</definedName>
    <definedName name="_frd400">#REF!</definedName>
    <definedName name="_frd550">#REF!</definedName>
    <definedName name="_frg1">#REF!</definedName>
    <definedName name="_frg10">#REF!</definedName>
    <definedName name="_frg2">#REF!</definedName>
    <definedName name="_frg3">#REF!</definedName>
    <definedName name="_frg4">#REF!</definedName>
    <definedName name="_frg5">#REF!</definedName>
    <definedName name="_frg6">#REF!</definedName>
    <definedName name="_frg7">#REF!</definedName>
    <definedName name="_frg8">#REF!</definedName>
    <definedName name="_frg9">#REF!</definedName>
    <definedName name="_fsa1">#REF!</definedName>
    <definedName name="_fsa2">#REF!</definedName>
    <definedName name="_fsa3">#REF!</definedName>
    <definedName name="_fsa4">#REF!</definedName>
    <definedName name="_fsa5">#REF!</definedName>
    <definedName name="_fsp100">#REF!</definedName>
    <definedName name="_fsp15">#REF!</definedName>
    <definedName name="_fsp20">#REF!</definedName>
    <definedName name="_fsp25">#REF!</definedName>
    <definedName name="_fsp32">#REF!</definedName>
    <definedName name="_fsp40">#REF!</definedName>
    <definedName name="_fsp50">#REF!</definedName>
    <definedName name="_fsp65">#REF!</definedName>
    <definedName name="_fsp80">#REF!</definedName>
    <definedName name="_FSPI100">#REF!</definedName>
    <definedName name="_FSPI125">#REF!</definedName>
    <definedName name="_FSPI15">#REF!</definedName>
    <definedName name="_FSPI150">#REF!</definedName>
    <definedName name="_FSPI20">#REF!</definedName>
    <definedName name="_FSPI200">#REF!</definedName>
    <definedName name="_FSPI25">#REF!</definedName>
    <definedName name="_FSPI32">#REF!</definedName>
    <definedName name="_FSPI40">#REF!</definedName>
    <definedName name="_FSPI50">#REF!</definedName>
    <definedName name="_FSPI65">#REF!</definedName>
    <definedName name="_FSPI80">#REF!</definedName>
    <definedName name="_FST2">Arch-[32]Master01!$L$2:$L$65536</definedName>
    <definedName name="_fst300">#REF!</definedName>
    <definedName name="_fsv100">#REF!</definedName>
    <definedName name="_fsv125">#REF!</definedName>
    <definedName name="_fsv15">#REF!</definedName>
    <definedName name="_fsv150">#REF!</definedName>
    <definedName name="_fsv20">#REF!</definedName>
    <definedName name="_fsv200">#REF!</definedName>
    <definedName name="_fsv25">#REF!</definedName>
    <definedName name="_fsv250">#REF!</definedName>
    <definedName name="_fsv300">#REF!</definedName>
    <definedName name="_fsv32">#REF!</definedName>
    <definedName name="_fsv40">#REF!</definedName>
    <definedName name="_fsv50">#REF!</definedName>
    <definedName name="_fsv65">#REF!</definedName>
    <definedName name="_fsv80">#REF!</definedName>
    <definedName name="_fun.32">[50]Factors!$V$181</definedName>
    <definedName name="_fun.40">[50]Factors!$V$182</definedName>
    <definedName name="_fun.50">[50]Factors!$V$183</definedName>
    <definedName name="_fvd11">[48]Factors!$H$282</definedName>
    <definedName name="_fvd13">[48]Factors!$H$284</definedName>
    <definedName name="_fvd15">[48]Factors!$H$286</definedName>
    <definedName name="_fvd17">[48]Factors!$H$288</definedName>
    <definedName name="_fvd19">[48]Factors!$H$290</definedName>
    <definedName name="_fvd21">[48]Factors!$H$292</definedName>
    <definedName name="_fvd23">[48]Factors!$H$294</definedName>
    <definedName name="_fvd25">[48]Factors!$H$296</definedName>
    <definedName name="_fvd26">[48]Factors!$H$297</definedName>
    <definedName name="_fvu75">#REF!</definedName>
    <definedName name="_fwc15">#REF!</definedName>
    <definedName name="_fwc18">#REF!</definedName>
    <definedName name="_fwc21">#REF!</definedName>
    <definedName name="_fwc30">#REF!</definedName>
    <definedName name="_fwc37">#REF!</definedName>
    <definedName name="_fwc45">#REF!</definedName>
    <definedName name="_fwc60">#REF!</definedName>
    <definedName name="_fwc75">#REF!</definedName>
    <definedName name="_fwc90">#REF!</definedName>
    <definedName name="_fwm100">#REF!</definedName>
    <definedName name="_fwm150">#REF!</definedName>
    <definedName name="_fwm200">#REF!</definedName>
    <definedName name="_fwm40">#REF!</definedName>
    <definedName name="_fwm50">#REF!</definedName>
    <definedName name="_fwm65">#REF!</definedName>
    <definedName name="_fwm80">#REF!</definedName>
    <definedName name="_g1">#REF!</definedName>
    <definedName name="_GHHKK">'[58]Bill 04 - water supply tb '!#REF!</definedName>
    <definedName name="_Goi8" hidden="1">{"'Sheet1'!$L$16"}</definedName>
    <definedName name="_GOTO_D19__WXEU">#REF!</definedName>
    <definedName name="_GOTO_D2__WCS12">#REF!</definedName>
    <definedName name="_GOTO_D80__WCS1">#REF!</definedName>
    <definedName name="_GOTO_M84__R_3_">#REF!</definedName>
    <definedName name="_GOTO_Q23__R_5_">#REF!</definedName>
    <definedName name="_GRP1">#REF!</definedName>
    <definedName name="_h">#REF!</definedName>
    <definedName name="_h1" hidden="1">{"'Sheet1'!$L$16"}</definedName>
    <definedName name="_HOME__FS">#REF!</definedName>
    <definedName name="_HOME__WGZY__R_">#REF!</definedName>
    <definedName name="_hpi100">#REF!</definedName>
    <definedName name="_hpi125">#REF!</definedName>
    <definedName name="_hpi15">#REF!</definedName>
    <definedName name="_hpi150">#REF!</definedName>
    <definedName name="_hpi20">#REF!</definedName>
    <definedName name="_hpi200">#REF!</definedName>
    <definedName name="_hpi25">#REF!</definedName>
    <definedName name="_hpi250">#REF!</definedName>
    <definedName name="_hpi300">#REF!</definedName>
    <definedName name="_hpi32">#REF!</definedName>
    <definedName name="_hpi40">#REF!</definedName>
    <definedName name="_hpi50">#REF!</definedName>
    <definedName name="_hpi65">#REF!</definedName>
    <definedName name="_hpi80">#REF!</definedName>
    <definedName name="_hsd3">'[4]11-hsd'!#REF!</definedName>
    <definedName name="_hu1" hidden="1">{"'Sheet1'!$L$16"}</definedName>
    <definedName name="_hu2" hidden="1">{"'Sheet1'!$L$16"}</definedName>
    <definedName name="_hu5" hidden="1">{"'Sheet1'!$L$16"}</definedName>
    <definedName name="_hu6" hidden="1">{"'Sheet1'!$L$16"}</definedName>
    <definedName name="_hu7" hidden="1">{"'Sheet1'!$L$16"}</definedName>
    <definedName name="_ig541">#REF!</definedName>
    <definedName name="_jay1">#REF!</definedName>
    <definedName name="_JAY2">#REF!</definedName>
    <definedName name="_jet410">#REF!</definedName>
    <definedName name="_jet420">#REF!</definedName>
    <definedName name="_jet510">#REF!</definedName>
    <definedName name="_John">[28]!_John</definedName>
    <definedName name="_jp100">#REF!</definedName>
    <definedName name="_jp20">#REF!</definedName>
    <definedName name="_jp25">#REF!</definedName>
    <definedName name="_jp32">#REF!</definedName>
    <definedName name="_jp40">#REF!</definedName>
    <definedName name="_jp50">#REF!</definedName>
    <definedName name="_jp65">#REF!</definedName>
    <definedName name="_jp80">#REF!</definedName>
    <definedName name="_Key1" hidden="1">#REF!</definedName>
    <definedName name="_key10" hidden="1">[59]주식!#REF!</definedName>
    <definedName name="_Key2" hidden="1">#REF!</definedName>
    <definedName name="_l">#REF!</definedName>
    <definedName name="_L_._L_6___C__L">#N/A</definedName>
    <definedName name="_lac15">#REF!</definedName>
    <definedName name="_lac18">#REF!</definedName>
    <definedName name="_lac21">#REF!</definedName>
    <definedName name="_laf1000">[55]Factors!$K$443</definedName>
    <definedName name="_laf21">#REF!</definedName>
    <definedName name="_laf22">#REF!</definedName>
    <definedName name="_laf600">[55]Factors!$K$438</definedName>
    <definedName name="_laf700">[55]Factors!$K$439</definedName>
    <definedName name="_lafil100">#REF!</definedName>
    <definedName name="_lafil200">#REF!</definedName>
    <definedName name="_lag100">#REF!</definedName>
    <definedName name="_lag150">#REF!</definedName>
    <definedName name="_lag3">#REF!</definedName>
    <definedName name="_lag45">#REF!</definedName>
    <definedName name="_lag5">#REF!</definedName>
    <definedName name="_lag50">#REF!</definedName>
    <definedName name="_lag75">#REF!</definedName>
    <definedName name="_lagv15">#REF!</definedName>
    <definedName name="_lagv20">#REF!</definedName>
    <definedName name="_lagv25">#REF!</definedName>
    <definedName name="_lAlclad">[50]Factors!$E$379</definedName>
    <definedName name="_lap1">[60]General!$B$2:$G$9</definedName>
    <definedName name="_lappr110">[49]Factors!$O$206</definedName>
    <definedName name="_lappr160">[49]Factors!$O$207</definedName>
    <definedName name="_lappr200">#REF!</definedName>
    <definedName name="_lappr250">#REF!</definedName>
    <definedName name="_lappr315">#REF!</definedName>
    <definedName name="_lappr355">#REF!</definedName>
    <definedName name="_lappr63">[49]Factors!$O$203</definedName>
    <definedName name="_lappr75">[49]Factors!$O$204</definedName>
    <definedName name="_lappr90">[49]Factors!$O$205</definedName>
    <definedName name="_larv100">#REF!</definedName>
    <definedName name="_larv125">#REF!</definedName>
    <definedName name="_larv15">#REF!</definedName>
    <definedName name="_larv150">#REF!</definedName>
    <definedName name="_larv20">#REF!</definedName>
    <definedName name="_larv200">#REF!</definedName>
    <definedName name="_larv25">#REF!</definedName>
    <definedName name="_larv250">#REF!</definedName>
    <definedName name="_larv300">#REF!</definedName>
    <definedName name="_larv32">#REF!</definedName>
    <definedName name="_larv40">#REF!</definedName>
    <definedName name="_larv50">#REF!</definedName>
    <definedName name="_larv65">#REF!</definedName>
    <definedName name="_larv80">#REF!</definedName>
    <definedName name="_lat226">#REF!</definedName>
    <definedName name="_lat3810">#REF!</definedName>
    <definedName name="_lat4237">#REF!</definedName>
    <definedName name="_lavg32">#REF!</definedName>
    <definedName name="_lbg1">#REF!</definedName>
    <definedName name="_lbv100">#REF!</definedName>
    <definedName name="_lbv15">#REF!</definedName>
    <definedName name="_lbv150">#REF!</definedName>
    <definedName name="_lbv20">#REF!</definedName>
    <definedName name="_lbv200">#REF!</definedName>
    <definedName name="_lbv25">#REF!</definedName>
    <definedName name="_lbv250">[48]Factors!$L$108</definedName>
    <definedName name="_lbv300">#REF!</definedName>
    <definedName name="_lbv32">#REF!</definedName>
    <definedName name="_lbv350">#REF!</definedName>
    <definedName name="_lbv40">#REF!</definedName>
    <definedName name="_lbv50">#REF!</definedName>
    <definedName name="_lbv65">#REF!</definedName>
    <definedName name="_lbv80">#REF!</definedName>
    <definedName name="_lcd1">#REF!</definedName>
    <definedName name="_lcd2">#REF!</definedName>
    <definedName name="_lcdpi100">[50]Factors!$AB$425</definedName>
    <definedName name="_lcdpi125">[50]Factors!$AB$426</definedName>
    <definedName name="_lcdpi20">[50]Factors!$AB$418</definedName>
    <definedName name="_lcdpi25">[50]Factors!$AB$419</definedName>
    <definedName name="_lcdpi32">[50]Factors!$AB$420</definedName>
    <definedName name="_lcdpi40">[50]Factors!$AB$421</definedName>
    <definedName name="_lcdpi50">[50]Factors!$AB$422</definedName>
    <definedName name="_lcdpi65">[50]Factors!$AB$423</definedName>
    <definedName name="_lcdpi80">[50]Factors!$AB$424</definedName>
    <definedName name="_lci100.rw">#REF!</definedName>
    <definedName name="_lci150.rw">#REF!</definedName>
    <definedName name="_lci50">#REF!</definedName>
    <definedName name="_lci75">#REF!</definedName>
    <definedName name="_lcv300">#REF!</definedName>
    <definedName name="_leg1">#REF!</definedName>
    <definedName name="_leg2">#REF!</definedName>
    <definedName name="_leg6">#REF!</definedName>
    <definedName name="_leg7">#REF!</definedName>
    <definedName name="_leg8">#REF!</definedName>
    <definedName name="_Length">[51]FC!$N$213:$N$324</definedName>
    <definedName name="_lfc300">#REF!</definedName>
    <definedName name="_lfd1">#REF!</definedName>
    <definedName name="_lfd10">#REF!</definedName>
    <definedName name="_lfd11">#REF!</definedName>
    <definedName name="_lfd12">#REF!</definedName>
    <definedName name="_lfd13">#REF!</definedName>
    <definedName name="_lfd14">#REF!</definedName>
    <definedName name="_lfd15">#REF!</definedName>
    <definedName name="_lfd16">#REF!</definedName>
    <definedName name="_lfd17">#REF!</definedName>
    <definedName name="_lfd2">#REF!</definedName>
    <definedName name="_lfd3">#REF!</definedName>
    <definedName name="_lfd4">#REF!</definedName>
    <definedName name="_lfd5">#REF!</definedName>
    <definedName name="_lfd6">#REF!</definedName>
    <definedName name="_lfd7">#REF!</definedName>
    <definedName name="_lfd8">#REF!</definedName>
    <definedName name="_lfd9">#REF!</definedName>
    <definedName name="_lgs1">#REF!</definedName>
    <definedName name="_lgs2">#REF!</definedName>
    <definedName name="_lgv300">#REF!</definedName>
    <definedName name="_lgv350">#REF!</definedName>
    <definedName name="_lhr30">#REF!</definedName>
    <definedName name="_licv100">#REF!</definedName>
    <definedName name="_licv125">#REF!</definedName>
    <definedName name="_licv15">#REF!</definedName>
    <definedName name="_licv150">#REF!</definedName>
    <definedName name="_licv20">#REF!</definedName>
    <definedName name="_licv200">#REF!</definedName>
    <definedName name="_licv25">#REF!</definedName>
    <definedName name="_licv250">#REF!</definedName>
    <definedName name="_licv32">#REF!</definedName>
    <definedName name="_licv40">#REF!</definedName>
    <definedName name="_licv50">#REF!</definedName>
    <definedName name="_licv65">#REF!</definedName>
    <definedName name="_licv80">#REF!</definedName>
    <definedName name="_LID32">#REF!</definedName>
    <definedName name="_llp50">#REF!</definedName>
    <definedName name="_LM_SUMMARY">#REF!</definedName>
    <definedName name="_lmv100">#REF!</definedName>
    <definedName name="_lmv125">#REF!</definedName>
    <definedName name="_lmv15">#REF!</definedName>
    <definedName name="_lmv150">#REF!</definedName>
    <definedName name="_lmv20">#REF!</definedName>
    <definedName name="_lmv200">#REF!</definedName>
    <definedName name="_lmv25">#REF!</definedName>
    <definedName name="_lmv250">#REF!</definedName>
    <definedName name="_lmv300">#REF!</definedName>
    <definedName name="_lmv32">#REF!</definedName>
    <definedName name="_lmv40">#REF!</definedName>
    <definedName name="_lmv50">#REF!</definedName>
    <definedName name="_lmv65">#REF!</definedName>
    <definedName name="_lmv80">#REF!</definedName>
    <definedName name="_loa1">#REF!</definedName>
    <definedName name="_loa2">#REF!</definedName>
    <definedName name="_loa3">#REF!</definedName>
    <definedName name="_loa4">#REF!</definedName>
    <definedName name="_loa5">#REF!</definedName>
    <definedName name="_loa6">#REF!</definedName>
    <definedName name="_loa7">#REF!</definedName>
    <definedName name="_loa8">#REF!</definedName>
    <definedName name="_loa9">#REF!</definedName>
    <definedName name="_LOAD">#REF!</definedName>
    <definedName name="_los300">#REF!</definedName>
    <definedName name="_lovu75">#REF!</definedName>
    <definedName name="_lpi350">#REF!</definedName>
    <definedName name="_lpi400">#REF!</definedName>
    <definedName name="_lpi450">#REF!</definedName>
    <definedName name="_LPI500">[50]Factors!$O$432</definedName>
    <definedName name="_LPI90">#REF!</definedName>
    <definedName name="_lpr300">#REF!</definedName>
    <definedName name="_lrd200">#REF!</definedName>
    <definedName name="_lrd250">#REF!</definedName>
    <definedName name="_lrd400">#REF!</definedName>
    <definedName name="_lrd550">#REF!</definedName>
    <definedName name="_lrg1">#REF!</definedName>
    <definedName name="_lrg2">#REF!</definedName>
    <definedName name="_lrg3">#REF!</definedName>
    <definedName name="_lrg4">#REF!</definedName>
    <definedName name="_lrg5">#REF!</definedName>
    <definedName name="_lsa1">#REF!</definedName>
    <definedName name="_lsa2">#REF!</definedName>
    <definedName name="_lsa3">#REF!</definedName>
    <definedName name="_lsa4">#REF!</definedName>
    <definedName name="_lsa5">#REF!</definedName>
    <definedName name="_lsd150">[55]Factors!$U$358</definedName>
    <definedName name="_lsd200">[55]Factors!$U$360</definedName>
    <definedName name="_lsd250">[55]Factors!$U$362</definedName>
    <definedName name="_lsd300">[55]Factors!$U$364</definedName>
    <definedName name="_lsd350">[55]Factors!$U$365</definedName>
    <definedName name="_LSP5">#REF!</definedName>
    <definedName name="_LSPI100">#REF!</definedName>
    <definedName name="_LSPI125">#REF!</definedName>
    <definedName name="_LSPI15">#REF!</definedName>
    <definedName name="_LSPI150">#REF!</definedName>
    <definedName name="_LSPI20">#REF!</definedName>
    <definedName name="_LSPI200">#REF!</definedName>
    <definedName name="_LSPI25">#REF!</definedName>
    <definedName name="_LSPI32">#REF!</definedName>
    <definedName name="_LSPI40">#REF!</definedName>
    <definedName name="_LSPI50">#REF!</definedName>
    <definedName name="_LSPI65">#REF!</definedName>
    <definedName name="_LSPI80">#REF!</definedName>
    <definedName name="_lst300">#REF!</definedName>
    <definedName name="_lsv100">#REF!</definedName>
    <definedName name="_lsv125">#REF!</definedName>
    <definedName name="_lsv15">#REF!</definedName>
    <definedName name="_lsv150">#REF!</definedName>
    <definedName name="_lsv20">#REF!</definedName>
    <definedName name="_lsv200">#REF!</definedName>
    <definedName name="_lsv25">#REF!</definedName>
    <definedName name="_lsv250">#REF!</definedName>
    <definedName name="_lsv300">#REF!</definedName>
    <definedName name="_lsv32">#REF!</definedName>
    <definedName name="_lsv40">#REF!</definedName>
    <definedName name="_lsv50">#REF!</definedName>
    <definedName name="_lsv65">#REF!</definedName>
    <definedName name="_lsv80">#REF!</definedName>
    <definedName name="_ltvu75">#REF!</definedName>
    <definedName name="_lun.32">[50]Factors!$U$181</definedName>
    <definedName name="_lun.40">[50]Factors!$U$182</definedName>
    <definedName name="_lun.50">[50]Factors!$U$183</definedName>
    <definedName name="_luvu75">#REF!</definedName>
    <definedName name="_lvd11">[48]Factors!$G$282</definedName>
    <definedName name="_lvd13">[48]Factors!$G$284</definedName>
    <definedName name="_lvd15">[48]Factors!$G$286</definedName>
    <definedName name="_lvd17">[48]Factors!$G$288</definedName>
    <definedName name="_lvd19">[48]Factors!$G$290</definedName>
    <definedName name="_lvd21">[48]Factors!$G$292</definedName>
    <definedName name="_lvd23">[48]Factors!$G$294</definedName>
    <definedName name="_lvd25">[48]Factors!$G$296</definedName>
    <definedName name="_lvd26">[48]Factors!$G$297</definedName>
    <definedName name="_lvu75">#REF!</definedName>
    <definedName name="_lwm100">#REF!</definedName>
    <definedName name="_lwm150">#REF!</definedName>
    <definedName name="_lwm200">#REF!</definedName>
    <definedName name="_lwm40">#REF!</definedName>
    <definedName name="_lwm50">#REF!</definedName>
    <definedName name="_lwm65">#REF!</definedName>
    <definedName name="_lwm80">#REF!</definedName>
    <definedName name="_M2">'[10]Total Operations:White Group'!$P$10:$S$205</definedName>
    <definedName name="_MCC3" hidden="1">{#N/A,#N/A,FALSE,"CCTV"}</definedName>
    <definedName name="_mcv100">#REF!</definedName>
    <definedName name="_MENUBRANCH_印">#REF!</definedName>
    <definedName name="_MENUBRANCH_表">#REF!</definedName>
    <definedName name="_mkp1">#REF!</definedName>
    <definedName name="_mkp2">#REF!</definedName>
    <definedName name="_MN1">#REF!</definedName>
    <definedName name="_mo2">[11]Admin!$B$2:$B$13</definedName>
    <definedName name="_MON1">#REF!</definedName>
    <definedName name="_MON2">#REF!</definedName>
    <definedName name="_MON3">#REF!</definedName>
    <definedName name="_MRS1">#REF!</definedName>
    <definedName name="_mt20">#REF!</definedName>
    <definedName name="_mt25">#REF!</definedName>
    <definedName name="_mt32">#REF!</definedName>
    <definedName name="_MUP_FM">[56]Factors!$B$11</definedName>
    <definedName name="_MUP_LAB">[56]Factors!$B$13</definedName>
    <definedName name="_MUP_LM">[56]Factors!$B$12</definedName>
    <definedName name="_No" hidden="1">#REF!</definedName>
    <definedName name="_NSO2" hidden="1">{"'Sheet1'!$L$16"}</definedName>
    <definedName name="_OCM01">[18]office!$A$19</definedName>
    <definedName name="_old2">'[29]Raw Data'!$B$1:$CF$120</definedName>
    <definedName name="_old3" hidden="1">{#N/A,#N/A,FALSE,"Summary";#N/A,#N/A,FALSE,"3TJ";#N/A,#N/A,FALSE,"3TN";#N/A,#N/A,FALSE,"3TP";#N/A,#N/A,FALSE,"3SJ";#N/A,#N/A,FALSE,"3CJ";#N/A,#N/A,FALSE,"3CN";#N/A,#N/A,FALSE,"3CP";#N/A,#N/A,FALSE,"3A"}</definedName>
    <definedName name="_old4">'[29]Raw Data'!$B$1:$CF$120</definedName>
    <definedName name="_old5" hidden="1">{#N/A,#N/A,FALSE,"Summary";#N/A,#N/A,FALSE,"3TJ";#N/A,#N/A,FALSE,"3TN";#N/A,#N/A,FALSE,"3TP";#N/A,#N/A,FALSE,"3SJ";#N/A,#N/A,FALSE,"3CJ";#N/A,#N/A,FALSE,"3CN";#N/A,#N/A,FALSE,"3CP";#N/A,#N/A,FALSE,"3A"}</definedName>
    <definedName name="_old6">'[29]Raw Data'!$B$1:$CF$120</definedName>
    <definedName name="_old7" hidden="1">{#N/A,#N/A,FALSE,"Summary";#N/A,#N/A,FALSE,"3TJ";#N/A,#N/A,FALSE,"3TN";#N/A,#N/A,FALSE,"3TP";#N/A,#N/A,FALSE,"3SJ";#N/A,#N/A,FALSE,"3CJ";#N/A,#N/A,FALSE,"3CN";#N/A,#N/A,FALSE,"3CP";#N/A,#N/A,FALSE,"3A"}</definedName>
    <definedName name="_ops2">[11]Admin!$A$21:$D$32</definedName>
    <definedName name="_Order1" hidden="1">255</definedName>
    <definedName name="_Order2" hidden="1">255</definedName>
    <definedName name="_org2">#REF!</definedName>
    <definedName name="_p">#REF!</definedName>
    <definedName name="_P3" hidden="1">{#N/A,#N/A,FALSE,"特殊室（ＢＱ表）"}</definedName>
    <definedName name="_Parse_Out" hidden="1">#REF!</definedName>
    <definedName name="_PAV50">#REF!</definedName>
    <definedName name="_PB10">#REF!</definedName>
    <definedName name="_PB15">#REF!</definedName>
    <definedName name="_PB20">#REF!</definedName>
    <definedName name="_PBV15">#REF!</definedName>
    <definedName name="_PCV100">#REF!</definedName>
    <definedName name="_PCV25">#REF!</definedName>
    <definedName name="_Per1">#REF!</definedName>
    <definedName name="_Per10">#REF!</definedName>
    <definedName name="_Per11">#REF!</definedName>
    <definedName name="_Per12">#REF!</definedName>
    <definedName name="_Per2">#REF!</definedName>
    <definedName name="_Per3">#REF!</definedName>
    <definedName name="_Per4">#REF!</definedName>
    <definedName name="_Per5">#REF!</definedName>
    <definedName name="_Per6">#REF!</definedName>
    <definedName name="_Per7">#REF!</definedName>
    <definedName name="_Per8">#REF!</definedName>
    <definedName name="_Per9">#REF!</definedName>
    <definedName name="_PGUP_7__U_._EN">#N/A</definedName>
    <definedName name="_PGV15">#REF!</definedName>
    <definedName name="_PGV20">#REF!</definedName>
    <definedName name="_PGV25">#REF!</definedName>
    <definedName name="_PGV50">#REF!</definedName>
    <definedName name="_pgv65">#REF!</definedName>
    <definedName name="_ph21">'[61]Cash Flow'!#REF!</definedName>
    <definedName name="_ph22">'[61]Cash Flow'!#REF!</definedName>
    <definedName name="_ph23">'[61]Cash Flow'!#REF!</definedName>
    <definedName name="_ph31">'[61]Cash Flow'!#REF!</definedName>
    <definedName name="_ph32">'[61]Cash Flow'!#REF!</definedName>
    <definedName name="_ph33">'[61]Cash Flow'!#REF!</definedName>
    <definedName name="_phd100">#REF!</definedName>
    <definedName name="_phd125">#REF!</definedName>
    <definedName name="_phd150">#REF!</definedName>
    <definedName name="_phd20">#REF!</definedName>
    <definedName name="_phd200">#REF!</definedName>
    <definedName name="_phd25">#REF!</definedName>
    <definedName name="_phd250">#REF!</definedName>
    <definedName name="_phd300">#REF!</definedName>
    <definedName name="_phd32">#REF!</definedName>
    <definedName name="_phd350">#REF!</definedName>
    <definedName name="_phd40">#REF!</definedName>
    <definedName name="_phd50">#REF!</definedName>
    <definedName name="_phd65">#REF!</definedName>
    <definedName name="_phd80">#REF!</definedName>
    <definedName name="_phd90">#REF!</definedName>
    <definedName name="_PID32">#REF!</definedName>
    <definedName name="_PN1">#REF!</definedName>
    <definedName name="_poh1">#REF!</definedName>
    <definedName name="_PPP3" hidden="1">{#N/A,#N/A,FALSE,"特殊室（ＢＱ表）"}</definedName>
    <definedName name="_PPP33" hidden="1">{#N/A,#N/A,FALSE,"特殊室（ＢＱ表）"}</definedName>
    <definedName name="_ppp34" hidden="1">{#N/A,#N/A,FALSE,"特殊室（ＢＱ表）"}</definedName>
    <definedName name="_ppp3444" hidden="1">{#N/A,#N/A,FALSE,"特殊室（ＢＱ表）"}</definedName>
    <definedName name="_PPR125">#REF!</definedName>
    <definedName name="_PPR65">#REF!</definedName>
    <definedName name="_PPRA3_N69_AGPQ">#REF!</definedName>
    <definedName name="_PPRA72_N138_AG">#REF!</definedName>
    <definedName name="_PPRAE77_AP139_">#REF!</definedName>
    <definedName name="_PPRAJ1_AT45_AG">#REF!</definedName>
    <definedName name="_PPRAR77_AZ139_">#REF!</definedName>
    <definedName name="_PPRBB77_BJ139_">#REF!</definedName>
    <definedName name="_PPRBL77_BS139_">#REF!</definedName>
    <definedName name="_PPRL77_U139_AG">#REF!</definedName>
    <definedName name="_PPRT77_AA139_A">#REF!</definedName>
    <definedName name="_PPRZ1_AH49_AGP">#REF!</definedName>
    <definedName name="_PRINTALL">#REF!</definedName>
    <definedName name="_PRINTBS">#REF!</definedName>
    <definedName name="_PRINTINC">#REF!</definedName>
    <definedName name="_PRINTPCF">#REF!</definedName>
    <definedName name="_psp100">#REF!</definedName>
    <definedName name="_psp15">#REF!</definedName>
    <definedName name="_psp20">#REF!</definedName>
    <definedName name="_psp25">#REF!</definedName>
    <definedName name="_psp32">#REF!</definedName>
    <definedName name="_psp40">#REF!</definedName>
    <definedName name="_psp50">#REF!</definedName>
    <definedName name="_psp65">#REF!</definedName>
    <definedName name="_psp80">#REF!</definedName>
    <definedName name="_PVC1">#REF!</definedName>
    <definedName name="_pvc10110">#REF!</definedName>
    <definedName name="_pvc10160">#REF!</definedName>
    <definedName name="_pvc1020">#REF!</definedName>
    <definedName name="_pvc10225">#REF!</definedName>
    <definedName name="_pvc1025">#REF!</definedName>
    <definedName name="_pvc1032">#REF!</definedName>
    <definedName name="_pvc1040">#REF!</definedName>
    <definedName name="_pvc1050">#REF!</definedName>
    <definedName name="_pvc1063">#REF!</definedName>
    <definedName name="_pvc1075">#REF!</definedName>
    <definedName name="_pvc1090">#REF!</definedName>
    <definedName name="_PVC2">#REF!</definedName>
    <definedName name="_pvc4110">#REF!</definedName>
    <definedName name="_pvc450">#REF!</definedName>
    <definedName name="_pvc463">#REF!</definedName>
    <definedName name="_pvc475">#REF!</definedName>
    <definedName name="_pvc490">#REF!</definedName>
    <definedName name="_pvc6110">#REF!</definedName>
    <definedName name="_pvc6160">#REF!</definedName>
    <definedName name="_pvc6225">#REF!</definedName>
    <definedName name="_pvc632">#REF!</definedName>
    <definedName name="_pvc640">#REF!</definedName>
    <definedName name="_pvc650">#REF!</definedName>
    <definedName name="_pvc663">#REF!</definedName>
    <definedName name="_pvc675">#REF!</definedName>
    <definedName name="_pvc690">#REF!</definedName>
    <definedName name="_q">#REF!</definedName>
    <definedName name="_q1">#REF!</definedName>
    <definedName name="_QLOAD">#REF!</definedName>
    <definedName name="_qty1">#REF!</definedName>
    <definedName name="_R__59_BS_0_R__">#N/A</definedName>
    <definedName name="_Rate">#REF!</definedName>
    <definedName name="_RBS1">#REF!</definedName>
    <definedName name="_rd200">#REF!</definedName>
    <definedName name="_rd250">#REF!</definedName>
    <definedName name="_rd400">#REF!</definedName>
    <definedName name="_rd550">#REF!</definedName>
    <definedName name="_RE100">#REF!</definedName>
    <definedName name="_RE104">#REF!</definedName>
    <definedName name="_RE112">#REF!</definedName>
    <definedName name="_RE2">[1]内訳書!#REF!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 hidden="1">1</definedName>
    <definedName name="_Regression_X" hidden="1">#REF!</definedName>
    <definedName name="_Regression_Y" hidden="1">#REF!</definedName>
    <definedName name="_REM1">#REF!</definedName>
    <definedName name="_REM2">#REF!</definedName>
    <definedName name="_rf1484">[7]RA!$B$58</definedName>
    <definedName name="_rfr1">#REF!</definedName>
    <definedName name="_rfr2">#REF!</definedName>
    <definedName name="_rfs1000">#REF!</definedName>
    <definedName name="_rt6">[28]!_rt6</definedName>
    <definedName name="_rvd150">[55]Factors!$D$464</definedName>
    <definedName name="_rvd250">[55]Factors!$D$466</definedName>
    <definedName name="_rvd300">[55]Factors!$D$467</definedName>
    <definedName name="_rvd350">[55]Factors!$D$468</definedName>
    <definedName name="_S1">'[9]S3 Architectural'!$F$1:$AF$3415</definedName>
    <definedName name="_sb175">#REF!</definedName>
    <definedName name="_sb275">#REF!</definedName>
    <definedName name="_sb300">#REF!</definedName>
    <definedName name="_SC1">#N/A</definedName>
    <definedName name="_SCH10">#REF!</definedName>
    <definedName name="_SCH40">#REF!</definedName>
    <definedName name="_sd1">[12]Plumbing!#REF!</definedName>
    <definedName name="_sd11">#N/A</definedName>
    <definedName name="_SDP100">[36]Factors!$B$74</definedName>
    <definedName name="_SDP150">[36]Factors!$B$75</definedName>
    <definedName name="_SDP200">[36]Factors!$B$76</definedName>
    <definedName name="_SDP250">[36]Factors!$B$77</definedName>
    <definedName name="_SDP300">[36]Factors!$B$78</definedName>
    <definedName name="_SEG1">[18]Lab!$H:$I</definedName>
    <definedName name="_sep3">'[4]13-septic'!#REF!</definedName>
    <definedName name="_snd1">#REF!</definedName>
    <definedName name="_Sort" hidden="1">[62]기계내역서!#REF!</definedName>
    <definedName name="_spd100">#REF!</definedName>
    <definedName name="_spd125">#REF!</definedName>
    <definedName name="_spd150">#REF!</definedName>
    <definedName name="_spd175">#REF!</definedName>
    <definedName name="_spd200">#REF!</definedName>
    <definedName name="_spd225">#REF!</definedName>
    <definedName name="_spd250">#REF!</definedName>
    <definedName name="_spd275">#REF!</definedName>
    <definedName name="_spd300">#REF!</definedName>
    <definedName name="_spd350">#REF!</definedName>
    <definedName name="_spd400">#REF!</definedName>
    <definedName name="_spd450">#REF!</definedName>
    <definedName name="_spd500">#REF!</definedName>
    <definedName name="_spd550">#REF!</definedName>
    <definedName name="_spd600">#REF!</definedName>
    <definedName name="_spd650">#REF!</definedName>
    <definedName name="_sph20">#REF!</definedName>
    <definedName name="_sph25">#REF!</definedName>
    <definedName name="_sph32">#REF!</definedName>
    <definedName name="_sph50">#REF!</definedName>
    <definedName name="_sub10">#REF!</definedName>
    <definedName name="_sub11">#REF!</definedName>
    <definedName name="_sub12">#REF!</definedName>
    <definedName name="_sub123">#REF!</definedName>
    <definedName name="_sub13">#REF!</definedName>
    <definedName name="_sub14">#REF!</definedName>
    <definedName name="_sub15">#REF!</definedName>
    <definedName name="_sub16">#REF!</definedName>
    <definedName name="_sub234">#REF!</definedName>
    <definedName name="_sub5">#REF!</definedName>
    <definedName name="_sub6">#REF!</definedName>
    <definedName name="_sub7">#REF!</definedName>
    <definedName name="_sub8">#REF!</definedName>
    <definedName name="_sub9">#REF!</definedName>
    <definedName name="_sum4" hidden="1">{#N/A,#N/A,FALSE,"Sub2.1";#N/A,#N/A,FALSE,"Conc2.2";#N/A,#N/A,FALSE,"Block2.3";#N/A,#N/A,FALSE,"Roof2.4";#N/A,#N/A,FALSE,"wood2.5";#N/A,#N/A,FALSE,"Door2.6";#N/A,#N/A,FALSE,"Finish2.7";#N/A,#N/A,FALSE,"Service2.8";#N/A,#N/A,FALSE,"Summary2"}</definedName>
    <definedName name="_sum5" hidden="1">{#N/A,#N/A,FALSE,"Sub2.1";#N/A,#N/A,FALSE,"Conc2.2";#N/A,#N/A,FALSE,"Block2.3";#N/A,#N/A,FALSE,"Roof2.4";#N/A,#N/A,FALSE,"wood2.5";#N/A,#N/A,FALSE,"Door2.6";#N/A,#N/A,FALSE,"Finish2.7";#N/A,#N/A,FALSE,"Service2.8";#N/A,#N/A,FALSE,"Summary2"}</definedName>
    <definedName name="_sum6" hidden="1">{#N/A,#N/A,FALSE,"Sub2.1";#N/A,#N/A,FALSE,"Conc2.2";#N/A,#N/A,FALSE,"Block2.3";#N/A,#N/A,FALSE,"Roof2.4";#N/A,#N/A,FALSE,"wood2.5";#N/A,#N/A,FALSE,"Door2.6";#N/A,#N/A,FALSE,"Finish2.7";#N/A,#N/A,FALSE,"Service2.8";#N/A,#N/A,FALSE,"Summary2"}</definedName>
    <definedName name="_SW10">#REF!</definedName>
    <definedName name="_SXT3" hidden="1">{#N/A,#N/A,FALSE,"Chi tiÆt"}</definedName>
    <definedName name="_sxt5" hidden="1">{"'Sheet1'!$L$16"}</definedName>
    <definedName name="_sxt6" hidden="1">{#N/A,#N/A,FALSE,"Chi tiÆt"}</definedName>
    <definedName name="_T10" hidden="1">{"'Sheet1'!$L$16"}</definedName>
    <definedName name="_T1000110">#REF!</definedName>
    <definedName name="_T1000160">#REF!</definedName>
    <definedName name="_T100020">#REF!</definedName>
    <definedName name="_T1000225">#REF!</definedName>
    <definedName name="_T100025">#REF!</definedName>
    <definedName name="_T100032">#REF!</definedName>
    <definedName name="_T100040">#REF!</definedName>
    <definedName name="_T100050">#REF!</definedName>
    <definedName name="_T100063">#REF!</definedName>
    <definedName name="_T100075">#REF!</definedName>
    <definedName name="_T100090">#REF!</definedName>
    <definedName name="_T600032">#REF!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B2">'[13]SPT vs PHI'!$B$2:$C$65</definedName>
    <definedName name="_tee12">#REF!</definedName>
    <definedName name="_tee20">#REF!</definedName>
    <definedName name="_tee25">#REF!</definedName>
    <definedName name="_tee32">#REF!</definedName>
    <definedName name="_tee37">#REF!</definedName>
    <definedName name="_tee50">#REF!</definedName>
    <definedName name="_TP2">#REF!</definedName>
    <definedName name="_Transport">[56]Factors!$B$20</definedName>
    <definedName name="_TX_CESS">[56]Factors!$B$21</definedName>
    <definedName name="_TX_NBT">[56]Factors!$B$18</definedName>
    <definedName name="_TX_PAL">[56]Factors!$B$19</definedName>
    <definedName name="_TY400110">#REF!</definedName>
    <definedName name="_TY40050">#REF!</definedName>
    <definedName name="_TY40063">#REF!</definedName>
    <definedName name="_TY40075">#REF!</definedName>
    <definedName name="_TY40090">#REF!</definedName>
    <definedName name="_TY600110">#REF!</definedName>
    <definedName name="_TY600160">#REF!</definedName>
    <definedName name="_TY600225">#REF!</definedName>
    <definedName name="_TY60032">#REF!</definedName>
    <definedName name="_TY60040">#REF!</definedName>
    <definedName name="_TY60050">#REF!</definedName>
    <definedName name="_TY60063">#REF!</definedName>
    <definedName name="_TY60075">#REF!</definedName>
    <definedName name="_TY60090">#REF!</definedName>
    <definedName name="_udb300">#REF!</definedName>
    <definedName name="_UG_Mat">#REF!</definedName>
    <definedName name="_ugt3">'[4]7-ug'!#REF!</definedName>
    <definedName name="_upa4">[20]upa!$I:$M</definedName>
    <definedName name="_USD">[56]Factors!$B$5</definedName>
    <definedName name="_USD1">'[63]Price Sheet'!$M$4</definedName>
    <definedName name="_utl3">'[4]2-utility'!#REF!</definedName>
    <definedName name="_Val101">#REF!</definedName>
    <definedName name="_Val102">#REF!</definedName>
    <definedName name="_Val201">#REF!</definedName>
    <definedName name="_Val202">#REF!</definedName>
    <definedName name="_Val301">#REF!</definedName>
    <definedName name="_Val302">#REF!</definedName>
    <definedName name="_vat10">#REF!</definedName>
    <definedName name="_vat12">#REF!</definedName>
    <definedName name="_vat20">#REF!</definedName>
    <definedName name="_vd11">[48]Factors!$F$282</definedName>
    <definedName name="_vd13">[48]Factors!$F$284</definedName>
    <definedName name="_vd15">[48]Factors!$F$286</definedName>
    <definedName name="_vd17">[48]Factors!$F$288</definedName>
    <definedName name="_vd19">[48]Factors!$F$290</definedName>
    <definedName name="_vd21">[48]Factors!$F$292</definedName>
    <definedName name="_vd23">[48]Factors!$F$294</definedName>
    <definedName name="_vd25">[48]Factors!$F$296</definedName>
    <definedName name="_vd26">[48]Factors!$F$297</definedName>
    <definedName name="_ven1">#REF!</definedName>
    <definedName name="_ven2">#REF!</definedName>
    <definedName name="_ven3">#REF!</definedName>
    <definedName name="_vpt5" hidden="1">{"'Sheet1'!$L$16"}</definedName>
    <definedName name="_vpt6" hidden="1">{"'Sheet1'!$L$16"}</definedName>
    <definedName name="_w">#REF!</definedName>
    <definedName name="_we33">#REF!</definedName>
    <definedName name="_WGDPN1NL4_R200">#REF!</definedName>
    <definedName name="_WIR_D_2___APP1">#N/A</definedName>
    <definedName name="_WP1">#REF!</definedName>
    <definedName name="_WTC__HOME__">#REF!</definedName>
    <definedName name="_WXLU3_D19_H22_">#REF!</definedName>
    <definedName name="_xlcn.WorksheetConnection_MainDATAA1O2831" hidden="1">#REF!</definedName>
    <definedName name="_xlcn.WorksheetConnection_SGEMDATAA1O571" hidden="1">#REF!</definedName>
    <definedName name="_xlcn.WorksheetConnection_TAMDEEDDATAA1O2881" hidden="1">#REF!</definedName>
    <definedName name="_z">NA()</definedName>
    <definedName name="_z_1">NA()</definedName>
    <definedName name="A.41">#REF!</definedName>
    <definedName name="A.42">#REF!</definedName>
    <definedName name="A.Alow_for_diversion_of_Exsisting_Service">[65]RESOURCES!$A$97</definedName>
    <definedName name="A.Mobilization___De_mobilization_charges_for_Batching_plant">[65]RESOURCES!$A$351</definedName>
    <definedName name="A.Plant_Demobilisation">[65]RESOURCES!$A$54</definedName>
    <definedName name="A.Plant_Mobilisation">[65]RESOURCES!$A$53</definedName>
    <definedName name="A\SEYHVJYHGF">#REF!</definedName>
    <definedName name="a___0">#REF!</definedName>
    <definedName name="A_1">"#REF!"</definedName>
    <definedName name="A_41">#REF!</definedName>
    <definedName name="A_42">#REF!</definedName>
    <definedName name="A_8">"#REF!"</definedName>
    <definedName name="A_9">"#REF!"</definedName>
    <definedName name="A_HVAC">#REF!</definedName>
    <definedName name="A_Profitability_sheet">#REF!</definedName>
    <definedName name="A1111111">"#REF!"</definedName>
    <definedName name="A11111111">"#REF!"</definedName>
    <definedName name="A1111111110">"#REF!"</definedName>
    <definedName name="A1111111111111111111111111111111111111">"#REF!"</definedName>
    <definedName name="A1111112">"#REF!"</definedName>
    <definedName name="A1M170">#REF!</definedName>
    <definedName name="A1Q">#REF!</definedName>
    <definedName name="a532803a53803">#REF!</definedName>
    <definedName name="A8000000">#REF!</definedName>
    <definedName name="A8000000a">#REF!</definedName>
    <definedName name="A89lcm">#REF!</definedName>
    <definedName name="aa" hidden="1">#REF!</definedName>
    <definedName name="aaaa___0">#REF!</definedName>
    <definedName name="AAAA_10">"$#REF!.$C$24"</definedName>
    <definedName name="AAAA_2">#REF!</definedName>
    <definedName name="AAAA_9">"$#REF!.$C$24"</definedName>
    <definedName name="aaaa1" hidden="1">{#N/A,#N/A,FALSE,"CCTV"}</definedName>
    <definedName name="aaaa5">'[45]#REF'!$A$78</definedName>
    <definedName name="aaaaaaa">#REF!</definedName>
    <definedName name="aaaaaaaa" hidden="1">{"'Break down'!$A$4"}</definedName>
    <definedName name="aaaaaaaaaaa" hidden="1">#REF!</definedName>
    <definedName name="aaaaaaaaaaaa">'[58]Bill 04 - water supply tb '!#REF!</definedName>
    <definedName name="AAAAAAAAAAAAAAAAA" hidden="1">[23]FitOutConfCentre!#REF!</definedName>
    <definedName name="aaaaaaaaaaaaaaaaaaaaaaaaaaa" hidden="1">{#N/A,#N/A,FALSE,"조골재"}</definedName>
    <definedName name="aaaaaaaaaaaaaaaaaaaaaaaaaaaaa">#REF!</definedName>
    <definedName name="aaaaaatre">[28]!aaaaaatre</definedName>
    <definedName name="aaag" hidden="1">{#N/A,#N/A,TRUE,"SUM";#N/A,#N/A,TRUE,"EE";#N/A,#N/A,TRUE,"AC";#N/A,#N/A,TRUE,"SN"}</definedName>
    <definedName name="aaaj">[28]!aaaj</definedName>
    <definedName name="aangat">#REF!</definedName>
    <definedName name="aasas">#REF!</definedName>
    <definedName name="aasss">#REF!</definedName>
    <definedName name="aat">#REF!</definedName>
    <definedName name="aatreh">[28]!aatreh</definedName>
    <definedName name="AAV">[66]Price!$J$23</definedName>
    <definedName name="AAV.100">#REF!</definedName>
    <definedName name="AAV.80">#REF!</definedName>
    <definedName name="AB_Data">#REF!</definedName>
    <definedName name="abb">'[67]FAS-C(4)'!#REF!</definedName>
    <definedName name="abcdef" hidden="1">{"'Break down'!$A$4"}</definedName>
    <definedName name="abcs" hidden="1">{"'Break down'!$A$4"}</definedName>
    <definedName name="abd">'[4]13-septic'!#REF!</definedName>
    <definedName name="ablution">#REF!</definedName>
    <definedName name="Aborti">#REF!</definedName>
    <definedName name="Abortr">#REF!</definedName>
    <definedName name="ABS">#REF!</definedName>
    <definedName name="ABSTRACT">#REF!</definedName>
    <definedName name="abvf" hidden="1">[68]Cash2!$G$16:$G$31</definedName>
    <definedName name="AC">#REF!</definedName>
    <definedName name="ACA">#REF!</definedName>
    <definedName name="acb">'[4]7-ug'!#REF!</definedName>
    <definedName name="acc_AC">[50]Factors!$O$24</definedName>
    <definedName name="acc_AHU">#REF!</definedName>
    <definedName name="acc_ch">#REF!</definedName>
    <definedName name="acc_CT">#REF!</definedName>
    <definedName name="acc_Fan">#REF!</definedName>
    <definedName name="acc_FCU">#REF!</definedName>
    <definedName name="Acc_payable_growth_fore">#REF!</definedName>
    <definedName name="acc_Pump">#REF!</definedName>
    <definedName name="Acc_Rec_growth_fore">#REF!</definedName>
    <definedName name="accc" hidden="1">{"'Break down'!$A$4"}</definedName>
    <definedName name="AccDepr">#REF!</definedName>
    <definedName name="accesspanel">#REF!</definedName>
    <definedName name="AccidentPrevention">#REF!</definedName>
    <definedName name="ACCNT_10">#REF!</definedName>
    <definedName name="ACCNT_10THRU95">#REF!</definedName>
    <definedName name="ACCNT_11">#REF!</definedName>
    <definedName name="ACCNT_12">#REF!</definedName>
    <definedName name="ACCNT_13">#REF!</definedName>
    <definedName name="ACCNT_14">#REF!</definedName>
    <definedName name="ACCNT_15">#REF!</definedName>
    <definedName name="ACCNT_15.11">#REF!</definedName>
    <definedName name="ACCNT_15.12">#REF!</definedName>
    <definedName name="ACCNT_15.14">#REF!</definedName>
    <definedName name="ACCNT_15.22">#REF!</definedName>
    <definedName name="ACCNT_16">#REF!</definedName>
    <definedName name="ACCNT_20">#REF!</definedName>
    <definedName name="ACCNT_21">#REF!</definedName>
    <definedName name="accnt_21.01">#REF!</definedName>
    <definedName name="accnt_21.02">#REF!</definedName>
    <definedName name="ACCNT_22">#REF!</definedName>
    <definedName name="ACCNT_22.9">#REF!</definedName>
    <definedName name="ACCNT_23">#REF!</definedName>
    <definedName name="ACCNT_25">#REF!</definedName>
    <definedName name="ACCNT_25.4">#REF!</definedName>
    <definedName name="ACCNT_25.6">#REF!</definedName>
    <definedName name="ACCNT_26">#REF!</definedName>
    <definedName name="ACCNT_26.2">#REF!</definedName>
    <definedName name="ACCNT_26.3">#REF!</definedName>
    <definedName name="ACCNT_27.1">#REF!</definedName>
    <definedName name="ACCNT_27.2">#REF!</definedName>
    <definedName name="ACCNT_28">#REF!</definedName>
    <definedName name="ACCNT_28.6">#REF!</definedName>
    <definedName name="ACCNT_29">#REF!</definedName>
    <definedName name="ACCNT_30">#REF!</definedName>
    <definedName name="ACCNT_40">#REF!</definedName>
    <definedName name="ACCNT_41">#REF!</definedName>
    <definedName name="ACCNT_41.1">#REF!</definedName>
    <definedName name="ACCNT_42">#REF!</definedName>
    <definedName name="ACCNT_43">#REF!</definedName>
    <definedName name="ACCNT_44">#REF!</definedName>
    <definedName name="ACCNT_45">#REF!</definedName>
    <definedName name="ACCNT_46">#REF!</definedName>
    <definedName name="ACCNT_47">#REF!</definedName>
    <definedName name="ACCNT_47.1">#REF!</definedName>
    <definedName name="ACCNT_47.3">#REF!</definedName>
    <definedName name="ACCNT_47.4">#REF!</definedName>
    <definedName name="ACCNT_47.8">#REF!</definedName>
    <definedName name="ACCNT_48">#REF!</definedName>
    <definedName name="ACCNT_48.5">#REF!</definedName>
    <definedName name="ACCNT_48.9">#REF!</definedName>
    <definedName name="ACCNT_49">#REF!</definedName>
    <definedName name="ACCNT_50">#REF!</definedName>
    <definedName name="ACCNT_50_54_AF_YARD">#REF!</definedName>
    <definedName name="ACCNT_50_54_AFPB">#REF!</definedName>
    <definedName name="ACCNT_50_54_C1PB">#REF!</definedName>
    <definedName name="ACCNT_50_54_C1YARD">#REF!</definedName>
    <definedName name="ACCNT_50_54_CPB">#REF!</definedName>
    <definedName name="ACCNT_50_54_CRPB">#REF!</definedName>
    <definedName name="ACCNT_50_54_CRPB_HG">#REF!</definedName>
    <definedName name="ACCNT_50_54_CRPBAG">#REF!</definedName>
    <definedName name="ACCNT_50_54_CRYARDAG">#REF!</definedName>
    <definedName name="ACCNT_50_54_CYARD">#REF!</definedName>
    <definedName name="ACCNT_50_54_HISTORY">#REF!</definedName>
    <definedName name="ACCNT_50_54_KPB">#REF!</definedName>
    <definedName name="ACCNT_50_54_KYARD">#REF!</definedName>
    <definedName name="ACCNT_50_54_LBAG">#REF!</definedName>
    <definedName name="ACCNT_50_54_OFFSITE">#REF!</definedName>
    <definedName name="ACCNT_50_54_PAINT">#REF!</definedName>
    <definedName name="ACCNT_50_54_PB">#REF!</definedName>
    <definedName name="ACCNT_50_54_PBAG">#REF!</definedName>
    <definedName name="ACCNT_50_54_SPB">#REF!</definedName>
    <definedName name="ACCNT_50_54_SPPB">#REF!</definedName>
    <definedName name="ACCNT_50_54_SPYARD">#REF!</definedName>
    <definedName name="ACCNT_50_54_SYARD">#REF!</definedName>
    <definedName name="ACCNT_50_54_YARD">#REF!</definedName>
    <definedName name="ACCNT_50_54_YARDAG">#REF!</definedName>
    <definedName name="ACCNT_51.6">#REF!</definedName>
    <definedName name="ACCNT_51.7">#REF!</definedName>
    <definedName name="ACCNT_51.8">#REF!</definedName>
    <definedName name="ACCNT_51BOP">#REF!</definedName>
    <definedName name="ACCNT_51HP">#REF!</definedName>
    <definedName name="ACCNT_51OFFSITE">#REF!</definedName>
    <definedName name="ACCNT_51YARD">#REF!</definedName>
    <definedName name="ACCNT_52BOP">#REF!</definedName>
    <definedName name="ACCNT_52HP">#REF!</definedName>
    <definedName name="ACCNT_52OFFSITE">#REF!</definedName>
    <definedName name="ACCNT_52YARD">#REF!</definedName>
    <definedName name="ACCNT_53">#REF!</definedName>
    <definedName name="ACCNT_54">#REF!</definedName>
    <definedName name="ACCNT_54.1">#REF!</definedName>
    <definedName name="ACCNT_54.11">#REF!</definedName>
    <definedName name="ACCNT_54.12">#REF!</definedName>
    <definedName name="ACCNT_54.13">#REF!</definedName>
    <definedName name="ACCNT_54.14">#REF!</definedName>
    <definedName name="ACCNT_54.15">#REF!</definedName>
    <definedName name="ACCNT_54.19">#REF!</definedName>
    <definedName name="ACCNT_54.9">#REF!</definedName>
    <definedName name="ACCNT_55">#REF!</definedName>
    <definedName name="ACCNT_55.1">#REF!</definedName>
    <definedName name="ACCNT_55.2">#REF!</definedName>
    <definedName name="ACCNT_55.3">#REF!</definedName>
    <definedName name="ACCNT_55.4">#REF!</definedName>
    <definedName name="ACCNT_55.5">#REF!</definedName>
    <definedName name="ACCNT_55.9">#REF!</definedName>
    <definedName name="ACCNT_55_DISCOUNT">#REF!</definedName>
    <definedName name="ACCNT_55_HANGER">#REF!</definedName>
    <definedName name="ACCNT_55_HISTCHK">#REF!</definedName>
    <definedName name="ACCNT_55_PAINT">#REF!</definedName>
    <definedName name="ACCNT_55_VALVES">#REF!</definedName>
    <definedName name="ACCNT_57">#REF!</definedName>
    <definedName name="ACCNT_57_AG">#REF!</definedName>
    <definedName name="ACCNT_58">#REF!</definedName>
    <definedName name="ACCNT_58.1">#REF!</definedName>
    <definedName name="ACCNT_58.7">#REF!</definedName>
    <definedName name="ACCNT_59">#REF!</definedName>
    <definedName name="ACCNT_59.1">#REF!</definedName>
    <definedName name="ACCNT_59_NDE">#REF!</definedName>
    <definedName name="ACCNT_59_STRESS">#REF!</definedName>
    <definedName name="ACCNT_60">#REF!</definedName>
    <definedName name="ACCNT_61">#REF!</definedName>
    <definedName name="ACCNT_62">#REF!</definedName>
    <definedName name="ACCNT_62.2">#REF!</definedName>
    <definedName name="ACCNT_62.5">#REF!</definedName>
    <definedName name="ACCNT_63">#REF!</definedName>
    <definedName name="ACCNT_70">#REF!</definedName>
    <definedName name="ACCNT_71">#REF!</definedName>
    <definedName name="accnt_71.9">#REF!</definedName>
    <definedName name="ACCNT_72">#REF!</definedName>
    <definedName name="ACCNT_72.1">#REF!</definedName>
    <definedName name="ACCNT_72.2">#REF!</definedName>
    <definedName name="ACCNT_72.3">#REF!</definedName>
    <definedName name="ACCNT_72.33">#REF!</definedName>
    <definedName name="ACCNT_72.4">#REF!</definedName>
    <definedName name="ACCNT_73">#REF!</definedName>
    <definedName name="ACCNT_74">#REF!</definedName>
    <definedName name="ACCNT_74.3">#REF!</definedName>
    <definedName name="ACCNT_75">#REF!</definedName>
    <definedName name="ACCNT_75.1">#REF!</definedName>
    <definedName name="ACCNT_75.11">#REF!</definedName>
    <definedName name="ACCNT_76">#REF!</definedName>
    <definedName name="ACCNT_76.5">#REF!</definedName>
    <definedName name="ACCNT_76.70_ANODE">#REF!</definedName>
    <definedName name="ACCNT_76.70_JB">#REF!</definedName>
    <definedName name="ACCNT_77">#REF!</definedName>
    <definedName name="ACCNT_78">#REF!</definedName>
    <definedName name="ACCNT_78.761">#REF!</definedName>
    <definedName name="ACCNT_78.762">#REF!</definedName>
    <definedName name="ACCNT_78.81">#REF!</definedName>
    <definedName name="ACCNT_78.821">#REF!</definedName>
    <definedName name="ACCNT_78.827">#REF!</definedName>
    <definedName name="ACCNT_78.8275">#REF!</definedName>
    <definedName name="ACCNT_78.828">#REF!</definedName>
    <definedName name="ACCNT_78.83">#REF!</definedName>
    <definedName name="ACCNT_78.84">#REF!</definedName>
    <definedName name="ACCNT_78.85">#REF!</definedName>
    <definedName name="ACCNT_78.861">#REF!</definedName>
    <definedName name="ACCNT_78.862">#REF!</definedName>
    <definedName name="ACCNT_79">#REF!</definedName>
    <definedName name="ACCNT_80">#REF!</definedName>
    <definedName name="ACCNT_81">#REF!</definedName>
    <definedName name="ACCNT_82">#REF!</definedName>
    <definedName name="ACCNT_82.2">#REF!</definedName>
    <definedName name="ACCNT_82.7">#REF!</definedName>
    <definedName name="ACCNT_82.72">#REF!</definedName>
    <definedName name="ACCNT_82.80">#REF!</definedName>
    <definedName name="ACCNT_83">#REF!</definedName>
    <definedName name="ACCNT_83.1">#REF!</definedName>
    <definedName name="ACCNT_84">#REF!</definedName>
    <definedName name="ACCNT_84.1">#REF!</definedName>
    <definedName name="ACCNT_84.3">#REF!</definedName>
    <definedName name="ACCNT_84.4">#REF!</definedName>
    <definedName name="ACCNT_84.6">#REF!</definedName>
    <definedName name="ACCNT_85">#REF!</definedName>
    <definedName name="ACCNT_86">#REF!</definedName>
    <definedName name="ACCNT_87">#REF!</definedName>
    <definedName name="ACCNT_90">#REF!</definedName>
    <definedName name="ACCNT_91">#REF!</definedName>
    <definedName name="ACCNT_91.1">#REF!</definedName>
    <definedName name="ACCNT_91.2">#REF!</definedName>
    <definedName name="ACCNT_91.3">#REF!</definedName>
    <definedName name="ACCNT_91.5">#REF!</definedName>
    <definedName name="ACCNT_91.55">#REF!</definedName>
    <definedName name="ACCNT_91.6">#REF!</definedName>
    <definedName name="ACCNT_91.7">#REF!</definedName>
    <definedName name="ACCNT_91THRU93">#REF!</definedName>
    <definedName name="ACCNT_91THRU95">#REF!</definedName>
    <definedName name="ACCNT_92">#REF!</definedName>
    <definedName name="ACCNT_92.1">#REF!</definedName>
    <definedName name="ACCNT_92.2">#REF!</definedName>
    <definedName name="ACCNT_92.3">#REF!</definedName>
    <definedName name="ACCNT_92.5">#REF!</definedName>
    <definedName name="ACCNT_92.6">#REF!</definedName>
    <definedName name="ACCNT_92.7">#REF!</definedName>
    <definedName name="ACCNT_92.8">#REF!</definedName>
    <definedName name="ACCNT_92.81">#REF!</definedName>
    <definedName name="ACCNT_92.82">#REF!</definedName>
    <definedName name="ACCNT_92.83">#REF!</definedName>
    <definedName name="ACCNT_92.84">#REF!</definedName>
    <definedName name="ACCNT_93">#REF!</definedName>
    <definedName name="ACCNT_94">#REF!</definedName>
    <definedName name="ACCNT_94.01">#REF!</definedName>
    <definedName name="ACCNT_94.02">#REF!</definedName>
    <definedName name="ACCNT_94.03">#REF!</definedName>
    <definedName name="ACCNT_94.04">#REF!</definedName>
    <definedName name="ACCNT_94.05">#REF!</definedName>
    <definedName name="ACCNT_94.09">#REF!</definedName>
    <definedName name="ACCNT_94.11">#REF!</definedName>
    <definedName name="ACCNT_94.12">#REF!</definedName>
    <definedName name="ACCNT_94.13">#REF!</definedName>
    <definedName name="ACCNT_94.14">#REF!</definedName>
    <definedName name="ACCNT_94.15">#REF!</definedName>
    <definedName name="ACCNT_94.16">#REF!</definedName>
    <definedName name="ACCNT_94.17">#REF!</definedName>
    <definedName name="ACCNT_94.18">#REF!</definedName>
    <definedName name="ACCNT_94.19">#REF!</definedName>
    <definedName name="ACCNT_94FCN">#REF!</definedName>
    <definedName name="ACCNT_94IS">#REF!</definedName>
    <definedName name="ACCNT_94LOCAL">#REF!</definedName>
    <definedName name="ACCNT_94US">#REF!</definedName>
    <definedName name="ACCNT_95">#REF!</definedName>
    <definedName name="ACCNT_95.1">#REF!</definedName>
    <definedName name="ACCNT_95.1FCN">#REF!</definedName>
    <definedName name="ACCNT_95.1IS">#REF!</definedName>
    <definedName name="ACCNT_95.1LOCAL">#REF!</definedName>
    <definedName name="ACCNT_95.1US">#REF!</definedName>
    <definedName name="ACCNT_95.3">#REF!</definedName>
    <definedName name="ACCNT_96">#REF!</definedName>
    <definedName name="ACCNT_97">#REF!</definedName>
    <definedName name="ACCNT_98">#REF!</definedName>
    <definedName name="ACCNT_98.1">#REF!</definedName>
    <definedName name="ACCNT_98.10THRU30">#REF!</definedName>
    <definedName name="ACCNT_98.11">#REF!</definedName>
    <definedName name="ACCNT_98.12">#REF!</definedName>
    <definedName name="ACCNT_98.13">#REF!</definedName>
    <definedName name="ACCNT_98.131">#REF!</definedName>
    <definedName name="ACCNT_98.14">#REF!</definedName>
    <definedName name="ACCNT_98.15">#REF!</definedName>
    <definedName name="ACCNT_98.16">#REF!</definedName>
    <definedName name="ACCNT_98.17">#REF!</definedName>
    <definedName name="ACCNT_98.18">#REF!</definedName>
    <definedName name="ACCNT_98.19">#REF!</definedName>
    <definedName name="ACCNT_98.191">#REF!</definedName>
    <definedName name="ACCNT_98.192">#REF!</definedName>
    <definedName name="ACCNT_98.2">#REF!</definedName>
    <definedName name="ACCNT_98.21">#REF!</definedName>
    <definedName name="ACCNT_98.22">#REF!</definedName>
    <definedName name="ACCNT_98.23">#REF!</definedName>
    <definedName name="ACCNT_98.24">#REF!</definedName>
    <definedName name="ACCNT_98.26">#REF!</definedName>
    <definedName name="ACCNT_98.3">#REF!</definedName>
    <definedName name="ACCNT_98.4">#REF!</definedName>
    <definedName name="ACCNT_98.40THRU90">#REF!</definedName>
    <definedName name="ACCNT_98.5">#REF!</definedName>
    <definedName name="ACCNT_98.51">#REF!</definedName>
    <definedName name="ACCNT_98.52">#REF!</definedName>
    <definedName name="ACCNT_98.6">#REF!</definedName>
    <definedName name="ACCNT_98.7">#REF!</definedName>
    <definedName name="ACCNT_98.8">#REF!</definedName>
    <definedName name="ACCNT_98.9">#REF!</definedName>
    <definedName name="ACCNT_98.91">#REF!</definedName>
    <definedName name="ACCNT_98.92">#REF!</definedName>
    <definedName name="ACCNT_98.93">#REF!</definedName>
    <definedName name="ACCNT_98.94">#REF!</definedName>
    <definedName name="ACCNT_99">#REF!</definedName>
    <definedName name="ACCNT_TOT">#REF!</definedName>
    <definedName name="account">'[29]Raw Data'!$B$6:$J$42</definedName>
    <definedName name="Accrual_Doc">#REF!</definedName>
    <definedName name="Accrued_compensation_growth_fore">#REF!</definedName>
    <definedName name="Accrued_expenses_growth_fore">#REF!</definedName>
    <definedName name="Accum_Cap_Expenses_growth_fore">#REF!</definedName>
    <definedName name="Accum_Goodwill_Amort_growth_fore">#REF!</definedName>
    <definedName name="ACD">#REF!</definedName>
    <definedName name="ACG">[69]Summary!$HC$76:$HC$81</definedName>
    <definedName name="achla" hidden="1">#REF!</definedName>
    <definedName name="aclf">[70]Factors!$C$2</definedName>
    <definedName name="acoustic">#REF!</definedName>
    <definedName name="Acousticceiling12mm">#REF!</definedName>
    <definedName name="acousticGyp12mm">'[71]Build Up rate'!$D$51</definedName>
    <definedName name="acousticlad">#REF!</definedName>
    <definedName name="ActBud">#REF!</definedName>
    <definedName name="ActFCST">[72]INPUT!$B$51</definedName>
    <definedName name="Action" hidden="1">{"'Sheet1'!$A$1:$R$58"}</definedName>
    <definedName name="Action1" hidden="1">{"'Sheet1'!$A$1:$R$58"}</definedName>
    <definedName name="ACTIVITY_5">#REF!</definedName>
    <definedName name="ACTIVITY_6">#REF!</definedName>
    <definedName name="Actual">#REF!</definedName>
    <definedName name="ACTUALS">#REF!</definedName>
    <definedName name="ADB" hidden="1">[64]기계내역서!#REF!</definedName>
    <definedName name="Add_Quote">[28]!Add_Quote</definedName>
    <definedName name="addddd">[28]!addddd</definedName>
    <definedName name="additional">#REF!</definedName>
    <definedName name="additions">#REF!</definedName>
    <definedName name="ADDR">HAJIME:OWARI</definedName>
    <definedName name="Address">#REF!</definedName>
    <definedName name="adesilex">#REF!</definedName>
    <definedName name="adfad">#REF!</definedName>
    <definedName name="adfaDF" hidden="1">{"PriceSheetNoMargins",#N/A,FALSE,"PriceSheet"}</definedName>
    <definedName name="ADFADFDa" hidden="1">{"PriceSheetNoMargins",#N/A,FALSE,"PriceSheet"}</definedName>
    <definedName name="ADFAdfqweqEFAfaFAf" hidden="1">{"PriceSheetNoMargins",#N/A,FALSE,"PriceSheet"}</definedName>
    <definedName name="adfasfaw">#REF!</definedName>
    <definedName name="ADFGHSDFASDFGASDFG" hidden="1">{"PriceSheetNoMargins",#N/A,FALSE,"PriceSheet"}</definedName>
    <definedName name="aDis">"$#REF!.$#REF!$#REF!"</definedName>
    <definedName name="adj.1">#REF!</definedName>
    <definedName name="adj.2">#REF!</definedName>
    <definedName name="adj.3">#REF!</definedName>
    <definedName name="adj.4">#REF!</definedName>
    <definedName name="Adj_net_oper_fore">#REF!</definedName>
    <definedName name="ADSasva">'[3]Ra  stair'!#REF!</definedName>
    <definedName name="ADSC">#REF!</definedName>
    <definedName name="adsff">#REF!</definedName>
    <definedName name="Adv_cost">#REF!</definedName>
    <definedName name="aeaere" hidden="1">#REF!</definedName>
    <definedName name="aed">#REF!</definedName>
    <definedName name="aeFaFad" hidden="1">{"PriceSheetNoMargins",#N/A,FALSE,"PriceSheet"}</definedName>
    <definedName name="AEGASFGASFG" hidden="1">{"PriceSheetNoMargins",#N/A,FALSE,"PriceSheet"}</definedName>
    <definedName name="AERHTEQTHQ" hidden="1">{"'Sheet1'!$A$1:$R$58"}</definedName>
    <definedName name="aerrrrrr">[28]!aerrrrrr</definedName>
    <definedName name="AEXDisc">[73]AEX_IMPORTS!$D$2</definedName>
    <definedName name="AF.21">#REF!</definedName>
    <definedName name="AF.22">#REF!</definedName>
    <definedName name="AF_TST">#N/A</definedName>
    <definedName name="aFadF" hidden="1">{"PriceSheetNoMargins",#N/A,FALSE,"PriceSheet"}</definedName>
    <definedName name="AFafa" hidden="1">{"PriceSheetNoMargins",#N/A,FALSE,"PriceSheet"}</definedName>
    <definedName name="aFAFAFA" hidden="1">{"PriceSheetNoMargins",#N/A,FALSE,"PriceSheet"}</definedName>
    <definedName name="aFafasdfa" hidden="1">{"PriceSheetNoMargins",#N/A,FALSE,"PriceSheet"}</definedName>
    <definedName name="afasfsagfas" hidden="1">{#N/A,#N/A,FALSE,"Chi tiÆt"}</definedName>
    <definedName name="AFCH">#N/A</definedName>
    <definedName name="afdasgh" hidden="1">{#N/A,#N/A,FALSE,"CCTV"}</definedName>
    <definedName name="afdewrw">#REF!</definedName>
    <definedName name="afdsfdg" hidden="1">{#N/A,#N/A,FALSE,"CCTV"}</definedName>
    <definedName name="afffgff" hidden="1">{#N/A,#N/A,FALSE,"CCTV"}</definedName>
    <definedName name="afgdsvzcx">#REF!</definedName>
    <definedName name="AFGIS_ELECT">#REF!</definedName>
    <definedName name="AFGSFAGSFG" hidden="1">{"PriceSheetNoMargins",#N/A,FALSE,"PriceSheet"}</definedName>
    <definedName name="aflex25">[55]Factors!$D$364</definedName>
    <definedName name="aflexf25">[55]Factors!$F$364</definedName>
    <definedName name="aflexl25">[55]Factors!$E$364</definedName>
    <definedName name="afq">[28]!afq</definedName>
    <definedName name="Aged" hidden="1">{"'Sheet1'!$A$1:$R$58"}</definedName>
    <definedName name="Agent">'[74]RSM and Distributors'!$S$3:$S$7</definedName>
    <definedName name="agfc" hidden="1">[68]Z!$T$179:$AH$179</definedName>
    <definedName name="aggregate">#REF!</definedName>
    <definedName name="AGM_Tot">#REF!</definedName>
    <definedName name="agsdfhgjdf">#REF!</definedName>
    <definedName name="agsdfhjk">#REF!</definedName>
    <definedName name="agsfdhjk">#REF!</definedName>
    <definedName name="agv.100">#REF!</definedName>
    <definedName name="agv.125">#REF!</definedName>
    <definedName name="agv.15">#REF!</definedName>
    <definedName name="agv.150">#REF!</definedName>
    <definedName name="agv.20">#REF!</definedName>
    <definedName name="agv.25">#REF!</definedName>
    <definedName name="agv.32">#REF!</definedName>
    <definedName name="agv.40">#REF!</definedName>
    <definedName name="agv.50">#REF!</definedName>
    <definedName name="agv.65">#REF!</definedName>
    <definedName name="agv.80">#REF!</definedName>
    <definedName name="ah">#REF!</definedName>
    <definedName name="ahr">#REF!</definedName>
    <definedName name="ai">#REF!</definedName>
    <definedName name="Aic_Instrumentation_List">#REF!</definedName>
    <definedName name="AIE">'[75]DETAIL '!#REF!</definedName>
    <definedName name="AIR">'[75]DETAIL '!#REF!</definedName>
    <definedName name="air_trap">#REF!</definedName>
    <definedName name="AirCon">'[76]Ra  stair'!#REF!</definedName>
    <definedName name="ajestment">#REF!</definedName>
    <definedName name="AJYVNBGFVC">#REF!</definedName>
    <definedName name="Alarm_current_Amp_In_Minutes">#REF!</definedName>
    <definedName name="alcol">#REF!</definedName>
    <definedName name="alcp100">#REF!</definedName>
    <definedName name="alcp200">#REF!</definedName>
    <definedName name="alpro2000">#REF!</definedName>
    <definedName name="alproclips">#REF!</definedName>
    <definedName name="alprovermag">#REF!</definedName>
    <definedName name="als0.5">#REF!</definedName>
    <definedName name="alternativebrickfinish">#REF!</definedName>
    <definedName name="alulocker">#REF!</definedName>
    <definedName name="alum">#REF!</definedName>
    <definedName name="AlumC">[77]BUR!$E$19</definedName>
    <definedName name="AlumL">[77]BUR!$E$15</definedName>
    <definedName name="AlumPL">[77]BUR!$E$16</definedName>
    <definedName name="AlumR">[77]BUR!$E$12</definedName>
    <definedName name="AM">#REF!</definedName>
    <definedName name="Americas">#REF!</definedName>
    <definedName name="Amount_Dhs.">"F1"</definedName>
    <definedName name="Amt_Contingency">'[34]#REF'!$F$26</definedName>
    <definedName name="Amt_Demolition">'[34]#REF'!$F$8</definedName>
    <definedName name="Amt_Design.Fee">'[34]#REF'!$F$43</definedName>
    <definedName name="Amt_Direct.Cost">'[34]#REF'!$F$25</definedName>
    <definedName name="Amt_Earth.Work">'[34]#REF'!$F$10</definedName>
    <definedName name="Amt_Elec">'[34]#REF'!$F$22</definedName>
    <definedName name="Amt_Ext.Civil">'[34]#REF'!$F$19</definedName>
    <definedName name="Amt_Finish.Work">'[34]#REF'!$F$17</definedName>
    <definedName name="Amt_Lift">'[34]#REF'!$F$23</definedName>
    <definedName name="Amt_Mech">'[34]#REF'!$F$20</definedName>
    <definedName name="Amt_Onsite">'[34]#REF'!$F$54</definedName>
    <definedName name="Amt_Others">'[34]#REF'!$F$44</definedName>
    <definedName name="Amt_PC.PS">'[34]#REF'!$F$53</definedName>
    <definedName name="Amt_Pile.Work">'[34]#REF'!$F$9</definedName>
    <definedName name="Amt_prev_paid">[78]CERTIFICATE!#REF!</definedName>
    <definedName name="Amt_prev_paid_range">[78]CERTIFICATE!#REF!</definedName>
    <definedName name="Amt_Project">'[34]#REF'!$F$58</definedName>
    <definedName name="Amt_Sub.Struc">'[34]#REF'!$F$12</definedName>
    <definedName name="Amt_Super.Struc">'[34]#REF'!$F$13</definedName>
    <definedName name="AN">#REF!</definedName>
    <definedName name="Analysis" hidden="1">#REF!</definedName>
    <definedName name="anchor">#REF!</definedName>
    <definedName name="and">#REF!</definedName>
    <definedName name="ANE">#REF!</definedName>
    <definedName name="ang45x45x5">#REF!</definedName>
    <definedName name="ang50x50x6">#REF!</definedName>
    <definedName name="ang65x65x6">#REF!</definedName>
    <definedName name="angle">#REF!</definedName>
    <definedName name="anitirustpainttosteelstr">#REF!</definedName>
    <definedName name="ann">#REF!</definedName>
    <definedName name="anna">'[79]Cash Flow Worksheet'!#REF!</definedName>
    <definedName name="annayam">#REF!</definedName>
    <definedName name="anne">#REF!</definedName>
    <definedName name="annealing">#REF!</definedName>
    <definedName name="annealing1">#REF!</definedName>
    <definedName name="ansc">#REF!</definedName>
    <definedName name="anscjuly">#REF!</definedName>
    <definedName name="anscount" hidden="1">1</definedName>
    <definedName name="antique">#REF!</definedName>
    <definedName name="Antoan" hidden="1">{"'Sheet1'!$L$16"}</definedName>
    <definedName name="ANV">#REF!</definedName>
    <definedName name="aor">#REF!</definedName>
    <definedName name="Apartment_Loading_Summary">#REF!</definedName>
    <definedName name="apet">#REF!</definedName>
    <definedName name="APPLI">[80]Calendar!$I:$I</definedName>
    <definedName name="Application">#REF!</definedName>
    <definedName name="Application1">#REF!</definedName>
    <definedName name="Application2">#REF!</definedName>
    <definedName name="appr.110">[49]Factors!$N$206</definedName>
    <definedName name="appr.160">[49]Factors!$N$207</definedName>
    <definedName name="appr.200">#REF!</definedName>
    <definedName name="appr.250">#REF!</definedName>
    <definedName name="appr.315">#REF!</definedName>
    <definedName name="appr.355">#REF!</definedName>
    <definedName name="appr.63">[49]Factors!$N$203</definedName>
    <definedName name="appr.75">[49]Factors!$N$204</definedName>
    <definedName name="appr.90">[49]Factors!$N$205</definedName>
    <definedName name="appt">#REF!</definedName>
    <definedName name="apptapr">#REF!</definedName>
    <definedName name="apptaug">#REF!</definedName>
    <definedName name="apptdec">#REF!</definedName>
    <definedName name="apptfeb">#REF!</definedName>
    <definedName name="apptjan">#REF!</definedName>
    <definedName name="apptjuly">#REF!</definedName>
    <definedName name="apptjune">#REF!</definedName>
    <definedName name="apptmarch">#REF!</definedName>
    <definedName name="apptmay">#REF!</definedName>
    <definedName name="apptnov">[81]APPT!$C$2:$C$208</definedName>
    <definedName name="apptoct">#REF!</definedName>
    <definedName name="apptrange">[81]APPT!$A$2:$M$208</definedName>
    <definedName name="apptsep">#REF!</definedName>
    <definedName name="apptsglnov">[81]APPT_SGL!$D$2:$D$6064</definedName>
    <definedName name="apptsglrange">[81]APPT_SGL!$A$2:$N$6064</definedName>
    <definedName name="apr">[82]apr_data!$A:$Y</definedName>
    <definedName name="APR_JR">#REF!</definedName>
    <definedName name="aq">[28]!aq</definedName>
    <definedName name="AQCFafAFasdf" hidden="1">{"PriceSheetNoMargins",#N/A,FALSE,"PriceSheet"}</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e">#N/A</definedName>
    <definedName name="ARCH_CITY">#REF!</definedName>
    <definedName name="ARCH_ESC">#REF!</definedName>
    <definedName name="ARCH_LAB">#REF!</definedName>
    <definedName name="ARCH_MAT">#REF!</definedName>
    <definedName name="ARCH_OLD_CITY">#REF!</definedName>
    <definedName name="ARCH_OLD_ESC">#REF!</definedName>
    <definedName name="ARCH_OLD_PROD">#REF!</definedName>
    <definedName name="ARCH_OLD_WAGE">#REF!</definedName>
    <definedName name="ARCH_PROD">#REF!</definedName>
    <definedName name="ARCH_WAGE">#REF!</definedName>
    <definedName name="archcoat">#REF!</definedName>
    <definedName name="AREAS">#REF!</definedName>
    <definedName name="AREERHAERH" hidden="1">{"'Sheet1'!$A$1:$R$58"}</definedName>
    <definedName name="argEHAEHT" hidden="1">{"'Sheet1'!$A$1:$R$58"}</definedName>
    <definedName name="ARGFARHA" hidden="1">{"'Sheet1'!$A$1:$R$58"}</definedName>
    <definedName name="ArrangementCleaning">#REF!</definedName>
    <definedName name="ArrengeCleaning">#REF!</definedName>
    <definedName name="arrow.down">"â"</definedName>
    <definedName name="arrow.left">"ß"</definedName>
    <definedName name="arrow.right">"à"</definedName>
    <definedName name="arrow.up">"á"</definedName>
    <definedName name="ARTJNHBGVF">#REF!</definedName>
    <definedName name="arv.100">#REF!</definedName>
    <definedName name="arv.125">#REF!</definedName>
    <definedName name="arv.15">#REF!</definedName>
    <definedName name="arv.150">#REF!</definedName>
    <definedName name="arv.20">#REF!</definedName>
    <definedName name="arv.200">#REF!</definedName>
    <definedName name="arv.25">#REF!</definedName>
    <definedName name="arv.250">#REF!</definedName>
    <definedName name="arv.300">#REF!</definedName>
    <definedName name="arv.32">#REF!</definedName>
    <definedName name="arv.40">#REF!</definedName>
    <definedName name="arv.50">#REF!</definedName>
    <definedName name="arv.65">#REF!</definedName>
    <definedName name="arv.80">#REF!</definedName>
    <definedName name="as.co.sheet">#REF!</definedName>
    <definedName name="as.ridge">#REF!</definedName>
    <definedName name="AS2DocOpenMode" hidden="1">"AS2DocumentEdit"</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SAS" hidden="1">#REF!</definedName>
    <definedName name="ASASFSF" hidden="1">{"PriceSheetNoMargins",#N/A,FALSE,"PriceSheet"}</definedName>
    <definedName name="ASASSSS">'[83]Price Sheet'!$M$4</definedName>
    <definedName name="asc">'[4]13-septic'!#REF!</definedName>
    <definedName name="ASDADASD">[85]Details!#REF!</definedName>
    <definedName name="asdas">#REF!</definedName>
    <definedName name="ASDASDd" hidden="1">{"PriceSheetNoMargins",#N/A,FALSE,"PriceSheet"}</definedName>
    <definedName name="asdera">[28]!asdera</definedName>
    <definedName name="ASDFASDF" hidden="1">{"PriceSheetNoMargins",#N/A,FALSE,"PriceSheet"}</definedName>
    <definedName name="asdfdfdjf"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GSADFGSAG" hidden="1">{"PriceSheetNoMargins",#N/A,FALSE,"PriceSheet"}</definedName>
    <definedName name="asdsads">#REF!</definedName>
    <definedName name="ASDSFSAF" hidden="1">{"PriceSheetNoMargins",#N/A,FALSE,"PriceSheet"}</definedName>
    <definedName name="ase">[81]BOQ!#REF!</definedName>
    <definedName name="aserr">#REF!</definedName>
    <definedName name="asf" hidden="1">{"'Sheet1'!$L$16"}</definedName>
    <definedName name="asfgs" hidden="1">{"PriceSheetNoMargins",#N/A,FALSE,"PriceSheet"}</definedName>
    <definedName name="asfgsafg" hidden="1">{"PriceSheetNoMargins",#N/A,FALSE,"PriceSheet"}</definedName>
    <definedName name="ASFGSAGAS" hidden="1">{"PriceSheetNoMargins",#N/A,FALSE,"PriceSheet"}</definedName>
    <definedName name="ASFGSFG" hidden="1">{"PriceSheetNoMargins",#N/A,FALSE,"PriceSheet"}</definedName>
    <definedName name="asfgsgsfa" hidden="1">{"PriceSheetNoMargins",#N/A,FALSE,"PriceSheet"}</definedName>
    <definedName name="asfh">#REF!</definedName>
    <definedName name="asgqwjfgwlfgelf" hidden="1">{#N/A,#N/A,FALSE,"BOX RFQ SHEET"}</definedName>
    <definedName name="Asia_Pac">#REF!</definedName>
    <definedName name="Asitha">#REF!</definedName>
    <definedName name="asp" hidden="1">#REF!</definedName>
    <definedName name="asrhgdn">#REF!</definedName>
    <definedName name="asset_life">#REF!</definedName>
    <definedName name="AssetLife">#REF!</definedName>
    <definedName name="AssetLife2">#REF!</definedName>
    <definedName name="asvrehtuymjnhbtgv">#REF!</definedName>
    <definedName name="athlon">#REF!</definedName>
    <definedName name="ATLANTIC">[86]NATION!$A$2:$A$32</definedName>
    <definedName name="atm">'[84]Cost Sheet'!#REF!</definedName>
    <definedName name="Att">'[87]Equipment Schedule'!$L$20</definedName>
    <definedName name="attenu">[88]PA!$H$106</definedName>
    <definedName name="Attrition_Year">#REF!</definedName>
    <definedName name="AUD">#REF!</definedName>
    <definedName name="AUD_10">#REF!</definedName>
    <definedName name="AUD_9">#REF!</definedName>
    <definedName name="aug">[89]aug_data!$A:$Y</definedName>
    <definedName name="Auth_Rev_1202">#REF!</definedName>
    <definedName name="Auth_Rev_May03">#REF!</definedName>
    <definedName name="Auth_Rev_Query_0903">#REF!</definedName>
    <definedName name="AuthDealerRev_0103">#REF!</definedName>
    <definedName name="AuthRev_Apr03">#REF!</definedName>
    <definedName name="AuthRev_Query_.2_0703">#REF!</definedName>
    <definedName name="AuthRev_Query_0203">#REF!</definedName>
    <definedName name="AuthRev_Query_0603">#REF!</definedName>
    <definedName name="AuthRev_Query_Mar03">#REF!</definedName>
    <definedName name="Authrev200210_Query">#REF!</definedName>
    <definedName name="Authrev200211_Query">#REF!</definedName>
    <definedName name="aux">#REF!</definedName>
    <definedName name="AUX_CONT_PNLS">#REF!</definedName>
    <definedName name="avfgdhbbvfdc">#REF!</definedName>
    <definedName name="AVG_BOX_cryostat_cost">'[90]BOX Cryostat Details'!$C$18</definedName>
    <definedName name="AVG_BOX_TunerCoupler_cost">'[90]BOX Cryostat Details'!$D$24</definedName>
    <definedName name="AVG_cavity_cost_024">'[90]Driver Linac Layout'!$I$2</definedName>
    <definedName name="AVG_cavity_cost_031">'[90]Driver Linac Layout'!$I$3</definedName>
    <definedName name="AVG_cavity_cost_062">'[90]Driver Linac Layout'!$I$4</definedName>
    <definedName name="AVG_cavity_cost_151">'[90]Driver Linac Layout'!$I$5</definedName>
    <definedName name="AVG_cavity_cost_263">'[90]Driver Linac Layout'!$I$6</definedName>
    <definedName name="AVG_cavity_cost_394">'[90]Driver Linac Layout'!$I$7</definedName>
    <definedName name="AVG_cryomodule_cost_490">'[90]Driver Linac Layout'!$M$8</definedName>
    <definedName name="AVG_cryomodule_cost_610">'[90]Driver Linac Layout'!$M$9</definedName>
    <definedName name="AVG_cryomodule_cost_810">'[90]Driver Linac Layout'!$M$10</definedName>
    <definedName name="AvgRateTable">#REF!</definedName>
    <definedName name="AVSHRGVFDC">#REF!</definedName>
    <definedName name="awcevrghbtjny">#REF!</definedName>
    <definedName name="AYAEYY" hidden="1">{"PriceSheetNoMargins",#N/A,FALSE,"PriceSheet"}</definedName>
    <definedName name="AZ">#REF!</definedName>
    <definedName name="B.41">#REF!</definedName>
    <definedName name="B.42">#REF!</definedName>
    <definedName name="b.bolt4.b">#REF!</definedName>
    <definedName name="b.bolt4.i">#REF!</definedName>
    <definedName name="b.bolt6.b">#REF!</definedName>
    <definedName name="b.bolt6.i">#REF!</definedName>
    <definedName name="b.eight">[91]ANALISYS!$E$640</definedName>
    <definedName name="b.five">[91]ANALISYS!$E$596</definedName>
    <definedName name="b.four">[91]ANALISYS!$E$581</definedName>
    <definedName name="b.nine">[91]ANALISYS!$E$652</definedName>
    <definedName name="b.seven">[91]ANALISYS!$E$623</definedName>
    <definedName name="b.six">[91]ANALISYS!$E$612</definedName>
    <definedName name="b.ten">[91]ANALISYS!$E$665</definedName>
    <definedName name="b.three">[91]ANALISYS!$E$569</definedName>
    <definedName name="b.two">[91]ANALISYS!$E$556</definedName>
    <definedName name="b.valve">#REF!</definedName>
    <definedName name="b.valve20">#REF!</definedName>
    <definedName name="b.valve25">#REF!</definedName>
    <definedName name="B_1">"$#REF!.$A$231:$B$237"</definedName>
    <definedName name="B_10_10">'[92]Bill 3 - Site Works'!#REF!</definedName>
    <definedName name="B_10_11A">'[92]Bill 3 - Site Works'!#REF!</definedName>
    <definedName name="B_10_11B">'[92]Bill 3 - Site Works'!#REF!</definedName>
    <definedName name="B_10_12">'[92]Bill 3 - Site Works'!#REF!</definedName>
    <definedName name="B_10_13">'[92]Bill 3 - Site Works'!#REF!</definedName>
    <definedName name="B_10_14">'[92]Bill 3 - Site Works'!#REF!</definedName>
    <definedName name="B_10_2">'[92]Bill 3 - Site Works'!#REF!</definedName>
    <definedName name="B_10_3">'[92]Bill 3 - Site Works'!#REF!</definedName>
    <definedName name="B_10_4">'[92]Bill 3 - Site Works'!#REF!</definedName>
    <definedName name="B_10_5">'[92]Bill 3 - Site Works'!#REF!</definedName>
    <definedName name="B_10_6">'[92]Bill 3 - Site Works'!#REF!</definedName>
    <definedName name="B_10_7A">'[92]Bill 3 - Site Works'!#REF!</definedName>
    <definedName name="B_10_8A">'[92]Bill 3 - Site Works'!#REF!</definedName>
    <definedName name="B_10_9">'[92]Bill 3 - Site Works'!#REF!</definedName>
    <definedName name="B_41">#REF!</definedName>
    <definedName name="B_42">#REF!</definedName>
    <definedName name="B_FLG">#REF!</definedName>
    <definedName name="B_PanelBD_4">#REF!</definedName>
    <definedName name="B_PL">#REF!</definedName>
    <definedName name="B_Summary">#REF!</definedName>
    <definedName name="B1.">#REF!</definedName>
    <definedName name="B107A">'[92]Bill 3 - Site Works'!#REF!</definedName>
    <definedName name="B1T">'[93]Bill 1'!$F$833</definedName>
    <definedName name="B2ctsbscl16">#REF!</definedName>
    <definedName name="B2T">'[93]Bill 2'!$F$755</definedName>
    <definedName name="B3T">'[93]Bill 3'!$F$683</definedName>
    <definedName name="B4OUT">[1]内訳書!#REF!</definedName>
    <definedName name="B4T">'[93]Bill 4'!$F$568</definedName>
    <definedName name="B5OUT">[1]内訳書!#REF!</definedName>
    <definedName name="B5T">'[93]Bill 5'!$F$247</definedName>
    <definedName name="B6T">'[93]Bill 6'!$F$377</definedName>
    <definedName name="B7T">'[93]Bill 7'!$F$437</definedName>
    <definedName name="bAAA">'[94]App. A(contd)'!#REF!</definedName>
    <definedName name="bachlor">'[95]1010'!$F$86</definedName>
    <definedName name="back_pressure">#REF!</definedName>
    <definedName name="Backfill">[77]BUR!$E$5</definedName>
    <definedName name="Backfilling">#REF!</definedName>
    <definedName name="backfillingwork">'[71]Build Up rate'!$D$8</definedName>
    <definedName name="backlog">#REF!</definedName>
    <definedName name="backlogmgn">#REF!</definedName>
    <definedName name="BACT02_05">#REF!</definedName>
    <definedName name="BACT03">#REF!</definedName>
    <definedName name="BACT03_05">#REF!</definedName>
    <definedName name="BACT04">#REF!</definedName>
    <definedName name="BACT04_05">#REF!</definedName>
    <definedName name="BACT04_05TFS">#REF!</definedName>
    <definedName name="BACT05">#REF!</definedName>
    <definedName name="BACT05_WOR">#REF!</definedName>
    <definedName name="BACTUAL">[96]Americas!$B$110:$AH$179</definedName>
    <definedName name="BadDebt">#REF!</definedName>
    <definedName name="BadDebt06">#REF!</definedName>
    <definedName name="badf">#REF!</definedName>
    <definedName name="bag">#REF!</definedName>
    <definedName name="baggage">'[97]10'!$A:$U</definedName>
    <definedName name="bagl">#REF!</definedName>
    <definedName name="bagnaa">#REF!</definedName>
    <definedName name="BAHT">#REF!</definedName>
    <definedName name="balance_per_subledger">#REF!</definedName>
    <definedName name="Balance_Sheet">#REF!</definedName>
    <definedName name="ball">#REF!</definedName>
    <definedName name="BalSheet1">#REF!</definedName>
    <definedName name="BANDA">#REF!</definedName>
    <definedName name="banilad">[98]banilad!$A$1:$Z$1160</definedName>
    <definedName name="bank">#REF!</definedName>
    <definedName name="bank_10">#REF!</definedName>
    <definedName name="bank_9">#REF!</definedName>
    <definedName name="bank_aex">'[99]AEX_IMPORTS_on 320'!#REF!</definedName>
    <definedName name="bank_cab">#REF!</definedName>
    <definedName name="BARBICAN">#REF!</definedName>
    <definedName name="bargroup2" hidden="1">OR([100]SCHEDULE!$J1=11,[100]SCHEDULE!$J1=75,[100]SCHEDULE!$J1=47,[100]SCHEDULE!$J1=51,[100]SCHEDULE!$J1=63)</definedName>
    <definedName name="bargroup3" hidden="1">OR([100]SCHEDULE!$J1=13,[100]SCHEDULE!$J1=14,[100]SCHEDULE!$J1=15,[100]SCHEDULE!$J1=21,[100]SCHEDULE!$J1=23,[100]SCHEDULE!$J1=33)</definedName>
    <definedName name="bargroup4" hidden="1">OR([100]SCHEDULE!$J1=22,[100]SCHEDULE!$J1=24,[100]SCHEDULE!$J1=26,[100]SCHEDULE!$J1=27,[100]SCHEDULE!$J1=28,[100]SCHEDULE!$J1=29,[100]SCHEDULE!$J1=31,[100]SCHEDULE!$J1=32,[100]SCHEDULE!$J1=98)</definedName>
    <definedName name="bargroup5" hidden="1">OR([100]SCHEDULE!$J1=25,[100]SCHEDULE!$J1=34,[100]SCHEDULE!$J1=35,[100]SCHEDULE!$J1=36,[100]SCHEDULE!$J1=41,[100]SCHEDULE!$J1=44,[100]SCHEDULE!$J1=46,[100]SCHEDULE!$J1=56,[100]SCHEDULE!$J1=64)</definedName>
    <definedName name="bargroup6" hidden="1">[100]SCHEDULE!$J1=67</definedName>
    <definedName name="bargroup7" hidden="1">[100]SCHEDULE!$J1=12</definedName>
    <definedName name="bargroup8" hidden="1">[100]SCHEDULE!$J1=77</definedName>
    <definedName name="Baseline">'[84]INPUT - Recommended Schedules'!$B$4</definedName>
    <definedName name="basement">#REF!</definedName>
    <definedName name="basementfloor">#REF!</definedName>
    <definedName name="basic">[101]BASIC!$A$3:$AJ$39</definedName>
    <definedName name="bask">#REF!</definedName>
    <definedName name="Batch">[102]Sheet2!$X$1:$X$2</definedName>
    <definedName name="Batchlormmonth">'[95]1010'!$H$86</definedName>
    <definedName name="bathdr">#REF!</definedName>
    <definedName name="batton">#REF!</definedName>
    <definedName name="bazfvs">#REF!</definedName>
    <definedName name="bba">[103]Factors!$G$20</definedName>
    <definedName name="bbbbbb">[28]!bbbbbb</definedName>
    <definedName name="bbbbnnbvbnvbvbhgjfv">#REF!</definedName>
    <definedName name="bbbps">[28]!bbbps</definedName>
    <definedName name="bbd">[103]Factors!$G$21</definedName>
    <definedName name="bbdef">#REF!</definedName>
    <definedName name="bbh">'[104]Det Import'!#REF!</definedName>
    <definedName name="BBS.1">#REF!</definedName>
    <definedName name="BBVGFBVFVFDCV" hidden="1">{"PriceSheetNoMargins",#N/A,FALSE,"PriceSheet"}</definedName>
    <definedName name="bbxs">[28]!bbxs</definedName>
    <definedName name="bckf1">[105]Factors!$I$286</definedName>
    <definedName name="bcurtain">#REF!</definedName>
    <definedName name="bcv.100">#REF!</definedName>
    <definedName name="bcv.125">#REF!</definedName>
    <definedName name="bcv.15">#REF!</definedName>
    <definedName name="bcv.150">#REF!</definedName>
    <definedName name="bcv.20">#REF!</definedName>
    <definedName name="bcv.200">#REF!</definedName>
    <definedName name="bcv.25">#REF!</definedName>
    <definedName name="bcv.250">#REF!</definedName>
    <definedName name="bcv.300">#REF!</definedName>
    <definedName name="bcv.32">#REF!</definedName>
    <definedName name="bcv.40">#REF!</definedName>
    <definedName name="bcv.50">#REF!</definedName>
    <definedName name="bcv.65">#REF!</definedName>
    <definedName name="bcv.80">#REF!</definedName>
    <definedName name="BD_Selling">#REF!</definedName>
    <definedName name="BDR">#REF!</definedName>
    <definedName name="BDRBLD">#REF!</definedName>
    <definedName name="bdrmdr">#REF!</definedName>
    <definedName name="bdsdad">[28]!bdsdad</definedName>
    <definedName name="beading.c">#REF!</definedName>
    <definedName name="beading.gl">#REF!</definedName>
    <definedName name="beam">#REF!</definedName>
    <definedName name="Beam_Mark">#REF!</definedName>
    <definedName name="Beca" hidden="1">{#N/A,#N/A,FALSE,"GS";#N/A,#N/A,FALSE,"Cost Code Summary";#N/A,#N/A,FALSE,"VO";#N/A,#N/A,FALSE,"CUM FLUCT";#N/A,#N/A,FALSE,"Fluct";#N/A,#N/A,FALSE,"Bill 3";#N/A,#N/A,FALSE,"Bill 4";#N/A,#N/A,FALSE,"bill 5";#N/A,#N/A,FALSE,"Bill 7";#N/A,#N/A,FALSE,"Bill 8";#N/A,#N/A,FALSE,"Bill 10";#N/A,#N/A,FALSE,"Bill 12"}</definedName>
    <definedName name="bectel_valve">'[101]Bechtel Norms'!$A$42:$F$73</definedName>
    <definedName name="BEFORE_MP">'[29]Raw Data'!#REF!</definedName>
    <definedName name="BEGIN">#REF!</definedName>
    <definedName name="bell">"$#REF!.$AC$24"</definedName>
    <definedName name="BELL__Polarised">#REF!</definedName>
    <definedName name="bell_10">"$#REF!.$AC$24"</definedName>
    <definedName name="bell_9">"$#REF!.$AC$24"</definedName>
    <definedName name="bend100">#REF!</definedName>
    <definedName name="bend150">#REF!</definedName>
    <definedName name="bend200">#REF!</definedName>
    <definedName name="bend300">#REF!</definedName>
    <definedName name="bend75">#REF!</definedName>
    <definedName name="bescube">#REF!</definedName>
    <definedName name="bexc10">#REF!</definedName>
    <definedName name="bexc10m">#REF!</definedName>
    <definedName name="bexc12">#REF!</definedName>
    <definedName name="bexc12m">#REF!</definedName>
    <definedName name="bexc14">#REF!</definedName>
    <definedName name="bexc14m">#REF!</definedName>
    <definedName name="bexc16">#REF!</definedName>
    <definedName name="bexc16m">#REF!</definedName>
    <definedName name="bexc18">#REF!</definedName>
    <definedName name="bexc18m">#REF!</definedName>
    <definedName name="bexc2">#REF!</definedName>
    <definedName name="bexc2m">#REF!</definedName>
    <definedName name="bexc4">#REF!</definedName>
    <definedName name="bexc4m">#REF!</definedName>
    <definedName name="bexc6">#REF!</definedName>
    <definedName name="bexc6m">#REF!</definedName>
    <definedName name="bexc8">#REF!</definedName>
    <definedName name="bexc8m">#REF!</definedName>
    <definedName name="bfbfdhfdhdfgh" hidden="1">{#N/A,#N/A,FALSE,"CCTV"}</definedName>
    <definedName name="bfcst01">#REF!</definedName>
    <definedName name="bfcst02">#REF!</definedName>
    <definedName name="bfcst03">#REF!</definedName>
    <definedName name="bfcst04">#REF!</definedName>
    <definedName name="bfcst05">#REF!</definedName>
    <definedName name="bfcst06">#REF!</definedName>
    <definedName name="bfcst07">#REF!</definedName>
    <definedName name="bfcst08C">#REF!</definedName>
    <definedName name="bfcst09">#REF!</definedName>
    <definedName name="bfcst10">#REF!</definedName>
    <definedName name="bfcst11">#REF!</definedName>
    <definedName name="bfcst12">#REF!</definedName>
    <definedName name="bfdgfhhhhhhhhhhhhhhh\">[106]D_Cntnts!#REF!</definedName>
    <definedName name="BFV.50">#REF!</definedName>
    <definedName name="BFV.65">#REF!</definedName>
    <definedName name="BFV.80">#REF!</definedName>
    <definedName name="BG_Del" hidden="1">15</definedName>
    <definedName name="BG_Ins" hidden="1">4</definedName>
    <definedName name="BG_Mod" hidden="1">6</definedName>
    <definedName name="BGDBVG" hidden="1">{"PriceSheetNoMargins",#N/A,FALSE,"PriceSheet"}</definedName>
    <definedName name="BGGGBB" hidden="1">{"PriceSheetNoMargins",#N/A,FALSE,"PriceSheet"}</definedName>
    <definedName name="bgr">#REF!</definedName>
    <definedName name="BHAT">#N/A</definedName>
    <definedName name="BHDATBHFHZDXVHZXFH" hidden="1">{"PriceSheetNoMargins",#N/A,FALSE,"PriceSheet"}</definedName>
    <definedName name="BHSDGBHSDGBHDG" hidden="1">{"PriceSheetNoMargins",#N/A,FALSE,"PriceSheet"}</definedName>
    <definedName name="Bhthang4" hidden="1">{#N/A,#N/A,FALSE,"Chi tiÆt"}</definedName>
    <definedName name="bhthang5" hidden="1">{#N/A,#N/A,FALSE,"Chi tiÆt"}</definedName>
    <definedName name="bhthang6" hidden="1">{"'Sheet1'!$L$16"}</definedName>
    <definedName name="BHZDBHGZDGX" hidden="1">{"PriceSheetNoMargins",#N/A,FALSE,"PriceSheet"}</definedName>
    <definedName name="BHZSDFHZSDFHBS" hidden="1">{"PriceSheetNoMargins",#N/A,FALSE,"PriceSheet"}</definedName>
    <definedName name="BHZXFFHZXFGH" hidden="1">{"PriceSheetNoMargins",#N/A,FALSE,"PriceSheet"}</definedName>
    <definedName name="BHZXGFGFGFH" hidden="1">{"PriceSheetNoMargins",#N/A,FALSE,"PriceSheet"}</definedName>
    <definedName name="BIGC" hidden="1">{#N/A,#N/A,TRUE,"Str.";#N/A,#N/A,TRUE,"Steel &amp; Roof";#N/A,#N/A,TRUE,"Arc.";#N/A,#N/A,TRUE,"Preliminary";#N/A,#N/A,TRUE,"Sum_Prelim"}</definedName>
    <definedName name="Bii" hidden="1">{#N/A,#N/A,FALSE,"Sub2.1";#N/A,#N/A,FALSE,"Conc2.2";#N/A,#N/A,FALSE,"Block2.3";#N/A,#N/A,FALSE,"Roof2.4";#N/A,#N/A,FALSE,"wood2.5";#N/A,#N/A,FALSE,"Door2.6";#N/A,#N/A,FALSE,"Finish2.7";#N/A,#N/A,FALSE,"Service2.8";#N/A,#N/A,FALSE,"Summary2"}</definedName>
    <definedName name="bill.5" hidden="1">{#N/A,#N/A,FALSE,"Sub2.1";#N/A,#N/A,FALSE,"Conc2.2";#N/A,#N/A,FALSE,"Block2.3";#N/A,#N/A,FALSE,"Roof2.4";#N/A,#N/A,FALSE,"wood2.5";#N/A,#N/A,FALSE,"Door2.6";#N/A,#N/A,FALSE,"Finish2.7";#N/A,#N/A,FALSE,"Service2.8";#N/A,#N/A,FALSE,"Summary2"}</definedName>
    <definedName name="Bill.item.total">[107]macros!$E$2</definedName>
    <definedName name="Bill_AR">#REF!</definedName>
    <definedName name="Bill_EMF">'[108]JOB COSTING SHEET HVAC'!$L$52</definedName>
    <definedName name="Bill_MF">'[108]JOB COSTING SHEET HVAC'!$L$51</definedName>
    <definedName name="Bill_Sal">#REF!</definedName>
    <definedName name="bill0802" hidden="1">#REF!</definedName>
    <definedName name="BILL08Qty" hidden="1">#REF!</definedName>
    <definedName name="Bill12">#REF!</definedName>
    <definedName name="Bill14">#REF!</definedName>
    <definedName name="Bill16">#REF!</definedName>
    <definedName name="Bill17">#REF!</definedName>
    <definedName name="Bill18">#REF!</definedName>
    <definedName name="Bill22">#REF!</definedName>
    <definedName name="Bill23">#REF!</definedName>
    <definedName name="Bill24">#REF!</definedName>
    <definedName name="Bill25">#REF!</definedName>
    <definedName name="bill4" hidden="1">{#N/A,#N/A,FALSE,"Sub2.1";#N/A,#N/A,FALSE,"Conc2.2";#N/A,#N/A,FALSE,"Block2.3";#N/A,#N/A,FALSE,"Roof2.4";#N/A,#N/A,FALSE,"wood2.5";#N/A,#N/A,FALSE,"Door2.6";#N/A,#N/A,FALSE,"Finish2.7";#N/A,#N/A,FALSE,"Service2.8";#N/A,#N/A,FALSE,"Summary2"}</definedName>
    <definedName name="BILL4.2" hidden="1">{#N/A,#N/A,FALSE,"Sub2.1";#N/A,#N/A,FALSE,"Conc2.2";#N/A,#N/A,FALSE,"Block2.3";#N/A,#N/A,FALSE,"Roof2.4";#N/A,#N/A,FALSE,"wood2.5";#N/A,#N/A,FALSE,"Door2.6";#N/A,#N/A,FALSE,"Finish2.7";#N/A,#N/A,FALSE,"Service2.8";#N/A,#N/A,FALSE,"Summary2"}</definedName>
    <definedName name="bill4A" hidden="1">{#N/A,#N/A,FALSE,"Sub2.1";#N/A,#N/A,FALSE,"Conc2.2";#N/A,#N/A,FALSE,"Block2.3";#N/A,#N/A,FALSE,"Roof2.4";#N/A,#N/A,FALSE,"wood2.5";#N/A,#N/A,FALSE,"Door2.6";#N/A,#N/A,FALSE,"Finish2.7";#N/A,#N/A,FALSE,"Service2.8";#N/A,#N/A,FALSE,"Summary2"}</definedName>
    <definedName name="bill5">#REF!</definedName>
    <definedName name="bill5.2" hidden="1">{#N/A,#N/A,FALSE,"Sub2.1";#N/A,#N/A,FALSE,"Conc2.2";#N/A,#N/A,FALSE,"Block2.3";#N/A,#N/A,FALSE,"Roof2.4";#N/A,#N/A,FALSE,"wood2.5";#N/A,#N/A,FALSE,"Door2.6";#N/A,#N/A,FALSE,"Finish2.7";#N/A,#N/A,FALSE,"Service2.8";#N/A,#N/A,FALSE,"Summary2"}</definedName>
    <definedName name="bill5.3" hidden="1">{#N/A,#N/A,FALSE,"Sub2.1";#N/A,#N/A,FALSE,"Conc2.2";#N/A,#N/A,FALSE,"Block2.3";#N/A,#N/A,FALSE,"Roof2.4";#N/A,#N/A,FALSE,"wood2.5";#N/A,#N/A,FALSE,"Door2.6";#N/A,#N/A,FALSE,"Finish2.7";#N/A,#N/A,FALSE,"Service2.8";#N/A,#N/A,FALSE,"Summary2"}</definedName>
    <definedName name="bill5.4" hidden="1">{#N/A,#N/A,FALSE,"Sub2.1";#N/A,#N/A,FALSE,"Conc2.2";#N/A,#N/A,FALSE,"Block2.3";#N/A,#N/A,FALSE,"Roof2.4";#N/A,#N/A,FALSE,"wood2.5";#N/A,#N/A,FALSE,"Door2.6";#N/A,#N/A,FALSE,"Finish2.7";#N/A,#N/A,FALSE,"Service2.8";#N/A,#N/A,FALSE,"Summary2"}</definedName>
    <definedName name="bill5.6" hidden="1">{#N/A,#N/A,FALSE,"Sub2.1";#N/A,#N/A,FALSE,"Conc2.2";#N/A,#N/A,FALSE,"Block2.3";#N/A,#N/A,FALSE,"Roof2.4";#N/A,#N/A,FALSE,"wood2.5";#N/A,#N/A,FALSE,"Door2.6";#N/A,#N/A,FALSE,"Finish2.7";#N/A,#N/A,FALSE,"Service2.8";#N/A,#N/A,FALSE,"Summary2"}</definedName>
    <definedName name="bill56" hidden="1">{#N/A,#N/A,FALSE,"Sub2.1";#N/A,#N/A,FALSE,"Conc2.2";#N/A,#N/A,FALSE,"Block2.3";#N/A,#N/A,FALSE,"Roof2.4";#N/A,#N/A,FALSE,"wood2.5";#N/A,#N/A,FALSE,"Door2.6";#N/A,#N/A,FALSE,"Finish2.7";#N/A,#N/A,FALSE,"Service2.8";#N/A,#N/A,FALSE,"Summary2"}</definedName>
    <definedName name="bill6.2" hidden="1">{#N/A,#N/A,FALSE,"Sub2.1";#N/A,#N/A,FALSE,"Conc2.2";#N/A,#N/A,FALSE,"Block2.3";#N/A,#N/A,FALSE,"Roof2.4";#N/A,#N/A,FALSE,"wood2.5";#N/A,#N/A,FALSE,"Door2.6";#N/A,#N/A,FALSE,"Finish2.7";#N/A,#N/A,FALSE,"Service2.8";#N/A,#N/A,FALSE,"Summary2"}</definedName>
    <definedName name="bill6.35" hidden="1">{#N/A,#N/A,FALSE,"Sub2.1";#N/A,#N/A,FALSE,"Conc2.2";#N/A,#N/A,FALSE,"Block2.3";#N/A,#N/A,FALSE,"Roof2.4";#N/A,#N/A,FALSE,"wood2.5";#N/A,#N/A,FALSE,"Door2.6";#N/A,#N/A,FALSE,"Finish2.7";#N/A,#N/A,FALSE,"Service2.8";#N/A,#N/A,FALSE,"Summary2"}</definedName>
    <definedName name="bill6.4" hidden="1">{#N/A,#N/A,FALSE,"Sub2.1";#N/A,#N/A,FALSE,"Conc2.2";#N/A,#N/A,FALSE,"Block2.3";#N/A,#N/A,FALSE,"Roof2.4";#N/A,#N/A,FALSE,"wood2.5";#N/A,#N/A,FALSE,"Door2.6";#N/A,#N/A,FALSE,"Finish2.7";#N/A,#N/A,FALSE,"Service2.8";#N/A,#N/A,FALSE,"Summary2"}</definedName>
    <definedName name="bill6.6" hidden="1">{#N/A,#N/A,FALSE,"Sub2.1";#N/A,#N/A,FALSE,"Conc2.2";#N/A,#N/A,FALSE,"Block2.3";#N/A,#N/A,FALSE,"Roof2.4";#N/A,#N/A,FALSE,"wood2.5";#N/A,#N/A,FALSE,"Door2.6";#N/A,#N/A,FALSE,"Finish2.7";#N/A,#N/A,FALSE,"Service2.8";#N/A,#N/A,FALSE,"Summary2"}</definedName>
    <definedName name="bill7" hidden="1">{#N/A,#N/A,FALSE,"Sub2.1";#N/A,#N/A,FALSE,"Conc2.2";#N/A,#N/A,FALSE,"Block2.3";#N/A,#N/A,FALSE,"Roof2.4";#N/A,#N/A,FALSE,"wood2.5";#N/A,#N/A,FALSE,"Door2.6";#N/A,#N/A,FALSE,"Finish2.7";#N/A,#N/A,FALSE,"Service2.8";#N/A,#N/A,FALSE,"Summary2"}</definedName>
    <definedName name="bill7.2" hidden="1">{#N/A,#N/A,FALSE,"Sub2.1";#N/A,#N/A,FALSE,"Conc2.2";#N/A,#N/A,FALSE,"Block2.3";#N/A,#N/A,FALSE,"Roof2.4";#N/A,#N/A,FALSE,"wood2.5";#N/A,#N/A,FALSE,"Door2.6";#N/A,#N/A,FALSE,"Finish2.7";#N/A,#N/A,FALSE,"Service2.8";#N/A,#N/A,FALSE,"Summary2"}</definedName>
    <definedName name="BILL71">#REF!</definedName>
    <definedName name="BILL72">#REF!</definedName>
    <definedName name="Bill8">#REF!</definedName>
    <definedName name="billlll_" hidden="1">#REF!</definedName>
    <definedName name="billname1">#REF!</definedName>
    <definedName name="billname2">'[109]Bill 5 - Carpark'!#REF!</definedName>
    <definedName name="billname3">#REF!</definedName>
    <definedName name="billname300">#REF!</definedName>
    <definedName name="billname40">'[110]Bill 5 - Carpark'!#REF!</definedName>
    <definedName name="billnamema">'[111]Bill 5 - Carpark'!#REF!</definedName>
    <definedName name="billnametony">'[111]Bill 5 - Carpark'!#REF!</definedName>
    <definedName name="BIN">#REF!</definedName>
    <definedName name="bind.wire">#REF!</definedName>
    <definedName name="bitumen1">#REF!</definedName>
    <definedName name="bitumen2">#REF!</definedName>
    <definedName name="bitumen3">#REF!</definedName>
    <definedName name="bitumen4">#REF!</definedName>
    <definedName name="bjlc">#REF!</definedName>
    <definedName name="bk">#REF!</definedName>
    <definedName name="Bklg">[112]Admin!$B$50</definedName>
    <definedName name="Bl.">#REF!</definedName>
    <definedName name="bl.powder">#REF!</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3" hidden="1">#REF!</definedName>
    <definedName name="Blank4" hidden="1">#REF!</definedName>
    <definedName name="Blank5" hidden="1">#REF!</definedName>
    <definedName name="Blank6" hidden="1">#REF!</definedName>
    <definedName name="Blank7" hidden="1">#REF!</definedName>
    <definedName name="Blank8" hidden="1">#REF!</definedName>
    <definedName name="BldArea">#REF!</definedName>
    <definedName name="BLDG">[113]LEGEND!$D$8</definedName>
    <definedName name="BldRatio">[114]SubmitCal!$L$9</definedName>
    <definedName name="blind">#REF!</definedName>
    <definedName name="Blind_bore_from_ground_levels_to_cut_off_levels_including_casing_as_specified">[115]BQextra!#REF!</definedName>
    <definedName name="Block">[116]COST!$F$51</definedName>
    <definedName name="BLOCK_WORK">#REF!</definedName>
    <definedName name="Blue">'[29]Raw Data'!$C$5:$E$7</definedName>
    <definedName name="blv.100">#REF!</definedName>
    <definedName name="blv.125">#REF!</definedName>
    <definedName name="blv.15">#REF!</definedName>
    <definedName name="blv.150">#REF!</definedName>
    <definedName name="blv.20">#REF!</definedName>
    <definedName name="blv.200">#REF!</definedName>
    <definedName name="blv.25">#REF!</definedName>
    <definedName name="blv.250">#REF!</definedName>
    <definedName name="blv.32">#REF!</definedName>
    <definedName name="blv.40">#REF!</definedName>
    <definedName name="blv.50">#REF!</definedName>
    <definedName name="blv.65">#REF!</definedName>
    <definedName name="blv.80">#REF!</definedName>
    <definedName name="blv_100">"$#REF!.$#REF!$#REF!"</definedName>
    <definedName name="blv_150">"$#REF!.$#REF!$#REF!"</definedName>
    <definedName name="blv_200">"$#REF!.$#REF!$#REF!"</definedName>
    <definedName name="blv_25">"$#REF!.$#REF!$#REF!"</definedName>
    <definedName name="blv_250">"$#REF!.$#REF!$#REF!"</definedName>
    <definedName name="blv_300">"$#REF!.$#REF!$#REF!"</definedName>
    <definedName name="blv_32">"$#REF!.$#REF!$#REF!"</definedName>
    <definedName name="blv_40">"$#REF!.$#REF!$#REF!"</definedName>
    <definedName name="blv_50">"$#REF!.$#REF!$#REF!"</definedName>
    <definedName name="blv_65">"$#REF!.$#REF!$#REF!"</definedName>
    <definedName name="blv_80">"$#REF!.$#REF!$#REF!"</definedName>
    <definedName name="BM" hidden="1">{#N/A,#N/A,FALSE,"CCTV"}</definedName>
    <definedName name="BMCA6">#N/A</definedName>
    <definedName name="BMS.AI">'[66]3C'!$AC$48</definedName>
    <definedName name="BMS.AO">'[66]3C'!$AC$46</definedName>
    <definedName name="BMS.DI">'[66]3C'!$AC$47</definedName>
    <definedName name="BMS.DO">'[66]3C'!$AC$45</definedName>
    <definedName name="BNMKDRTYDFHXDRHJKUYK">#REF!</definedName>
    <definedName name="BNVGFCD" hidden="1">{"PriceSheetNoMargins",#N/A,FALSE,"PriceSheet"}</definedName>
    <definedName name="BOGROLLS">#REF!</definedName>
    <definedName name="bolt10">#REF!</definedName>
    <definedName name="bolt10_10">"$#REF!.$D$40"</definedName>
    <definedName name="bolt10_4">#REF!</definedName>
    <definedName name="bolt10_5">#REF!</definedName>
    <definedName name="bolt10_9">"$#REF!.$D$40"</definedName>
    <definedName name="bolt8">#REF!</definedName>
    <definedName name="bolt8_10">"$#REF!.$D$39"</definedName>
    <definedName name="bolt8_4">#REF!</definedName>
    <definedName name="bolt8_5">#REF!</definedName>
    <definedName name="bolt8_9">"$#REF!.$D$39"</definedName>
    <definedName name="boml1">#REF!</definedName>
    <definedName name="bondek">#REF!</definedName>
    <definedName name="bone">[91]ANALISYS!$E$544</definedName>
    <definedName name="Book_contract">[112]Admin!$B$55</definedName>
    <definedName name="Book_LFP">#REF!</definedName>
    <definedName name="book5" hidden="1">{"REBAR",#N/A,FALSE,"Sheet1";"CONCRETE",#N/A,FALSE,"Sheet1"}</definedName>
    <definedName name="Bookings">#REF!</definedName>
    <definedName name="BOOQ">#REF!</definedName>
    <definedName name="BOP40_CITY">#REF!</definedName>
    <definedName name="BOP40_ESC">#REF!</definedName>
    <definedName name="BOP40_OLD_CITY">#REF!</definedName>
    <definedName name="BOP40_OLD_ESC">#REF!</definedName>
    <definedName name="BOP40_OLD_PROD">#REF!</definedName>
    <definedName name="BOP40_OLD_WAGE">#REF!</definedName>
    <definedName name="BOP40_PROD">#REF!</definedName>
    <definedName name="BOP40_WAGE">#REF!</definedName>
    <definedName name="BOQ_Item">#REF!</definedName>
    <definedName name="BOQC">#REF!</definedName>
    <definedName name="Bored_Pile">#REF!</definedName>
    <definedName name="BOSS">#REF!</definedName>
    <definedName name="BOT">#REF!</definedName>
    <definedName name="botl1">#REF!</definedName>
    <definedName name="BOX_cavity_cryomodule_misc">'[90]BOX Cryostat Details'!$D$26</definedName>
    <definedName name="BOX_crymodule_internal_cryo">'[90]BOX Cryostat Details'!#REF!</definedName>
    <definedName name="BOX_cryomodule_cavity_tech_assem_hours">'[90]BOX Cryostat Details'!$D$25</definedName>
    <definedName name="BOX_cryomodule_vacuum">'[90]BOX Cryostat Details'!$D$23</definedName>
    <definedName name="BOX_IACO_ENG_MH">'[90]BOX Cryostat Details'!$E$29</definedName>
    <definedName name="BOX_IACO_PHY_MH">'[90]BOX Cryostat Details'!$E$28</definedName>
    <definedName name="BOX_IACO_TECH_MH">'[90]BOX Cryostat Details'!$E$30</definedName>
    <definedName name="box_speaker">#REF!</definedName>
    <definedName name="box12w">'[117]Building''s PA'!$D$19</definedName>
    <definedName name="box3w">'[117]Building''s PA'!$D$18</definedName>
    <definedName name="bp">#REF!</definedName>
    <definedName name="BPRO04">#REF!</definedName>
    <definedName name="BPS">[28]!BPS</definedName>
    <definedName name="bqo">{"Book1","BoQ2.XLS"}</definedName>
    <definedName name="bqo_1">{"Book1","BoQ2.XLS"}</definedName>
    <definedName name="bqo_2">{"Book1","BoQ2.XLS"}</definedName>
    <definedName name="bqo_3">{"Book1","BoQ2.XLS"}</definedName>
    <definedName name="bqo_4">{"Book1","BoQ2.XLS"}</definedName>
    <definedName name="bqo_5">{"Book1","BoQ2.XLS"}</definedName>
    <definedName name="bqo_6">{"Book1","BoQ2.XLS"}</definedName>
    <definedName name="br">#REF!</definedName>
    <definedName name="bracket">#REF!</definedName>
    <definedName name="braket110">#N/A</definedName>
    <definedName name="braket160">#N/A</definedName>
    <definedName name="braket90">#N/A</definedName>
    <definedName name="brca10">#REF!</definedName>
    <definedName name="brca11">#REF!</definedName>
    <definedName name="brca12">#REF!</definedName>
    <definedName name="brca13">#REF!</definedName>
    <definedName name="brca5">#REF!</definedName>
    <definedName name="brca6">#REF!</definedName>
    <definedName name="brca7">#REF!</definedName>
    <definedName name="brca8">#REF!</definedName>
    <definedName name="brca9">#REF!</definedName>
    <definedName name="brcb10">#REF!</definedName>
    <definedName name="brcb11">#REF!</definedName>
    <definedName name="brcb12">#REF!</definedName>
    <definedName name="brcb13">#REF!</definedName>
    <definedName name="brcb5">#REF!</definedName>
    <definedName name="brcb6">#REF!</definedName>
    <definedName name="brcb7">#REF!</definedName>
    <definedName name="brcb8">#REF!</definedName>
    <definedName name="brcb8a">#REF!</definedName>
    <definedName name="brcb9">#REF!</definedName>
    <definedName name="brcd10">#REF!</definedName>
    <definedName name="brcd11">#REF!</definedName>
    <definedName name="brcd12">#REF!</definedName>
    <definedName name="brcd13">#REF!</definedName>
    <definedName name="brcd4">#REF!</definedName>
    <definedName name="brcd5">#REF!</definedName>
    <definedName name="brcd6">#REF!</definedName>
    <definedName name="brcd7">#REF!</definedName>
    <definedName name="brcd8">#REF!</definedName>
    <definedName name="brcd9">#REF!</definedName>
    <definedName name="brce10">#REF!</definedName>
    <definedName name="brce11">#REF!</definedName>
    <definedName name="brce12">#REF!</definedName>
    <definedName name="brce13">#REF!</definedName>
    <definedName name="brce8">#REF!</definedName>
    <definedName name="brce9">#REF!</definedName>
    <definedName name="BRD.1">#REF!</definedName>
    <definedName name="breakdown">#REF!</definedName>
    <definedName name="Breaks">#REF!</definedName>
    <definedName name="brick">#REF!</definedName>
    <definedName name="brick.wi">'[91]#REF'!$C$46</definedName>
    <definedName name="Brickwork">#REF!</definedName>
    <definedName name="Brickwork_and_blockwork">#REF!</definedName>
    <definedName name="brickwork_utility">#REF!</definedName>
    <definedName name="Bridges">#REF!</definedName>
    <definedName name="brish3">#REF!</definedName>
    <definedName name="bRKRKRKRKRTDK">'[118]#3E1_GCR'!#REF!</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ush.wi">#REF!</definedName>
    <definedName name="brush6">#REF!</definedName>
    <definedName name="BSE">#REF!</definedName>
    <definedName name="bsec1">#REF!</definedName>
    <definedName name="bsec2">#REF!</definedName>
    <definedName name="bsec3">#REF!</definedName>
    <definedName name="bsec4">#REF!</definedName>
    <definedName name="bsec5">#REF!</definedName>
    <definedName name="bsec6">#REF!</definedName>
    <definedName name="bsf">#REF!</definedName>
    <definedName name="bsg">#REF!</definedName>
    <definedName name="bsgl">#REF!</definedName>
    <definedName name="bsh">#REF!</definedName>
    <definedName name="bsl">#REF!</definedName>
    <definedName name="bslate">#REF!</definedName>
    <definedName name="BSRateTable">#REF!</definedName>
    <definedName name="bt_9_1_c2">'[119]1-Excavation'!#REF!</definedName>
    <definedName name="bt_9_1_c3">'[119]1-Excavation'!#REF!</definedName>
    <definedName name="bt_9_1_c4">'[119]1-Excavation'!#REF!</definedName>
    <definedName name="bt_9_1_er">'[119]1-Excavation'!#REF!</definedName>
    <definedName name="bt_9_10_c1">#REF!</definedName>
    <definedName name="bt_9_10_c2">#REF!</definedName>
    <definedName name="bt_9_10_c3">#REF!</definedName>
    <definedName name="bt_9_10_c4">#REF!</definedName>
    <definedName name="bt_9_10_er">#REF!</definedName>
    <definedName name="bt_9_11_c1">#REF!</definedName>
    <definedName name="bt_9_11_c2">#REF!</definedName>
    <definedName name="bt_9_11_c3">#REF!</definedName>
    <definedName name="bt_9_11_c4">#REF!</definedName>
    <definedName name="bt_9_11_er">#REF!</definedName>
    <definedName name="bt_9_12_c1">#REF!</definedName>
    <definedName name="bt_9_12_c2">#REF!</definedName>
    <definedName name="bt_9_12_c3">#REF!</definedName>
    <definedName name="bt_9_12_c4">#REF!</definedName>
    <definedName name="bt_9_12_er">#REF!</definedName>
    <definedName name="bt_9_13_c1">#REF!</definedName>
    <definedName name="bt_9_13_c2">#REF!</definedName>
    <definedName name="bt_9_13_c3">#REF!</definedName>
    <definedName name="bt_9_13_c4">#REF!</definedName>
    <definedName name="bt_9_13_er">#REF!</definedName>
    <definedName name="bt_9_14_c1">#REF!</definedName>
    <definedName name="bt_9_14_c2">#REF!</definedName>
    <definedName name="bt_9_14_c3">#REF!</definedName>
    <definedName name="bt_9_14_c4">#REF!</definedName>
    <definedName name="bt_9_14_er">#REF!</definedName>
    <definedName name="bt_9_2_c2">'[119]2-Substructure'!#REF!</definedName>
    <definedName name="bt_9_2_c3">'[119]2-Substructure'!#REF!</definedName>
    <definedName name="bt_9_2_c4">'[119]2-Substructure'!#REF!</definedName>
    <definedName name="bt_9_2_er">'[119]2-Substructure'!#REF!</definedName>
    <definedName name="bt_9_3_c2">'[119]3-Concrete'!#REF!</definedName>
    <definedName name="bt_9_3_c3">'[119]3-Concrete'!#REF!</definedName>
    <definedName name="bt_9_3_c4">'[119]3-Concrete'!#REF!</definedName>
    <definedName name="bt_9_3_er">'[119]3-Concrete'!#REF!</definedName>
    <definedName name="bt_9_4_c2">'[119]4-Masonry'!#REF!</definedName>
    <definedName name="bt_9_4_c3">'[119]4-Masonry'!#REF!</definedName>
    <definedName name="bt_9_4_c4">'[119]4-Masonry'!#REF!</definedName>
    <definedName name="bt_9_4_er">'[119]4-Masonry'!#REF!</definedName>
    <definedName name="bt_9_5_c1">'[119]5-Thermal &amp; Moisture'!#REF!</definedName>
    <definedName name="bt_9_5_c2">'[119]5-Thermal &amp; Moisture'!#REF!</definedName>
    <definedName name="bt_9_5_c3">'[119]5-Thermal &amp; Moisture'!#REF!</definedName>
    <definedName name="bt_9_5_c4">'[119]5-Thermal &amp; Moisture'!#REF!</definedName>
    <definedName name="bt_9_5_er">'[119]5-Thermal &amp; Moisture'!#REF!</definedName>
    <definedName name="bt_9_6_c1">#REF!</definedName>
    <definedName name="bt_9_6_c2">#REF!</definedName>
    <definedName name="bt_9_6_c3">#REF!</definedName>
    <definedName name="bt_9_6_c4">#REF!</definedName>
    <definedName name="bt_9_6_er">#REF!</definedName>
    <definedName name="bt_9_7_c1">#REF!</definedName>
    <definedName name="bt_9_7_c2">#REF!</definedName>
    <definedName name="bt_9_7_c3">#REF!</definedName>
    <definedName name="bt_9_7_c4">#REF!</definedName>
    <definedName name="bt_9_7_er">#REF!</definedName>
    <definedName name="bt_9_8_c1">#REF!</definedName>
    <definedName name="bt_9_8_c2">#REF!</definedName>
    <definedName name="bt_9_8_c3">#REF!</definedName>
    <definedName name="bt_9_8_c4">#REF!</definedName>
    <definedName name="bt_9_8_er">#REF!</definedName>
    <definedName name="bt_9_9_c1">#REF!</definedName>
    <definedName name="bt_9_9_c2">#REF!</definedName>
    <definedName name="bt_9_9_c3">#REF!</definedName>
    <definedName name="bt_9_9_c4">#REF!</definedName>
    <definedName name="bt_9_9_er">#REF!</definedName>
    <definedName name="BT_Corp">#REF!</definedName>
    <definedName name="btub">#REF!</definedName>
    <definedName name="BUCKETS">#REF!</definedName>
    <definedName name="BudADSC">#REF!</definedName>
    <definedName name="BudCflow">#REF!</definedName>
    <definedName name="BudCommAcq">#REF!</definedName>
    <definedName name="BudFCST">[72]INPUT!$B$52</definedName>
    <definedName name="Budget">'[120]Backlog Consol'!$C$3</definedName>
    <definedName name="BudMP">#REF!</definedName>
    <definedName name="BudPL">#REF!</definedName>
    <definedName name="BudResiAcq">#REF!</definedName>
    <definedName name="BudRIF">#REF!</definedName>
    <definedName name="BudSP">#REF!</definedName>
    <definedName name="BudTitles">#REF!</definedName>
    <definedName name="BuiltIn_AutoFilter___1">#REF!</definedName>
    <definedName name="BuiltIn_AutoFilter___6">#REF!</definedName>
    <definedName name="BULKMATERIAL_UNIT_COST">'[29]Raw Data'!$K$12:$K$16,'[29]Raw Data'!$K$19:$K$30,'[29]Raw Data'!$K$33:$K$36,'[29]Raw Data'!$K$39:$K$40,'[29]Raw Data'!$K$42:$K$48,'[29]Raw Data'!$K$51:$K$55,'[29]Raw Data'!$K$66</definedName>
    <definedName name="BULKS80_CITY">#REF!</definedName>
    <definedName name="BULKS80_ESC">#REF!</definedName>
    <definedName name="BULKS80_HRS">#REF!</definedName>
    <definedName name="BULKS80_LAB">#REF!</definedName>
    <definedName name="BULKS80_MAT">#REF!</definedName>
    <definedName name="BULKS80_OLD_CITY">#REF!</definedName>
    <definedName name="BULKS80_OLD_ESC">#REF!</definedName>
    <definedName name="BULKS80_OLD_PROD">#REF!</definedName>
    <definedName name="BULKS80_OLD_WAGE">#REF!</definedName>
    <definedName name="BULKS80_PROD">#REF!</definedName>
    <definedName name="BULKS80_SC">#REF!</definedName>
    <definedName name="BULKS80_SCHRS">#REF!</definedName>
    <definedName name="BULKS80_TOT">#REF!</definedName>
    <definedName name="BULKS80_WAGE">#REF!</definedName>
    <definedName name="BULKS81_QTY">#REF!</definedName>
    <definedName name="BULKS82_QTY">#REF!</definedName>
    <definedName name="BULKS84_ACL">#REF!</definedName>
    <definedName name="BULKS84_CKTS">#REF!</definedName>
    <definedName name="BULKS84_QTY">#REF!</definedName>
    <definedName name="BULKS85_QTY">#REF!</definedName>
    <definedName name="BULO">#REF!</definedName>
    <definedName name="bun">'[84]Cost Sheet'!#REF!</definedName>
    <definedName name="BUNGALOW_GATE">#REF!</definedName>
    <definedName name="BURI">#REF!</definedName>
    <definedName name="BUS">#REF!</definedName>
    <definedName name="Bus_Bar_impedance">#REF!</definedName>
    <definedName name="BUS_BAY">#REF!</definedName>
    <definedName name="Business_Travel_Rates">#REF!</definedName>
    <definedName name="butterfly">#REF!</definedName>
    <definedName name="Button_1">"MAT_PRICE_Sheet1_List"</definedName>
    <definedName name="butv300">#REF!</definedName>
    <definedName name="butv350">#REF!</definedName>
    <definedName name="butv400">#REF!</definedName>
    <definedName name="bv">'[84]Cost Sheet'!#REF!</definedName>
    <definedName name="BV.100">#REF!</definedName>
    <definedName name="BV.125">#REF!</definedName>
    <definedName name="BV.15">#REF!</definedName>
    <definedName name="BV.150">#REF!</definedName>
    <definedName name="BV.20">#REF!</definedName>
    <definedName name="BV.200">#REF!</definedName>
    <definedName name="BV.25">#REF!</definedName>
    <definedName name="BV.250">#REF!</definedName>
    <definedName name="BV.300">#REF!</definedName>
    <definedName name="BV.32">#REF!</definedName>
    <definedName name="bv.350">#REF!</definedName>
    <definedName name="BV.40">#REF!</definedName>
    <definedName name="BV.50">#REF!</definedName>
    <definedName name="BV.65">#REF!</definedName>
    <definedName name="BV.80">#REF!</definedName>
    <definedName name="BVGHBGHBGH" hidden="1">{"PriceSheetNoMargins",#N/A,FALSE,"PriceSheet"}</definedName>
    <definedName name="BVN">'[3]Ra  stair'!#REF!</definedName>
    <definedName name="BVTBTYBTYBT" hidden="1">{"PriceSheetNoMargins",#N/A,FALSE,"PriceSheet"}</definedName>
    <definedName name="ç">#REF!</definedName>
    <definedName name="c.36">[121]Workings_FdtnsPiling_Canteen!#REF!</definedName>
    <definedName name="c.eight">[91]ANALISYS!$E$797</definedName>
    <definedName name="c.eighteen">[91]ANALISYS!$E$977</definedName>
    <definedName name="c.eleven">[91]ANALISYS!$E$852</definedName>
    <definedName name="c.f.b">#REF!</definedName>
    <definedName name="c.f.i">#REF!</definedName>
    <definedName name="c.fan56">#REF!</definedName>
    <definedName name="c.fifteen">[91]ANALISYS!$E$923</definedName>
    <definedName name="c.five">[91]ANALISYS!$E$755</definedName>
    <definedName name="c.four">[91]ANALISYS!$E$738</definedName>
    <definedName name="c.fourteen">[91]ANALISYS!$E$905</definedName>
    <definedName name="C.L.WALL">#REF!</definedName>
    <definedName name="c.nine">[91]ANALISYS!$E$814</definedName>
    <definedName name="c.nineteen">[91]ANALISYS!$E$994</definedName>
    <definedName name="c.one">[91]ANALISYS!$E$685</definedName>
    <definedName name="c.s.">#REF!</definedName>
    <definedName name="C.S.WALL">#REF!</definedName>
    <definedName name="c.s12.b">#REF!</definedName>
    <definedName name="c.s12.i">#REF!</definedName>
    <definedName name="c.seven">[91]ANALISYS!$E$784</definedName>
    <definedName name="c.seventeen">[91]ANALISYS!$E$959</definedName>
    <definedName name="c.six">[91]ANALISYS!$E$772</definedName>
    <definedName name="c.sixteen">[91]ANALISYS!$E$941</definedName>
    <definedName name="c.ten">[91]ANALISYS!$E$832</definedName>
    <definedName name="c.thirteen">[91]ANALISYS!$E$887</definedName>
    <definedName name="c.thirty">[91]ANALISYS!$E$1215</definedName>
    <definedName name="c.thirtyeight">[91]ANALISYS!$E$1364</definedName>
    <definedName name="c.thirtyfive">[91]ANALISYS!$E$1304</definedName>
    <definedName name="c.thirtyfour">[91]ANALISYS!$E$1284</definedName>
    <definedName name="c.thirtyone">[91]ANALISYS!$E$1235</definedName>
    <definedName name="c.thirtyseven">[91]ANALISYS!$E$1344</definedName>
    <definedName name="c.thirtysix">[91]ANALISYS!$E$1324</definedName>
    <definedName name="c.thirtythree">[91]ANALISYS!$E$1268</definedName>
    <definedName name="c.thirtytwo">[91]ANALISYS!$E$1251</definedName>
    <definedName name="c.three">[91]ANALISYS!$E$721</definedName>
    <definedName name="c.twelve">[91]ANALISYS!$E$869</definedName>
    <definedName name="c.twenty">[91]ANALISYS!$E$1023</definedName>
    <definedName name="c.twentyeight">[91]ANALISYS!$E$1175</definedName>
    <definedName name="c.twentyfive">[91]ANALISYS!$E$1112</definedName>
    <definedName name="c.twentyfour">[91]ANALISYS!$E$1092</definedName>
    <definedName name="c.twentynine">[91]ANALISYS!$E$1195</definedName>
    <definedName name="c.twentyone">[91]ANALISYS!$E$1041</definedName>
    <definedName name="c.twentyseven">[91]ANALISYS!$E$1154</definedName>
    <definedName name="c.twentysix">[91]ANALISYS!$E$1133</definedName>
    <definedName name="c.twentythree">[91]ANALISYS!$E$1074</definedName>
    <definedName name="c.twentytwo">[91]ANALISYS!$E$1058</definedName>
    <definedName name="c.two">[91]ANALISYS!$E$703</definedName>
    <definedName name="C__1">"$#REF!.$A$3:$A$4"</definedName>
    <definedName name="C_Armature_">#REF!</definedName>
    <definedName name="C_Over_Heads">#REF!</definedName>
    <definedName name="C_SPK">#REF!</definedName>
    <definedName name="ca1.5">[87]Workings!$F$38</definedName>
    <definedName name="ca2.5">[87]Workings!$F$50</definedName>
    <definedName name="caav">#REF!</definedName>
    <definedName name="cab.hook.i">#REF!</definedName>
    <definedName name="cabdis">#REF!</definedName>
    <definedName name="cabf">#REF!</definedName>
    <definedName name="cabinet">#REF!</definedName>
    <definedName name="cable">#REF!</definedName>
    <definedName name="cable.earth">#REF!</definedName>
    <definedName name="CABLE_5KV">#REF!</definedName>
    <definedName name="CABLE_600V">#REF!</definedName>
    <definedName name="CABLE_PRICING">#REF!</definedName>
    <definedName name="CABLE_TYPE_15KV">#REF!</definedName>
    <definedName name="CABLE_TYPE_5KV">#REF!</definedName>
    <definedName name="cable1">"$#REF!.$#REF!$#REF!"</definedName>
    <definedName name="cable1.044">#REF!</definedName>
    <definedName name="cable1_10">"$#REF!.$#REF!$#REF!"</definedName>
    <definedName name="cable1_9">"$#REF!.$#REF!$#REF!"</definedName>
    <definedName name="cable2">"$#REF!.$#REF!$#REF!"</definedName>
    <definedName name="cable2_10">"$#REF!.$#REF!$#REF!"</definedName>
    <definedName name="cable2_9">"$#REF!.$#REF!$#REF!"</definedName>
    <definedName name="cable7.036">#REF!</definedName>
    <definedName name="cablecost">"$#REF!.$AH$26"</definedName>
    <definedName name="cablelab">"$#REF!.$AG$38"</definedName>
    <definedName name="cablelabcost">"$#REF!.$AH$30"</definedName>
    <definedName name="cafetaria">#REF!</definedName>
    <definedName name="cafgsfvd">#REF!</definedName>
    <definedName name="cafv">#REF!</definedName>
    <definedName name="cagv">#REF!</definedName>
    <definedName name="cah">[103]Factors!$G$7</definedName>
    <definedName name="cahu">#REF!</definedName>
    <definedName name="Calc_Error">'[29]Raw Data'!$C$18</definedName>
    <definedName name="Calc_OK">'[29]Raw Data'!$B$18</definedName>
    <definedName name="CALENDAR_GRID_CROSSTAB">#REF!</definedName>
    <definedName name="calmp4">#REF!</definedName>
    <definedName name="calmp4_10">"$#REF!.$D$27"</definedName>
    <definedName name="calmp4_4">#REF!</definedName>
    <definedName name="calmp4_5">#REF!</definedName>
    <definedName name="calmp4_9">"$#REF!.$D$27"</definedName>
    <definedName name="CalStage">[123]Control!$C$9</definedName>
    <definedName name="camera">[88]Workings!$H$3</definedName>
    <definedName name="can">#REF!</definedName>
    <definedName name="can_DSO">#REF!</definedName>
    <definedName name="Canal">#REF!</definedName>
    <definedName name="Canal_Diversion">#REF!</definedName>
    <definedName name="cancel">#REF!</definedName>
    <definedName name="cant">'[124]Staff Acco.'!#REF!</definedName>
    <definedName name="canteen">#REF!</definedName>
    <definedName name="cantemp">#REF!</definedName>
    <definedName name="CApentry">#REF!</definedName>
    <definedName name="Capex">#REF!</definedName>
    <definedName name="CAPEX1">#REF!</definedName>
    <definedName name="Capex2">#REF!</definedName>
    <definedName name="Captions">#REF!</definedName>
    <definedName name="CardReaderInd400">[125]CCTV_EST1!#REF!</definedName>
    <definedName name="CARL" hidden="1">{#N/A,#N/A,FALSE,"CCTV"}</definedName>
    <definedName name="CARL1" hidden="1">{#N/A,#N/A,FALSE,"CCTV"}</definedName>
    <definedName name="CARL2" hidden="1">{#N/A,#N/A,FALSE,"CCTV"}</definedName>
    <definedName name="carpark">#REF!</definedName>
    <definedName name="carpark.cfa">[126]Summary!$E$4</definedName>
    <definedName name="carparkmarking">#REF!</definedName>
    <definedName name="carparknumber">#REF!</definedName>
    <definedName name="carparksignage">#REF!</definedName>
    <definedName name="carpet">#REF!</definedName>
    <definedName name="carpetl">#REF!</definedName>
    <definedName name="CARRIED_TO_GENERAL_SUMMARY">#REF!</definedName>
    <definedName name="carv">[50]Factors!$U$63</definedName>
    <definedName name="CAS_AUS.PTADJ">[69]Summary!$HC$167:$HC$168</definedName>
    <definedName name="CAS_ELIMS_A.PTADJ">[69]Summary!$HC$169:$HC$170</definedName>
    <definedName name="CAS_GERM.PTADJ">[69]Summary!$HC$171:$HC$172</definedName>
    <definedName name="CAS_IPUSD.PTADJ">[69]Summary!$HC$173:$HC$174</definedName>
    <definedName name="CAS_ITALY.PTADJ">[69]Summary!$HC$175:$HC$176</definedName>
    <definedName name="CAS_UK.PTADJ">[69]Summary!$HC$177:$HC$178</definedName>
    <definedName name="CAS_US.PTADJ">[69]Summary!$HC$179:$HC$180</definedName>
    <definedName name="casft">#REF!</definedName>
    <definedName name="Cash_fore">#REF!</definedName>
    <definedName name="Cash_growth_fore">#REF!</definedName>
    <definedName name="Cash_operating_taxes_fore">#REF!</definedName>
    <definedName name="CASH_OUT">#REF!</definedName>
    <definedName name="cashfl" hidden="1">{#N/A,#N/A,TRUE,"Cover";#N/A,#N/A,TRUE,"Conts";#N/A,#N/A,TRUE,"VOS";#N/A,#N/A,TRUE,"Warrington";#N/A,#N/A,TRUE,"Widnes"}</definedName>
    <definedName name="Cashflow">#REF!</definedName>
    <definedName name="CASING">#REF!</definedName>
    <definedName name="CAT_1">#REF!</definedName>
    <definedName name="CAT_2">#REF!</definedName>
    <definedName name="CATAROG">#REF!</definedName>
    <definedName name="CATAROG_1">#REF!</definedName>
    <definedName name="categ">#REF!</definedName>
    <definedName name="CATEGORY">#REF!</definedName>
    <definedName name="catladder1">#REF!</definedName>
    <definedName name="catladder2">#REF!</definedName>
    <definedName name="catladder3">#REF!</definedName>
    <definedName name="catladder4">#REF!</definedName>
    <definedName name="catladdermrate">#REF!</definedName>
    <definedName name="cavity">#REF!</definedName>
    <definedName name="cb_per">#REF!</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bgl1">#REF!</definedName>
    <definedName name="cbgl2">#REF!</definedName>
    <definedName name="cbgl3">#REF!</definedName>
    <definedName name="cbgl4">#REF!</definedName>
    <definedName name="cblk100">#REF!</definedName>
    <definedName name="cblk200">#REF!</definedName>
    <definedName name="cblv">#REF!</definedName>
    <definedName name="cbv">#REF!</definedName>
    <definedName name="cbwk115">#REF!</definedName>
    <definedName name="cbwk230">#REF!</definedName>
    <definedName name="cc___0">NA()</definedName>
    <definedName name="cc___10">NA()</definedName>
    <definedName name="cc___3">NA()</definedName>
    <definedName name="cc___4">NA()</definedName>
    <definedName name="cc___5">NA()</definedName>
    <definedName name="cc___6">NA()</definedName>
    <definedName name="cc___7">NA()</definedName>
    <definedName name="cc___8">NA()</definedName>
    <definedName name="cc___9">NA()</definedName>
    <definedName name="CC11A">'[97]11A'!$A:$W</definedName>
    <definedName name="CC11B">'[97]11B '!$A:$U</definedName>
    <definedName name="CC12A">'[97]12A'!$A:$U</definedName>
    <definedName name="CC12B">'[97]12B'!$A:$U</definedName>
    <definedName name="CC2A">'[97]2A'!$A:$V</definedName>
    <definedName name="CC2B">'[97]2B'!$A:$V</definedName>
    <definedName name="CC2C">'[97]2C'!$A:$V</definedName>
    <definedName name="CC2D">'[97]2D'!$A:$V</definedName>
    <definedName name="CC2E">'[97]2E'!$A:$V</definedName>
    <definedName name="CC2F">'[97]2F'!$A:$V</definedName>
    <definedName name="CC2G">'[97]2G'!$A:$V</definedName>
    <definedName name="CC2H">'[97]2H'!$A:$V</definedName>
    <definedName name="CC3A">'[97]3A'!$A:$V</definedName>
    <definedName name="CC3B">'[97]3B'!$A:$V</definedName>
    <definedName name="CC4a">'[97]4'!$A:$U</definedName>
    <definedName name="CC5a">#REF!</definedName>
    <definedName name="CC5a1">#REF!</definedName>
    <definedName name="CC6A">'[97]6A'!$A:$V</definedName>
    <definedName name="CC6B">'[97]6B'!$A:$V</definedName>
    <definedName name="CC7A">'[97]7A'!$A:$U</definedName>
    <definedName name="CC7B">'[97]7B'!$A:$U</definedName>
    <definedName name="CC8A">'[97]8A'!$A:$U</definedName>
    <definedName name="CC8B">'[97]8B'!$A:$U</definedName>
    <definedName name="CC9A">'[97]9A'!$A:$U</definedName>
    <definedName name="CC9B">'[97]9B'!$A:$U</definedName>
    <definedName name="CC9C">'[97]9C'!$A:$U</definedName>
    <definedName name="CC9D">'[97]9D'!$A:$U</definedName>
    <definedName name="CC9E">'[97]9E'!$A:$U</definedName>
    <definedName name="CC9F">'[97]9F'!$A:$U</definedName>
    <definedName name="CC9G">'[97]9G'!$A:$U</definedName>
    <definedName name="CC9H">'[97]9H'!$A:$U</definedName>
    <definedName name="CC9I">'[97]9I'!$A:$U</definedName>
    <definedName name="CC9J">'[97]9J'!$A:$U</definedName>
    <definedName name="CC9K">'[97]9K'!$A:$U</definedName>
    <definedName name="ccairg">[50]Factors!$M$543</definedName>
    <definedName name="CCATEGORY">#REF!</definedName>
    <definedName name="ccc" hidden="1">{#N/A,#N/A,FALSE,"SumD";#N/A,#N/A,FALSE,"ElecD";#N/A,#N/A,FALSE,"MechD";#N/A,#N/A,FALSE,"GeotD";#N/A,#N/A,FALSE,"PrcsD";#N/A,#N/A,FALSE,"TunnD";#N/A,#N/A,FALSE,"CivlD";#N/A,#N/A,FALSE,"NtwkD";#N/A,#N/A,FALSE,"EstgD";#N/A,#N/A,FALSE,"PEngD"}</definedName>
    <definedName name="cccc" hidden="1">{#N/A,#N/A,TRUE,"SUM";#N/A,#N/A,TRUE,"EE";#N/A,#N/A,TRUE,"AC";#N/A,#N/A,TRUE,"SN"}</definedName>
    <definedName name="ccccc___0">NA()</definedName>
    <definedName name="ccccc___10">NA()</definedName>
    <definedName name="ccccc___3">NA()</definedName>
    <definedName name="ccccc___4">NA()</definedName>
    <definedName name="ccccc___5">NA()</definedName>
    <definedName name="ccccc___6">NA()</definedName>
    <definedName name="ccccc___7">NA()</definedName>
    <definedName name="ccccc___8">NA()</definedName>
    <definedName name="ccccc___9">NA()</definedName>
    <definedName name="ccd">#REF!</definedName>
    <definedName name="ccdpi">#REF!</definedName>
    <definedName name="ccgb">#REF!</definedName>
    <definedName name="cclad">#REF!</definedName>
    <definedName name="ccolagl">#REF!</definedName>
    <definedName name="cCommResaleMax">'[110]Dist Controls'!#REF!</definedName>
    <definedName name="cCommSCMax">'[110]Dist Controls'!#REF!</definedName>
    <definedName name="cCommSNMax">'[110]Dist Controls'!#REF!</definedName>
    <definedName name="cCommSRMax">'[110]Dist Controls'!#REF!</definedName>
    <definedName name="cCommSSMax">'[110]Dist Controls'!#REF!</definedName>
    <definedName name="CCR" hidden="1">{#N/A,#N/A,TRUE,"Cover";#N/A,#N/A,TRUE,"Conts";#N/A,#N/A,TRUE,"VOS";#N/A,#N/A,TRUE,"Warrington";#N/A,#N/A,TRUE,"Widnes"}</definedName>
    <definedName name="CCRAFT_rate">[90]Inputs!$G$18</definedName>
    <definedName name="ccrc">#REF!,#REF!</definedName>
    <definedName name="cctva">[103]Factors!$G$37</definedName>
    <definedName name="cctvd">[103]Factors!$G$38</definedName>
    <definedName name="ccvav">[50]Factors!$G$543</definedName>
    <definedName name="CD.1">#REF!</definedName>
    <definedName name="CD.2">#REF!</definedName>
    <definedName name="CD.PVC.100">[66]Price!$D$34</definedName>
    <definedName name="CD.PVC.150">[66]Price!$D$33</definedName>
    <definedName name="CD.PVC.20">[66]Price!$D$39</definedName>
    <definedName name="CD.PVC.25">[66]Price!$D$38</definedName>
    <definedName name="CD.PVC.32">[66]Price!$D$37</definedName>
    <definedName name="CD.PVC.40">[66]Price!$D$36</definedName>
    <definedName name="CD.PVC.50">[66]Price!$D$40</definedName>
    <definedName name="CD.PVC.65">[66]Price!$D$35</definedName>
    <definedName name="cdc">[28]!cdc</definedName>
    <definedName name="cdig">#REF!</definedName>
    <definedName name="cdpi.100">[50]Factors!$AA$425</definedName>
    <definedName name="cdpi.125">[50]Factors!$AA$426</definedName>
    <definedName name="cdpi.20">[50]Factors!$AA$418</definedName>
    <definedName name="cdpi.25">[50]Factors!$AA$419</definedName>
    <definedName name="cdpi.32">[50]Factors!$AA$420</definedName>
    <definedName name="cdpi.40">[50]Factors!$AA$421</definedName>
    <definedName name="cdpi.50">[50]Factors!$AA$422</definedName>
    <definedName name="cdpi.65">[50]Factors!$AA$423</definedName>
    <definedName name="cdpi.80">[50]Factors!$AA$424</definedName>
    <definedName name="cdpi100">#REF!</definedName>
    <definedName name="cdpi125">#REF!</definedName>
    <definedName name="cdpi15">#REF!</definedName>
    <definedName name="cdpi150">#REF!</definedName>
    <definedName name="cdpi20">#REF!</definedName>
    <definedName name="cdpi25">#REF!</definedName>
    <definedName name="cdpi32">#REF!</definedName>
    <definedName name="cdpi40">#REF!</definedName>
    <definedName name="cdpi50">#REF!</definedName>
    <definedName name="cdpi65">#REF!</definedName>
    <definedName name="cdpi80">#REF!</definedName>
    <definedName name="CDRAFT_rate">[90]Inputs!$G$16</definedName>
    <definedName name="ceg">#REF!</definedName>
    <definedName name="ceil.plank">#REF!</definedName>
    <definedName name="ceil.sheet">#REF!</definedName>
    <definedName name="Ceiling_speaker">#REF!</definedName>
    <definedName name="Ceiling_Speaker_Unsupervised">#REF!</definedName>
    <definedName name="CeilingFinishes">'[76]Ra  stair'!#REF!</definedName>
    <definedName name="cel">[88]PA!$H$46</definedName>
    <definedName name="celcon100">#REF!</definedName>
    <definedName name="celcon200">#REF!</definedName>
    <definedName name="cement1">#REF!</definedName>
    <definedName name="cement2">#REF!</definedName>
    <definedName name="cementaid1">#REF!</definedName>
    <definedName name="cementaid2">#REF!</definedName>
    <definedName name="cementbag">#REF!</definedName>
    <definedName name="cementton">#REF!</definedName>
    <definedName name="CEMS_SYS">#REF!</definedName>
    <definedName name="CENG_rate">[90]Inputs!$G$15</definedName>
    <definedName name="Ceramic_FLooring">#REF!</definedName>
    <definedName name="Ceramic_pot_with_glaze_in_dark_blue__600mm___top_opening__x_400mm__h__x_300mm__base">#REF!</definedName>
    <definedName name="Ceramic_Wall_Tiles">#REF!</definedName>
    <definedName name="cerata">#REF!</definedName>
    <definedName name="cerinol">#REF!</definedName>
    <definedName name="cexbata">#REF!</definedName>
    <definedName name="CF_Statement">#REF!</definedName>
    <definedName name="CF_Worksheet">#REF!</definedName>
    <definedName name="CFA">#REF!</definedName>
    <definedName name="cfan">#REF!</definedName>
    <definedName name="cfb">#REF!</definedName>
    <definedName name="cfbeams">#REF!</definedName>
    <definedName name="cfcu">#REF!</definedName>
    <definedName name="cfid">[55]Factors!$AE$320</definedName>
    <definedName name="cfmk100">#REF!</definedName>
    <definedName name="cfmk200">#REF!</definedName>
    <definedName name="cfmk300">#REF!</definedName>
    <definedName name="cfr">#REF!</definedName>
    <definedName name="cfsalb">#REF!</definedName>
    <definedName name="cfslab">#REF!</definedName>
    <definedName name="cgc_bill">#REF!</definedName>
    <definedName name="cgfhjkgl">#REF!</definedName>
    <definedName name="cglassw">[50]Factors!$F$370</definedName>
    <definedName name="cgrat">#REF!</definedName>
    <definedName name="cgs">#REF!</definedName>
    <definedName name="CH.AHU.109">[66]Price!#REF!</definedName>
    <definedName name="CH.AHU.120">[66]Price!#REF!</definedName>
    <definedName name="CH.AHU.128">[66]Price!#REF!</definedName>
    <definedName name="CH.AHU.142">[66]Price!#REF!</definedName>
    <definedName name="CH.AHU.48">[66]Price!#REF!</definedName>
    <definedName name="CH.AHU.54">[66]Price!#REF!</definedName>
    <definedName name="CH.AHU.60">[66]Price!#REF!</definedName>
    <definedName name="CH.AHU.65">[66]Price!#REF!</definedName>
    <definedName name="CH.AHU.69">[66]Price!#REF!</definedName>
    <definedName name="CH.AHU.74">[66]Price!#REF!</definedName>
    <definedName name="CH.AHU.82">[66]Price!#REF!</definedName>
    <definedName name="CH.AHU.88">[66]Price!#REF!</definedName>
    <definedName name="CH.AHU.99">[66]Price!#REF!</definedName>
    <definedName name="CH.BI.100">[66]Price!$D$14</definedName>
    <definedName name="CH.BI.125">[66]Price!$D$13</definedName>
    <definedName name="CH.BI.150">[66]Price!$D$12</definedName>
    <definedName name="CH.BI.20">[66]Price!$D$21</definedName>
    <definedName name="CH.BI.200">[66]Price!$D$11</definedName>
    <definedName name="CH.BI.25">[66]Price!$D$20</definedName>
    <definedName name="CH.BI.250">[66]Price!$D$10</definedName>
    <definedName name="CH.BI.300">[66]Price!$D$9</definedName>
    <definedName name="CH.BI.32">[66]Price!$D$19</definedName>
    <definedName name="CH.BI.350">[66]Price!$D$8</definedName>
    <definedName name="CH.BI.40">[66]Price!$D$18</definedName>
    <definedName name="CH.BI.400">[66]Price!$D$7</definedName>
    <definedName name="CH.BI.50">[66]Price!$D$17</definedName>
    <definedName name="CH.BI.500">[66]Price!$D$6</definedName>
    <definedName name="CH.BI.600">[66]Price!$D$5</definedName>
    <definedName name="CH.BI.65">[66]Price!$D$16</definedName>
    <definedName name="CH.BI.80">[66]Price!$D$15</definedName>
    <definedName name="CH.FCU.2kw">[66]Price!$D$94</definedName>
    <definedName name="CH.FCU.2kw.4kw">[66]Price!$D$95</definedName>
    <definedName name="CH.FCU.4kw.6kw">[66]Price!$D$96</definedName>
    <definedName name="CH.FCU.6kw.8kw">[66]Price!$D$97</definedName>
    <definedName name="CH.FCU.8kw.10kw">[66]Price!$D$98</definedName>
    <definedName name="chamfer">#REF!</definedName>
    <definedName name="Change_Summary">#REF!</definedName>
    <definedName name="Charghands">'[95]1020'!$G$35</definedName>
    <definedName name="Checkbox">[127]List!$A$6:$A$54,[127]List!$A$58:$A$66,[127]List!$A$70:$A$81,[127]List!$G$6:$G$54,[127]List!$G$58:$G$66,[127]List!$G$70:$G$81</definedName>
    <definedName name="checked">#REF!</definedName>
    <definedName name="CHECKEDBY_ELBK">#REF!</definedName>
    <definedName name="CHECKEDBY_ELEQ">#REF!</definedName>
    <definedName name="CHECKEDBY_INSTR">#REF!</definedName>
    <definedName name="Checker">[127]List!$D$6:$E$54,[127]List!$D$58:$E$65,[127]List!$D$70:$E$81,[127]List!$J$6:$K$54,[127]List!$J$58:$K$66,[127]List!$J$70:$K$81</definedName>
    <definedName name="CHILL">'[128]DETAIL '!#REF!</definedName>
    <definedName name="CHINAMFGGP">#REF!</definedName>
    <definedName name="chlor">#REF!</definedName>
    <definedName name="CHNGPVC">#REF!</definedName>
    <definedName name="CHOICE">'[29]Raw Data'!$A$60</definedName>
    <definedName name="Choices_Wrapper">[28]!Choices_Wrapper</definedName>
    <definedName name="chpi">#REF!</definedName>
    <definedName name="chpi.">#REF!</definedName>
    <definedName name="CI.100.RW">#REF!</definedName>
    <definedName name="CI.150.RW">#REF!</definedName>
    <definedName name="CI.50">#REF!</definedName>
    <definedName name="CI.75">#REF!</definedName>
    <definedName name="cif">#REF!</definedName>
    <definedName name="CIFFPL1">#REF!</definedName>
    <definedName name="cifsin">[129]Factors!$C$6</definedName>
    <definedName name="cil">#REF!</definedName>
    <definedName name="CIP">#REF!</definedName>
    <definedName name="CIRCUITS">#REF!</definedName>
    <definedName name="cistern.ll">#REF!</definedName>
    <definedName name="cistern.pl">#REF!</definedName>
    <definedName name="City">#REF!</definedName>
    <definedName name="civil">#REF!</definedName>
    <definedName name="CIVIL_OLD_CITY">#REF!</definedName>
    <definedName name="CIVIL_OLD_ESC">#REF!</definedName>
    <definedName name="CIVIL_OLD_WAGE">#REF!</definedName>
    <definedName name="CIVIL10_CITY">#REF!</definedName>
    <definedName name="CIVIL10_ESC">#REF!</definedName>
    <definedName name="CIVIL10_OLD_PROD">#REF!</definedName>
    <definedName name="CIVIL10_PROD">#REF!</definedName>
    <definedName name="CIVIL10_WAGE">#REF!</definedName>
    <definedName name="civilworks">#REF!</definedName>
    <definedName name="cjoint">#REF!</definedName>
    <definedName name="ckeck1">#REF!</definedName>
    <definedName name="CKT_QTY">#REF!</definedName>
    <definedName name="CKTS">#REF!</definedName>
    <definedName name="CKTS_SWYD">#REF!</definedName>
    <definedName name="cl_10">#REF!</definedName>
    <definedName name="CL_2">#REF!</definedName>
    <definedName name="cl_9">#REF!</definedName>
    <definedName name="cla">#REF!</definedName>
    <definedName name="cla.100">[48]Factors!$Y$328</definedName>
    <definedName name="cla.125">[48]Factors!$Y$329</definedName>
    <definedName name="cla.15">[48]Factors!$Y$319</definedName>
    <definedName name="cla.150">[48]Factors!$Y$330</definedName>
    <definedName name="cla.20">[48]Factors!$Y$320</definedName>
    <definedName name="cla.200">[48]Factors!$Y$331</definedName>
    <definedName name="cla.25">[48]Factors!$Y$321</definedName>
    <definedName name="cla.250">[48]Factors!$Y$332</definedName>
    <definedName name="cla.300">[48]Factors!$Y$333</definedName>
    <definedName name="cla.32">[48]Factors!$Y$322</definedName>
    <definedName name="cla.40">[48]Factors!$Y$323</definedName>
    <definedName name="cla.50">[48]Factors!$Y$324</definedName>
    <definedName name="cla.65">[48]Factors!$Y$325</definedName>
    <definedName name="cla.80">[48]Factors!$Y$326</definedName>
    <definedName name="cla0.8">#REF!</definedName>
    <definedName name="clad0.4">#REF!</definedName>
    <definedName name="clamp.5">#REF!</definedName>
    <definedName name="clamp.5_10">"$#REF!.$D$34"</definedName>
    <definedName name="clamp.5_4">#REF!</definedName>
    <definedName name="clamp.5_5">#REF!</definedName>
    <definedName name="clamp.5_9">"$#REF!.$D$34"</definedName>
    <definedName name="clamp.75">#REF!</definedName>
    <definedName name="clamp.75_10">"$#REF!.$D$33"</definedName>
    <definedName name="clamp.75_4">#REF!</definedName>
    <definedName name="clamp.75_5">#REF!</definedName>
    <definedName name="clamp.75_9">"$#REF!.$D$33"</definedName>
    <definedName name="clamp1">#REF!</definedName>
    <definedName name="clamp1.5">#REF!</definedName>
    <definedName name="clamp1.5_10">"$#REF!.$D$31"</definedName>
    <definedName name="clamp1.5_4">#REF!</definedName>
    <definedName name="clamp1.5_5">#REF!</definedName>
    <definedName name="clamp1.5_9">"$#REF!.$D$31"</definedName>
    <definedName name="clamp1_10">"$#REF!.$D$32"</definedName>
    <definedName name="clamp1_4">#REF!</definedName>
    <definedName name="clamp1_5">#REF!</definedName>
    <definedName name="clamp1_9">"$#REF!.$D$32"</definedName>
    <definedName name="clamp2">#REF!</definedName>
    <definedName name="clamp2.5">#REF!</definedName>
    <definedName name="clamp2.5_10">"$#REF!.$D$29"</definedName>
    <definedName name="clamp2.5_4">#REF!</definedName>
    <definedName name="clamp2.5_5">#REF!</definedName>
    <definedName name="clamp2.5_9">"$#REF!.$D$29"</definedName>
    <definedName name="clamp2_10">"$#REF!.$D$30"</definedName>
    <definedName name="clamp2_4">#REF!</definedName>
    <definedName name="clamp2_5">#REF!</definedName>
    <definedName name="clamp2_9">"$#REF!.$D$30"</definedName>
    <definedName name="clamp3">#REF!</definedName>
    <definedName name="clamp3_10">"$#REF!.$D$28"</definedName>
    <definedName name="clamp3_4">#REF!</definedName>
    <definedName name="clamp3_5">#REF!</definedName>
    <definedName name="clamp3_9">"$#REF!.$D$28"</definedName>
    <definedName name="clamp6">#REF!</definedName>
    <definedName name="clamp6_10">"$#REF!.$D$26"</definedName>
    <definedName name="clamp6_4">#REF!</definedName>
    <definedName name="clamp6_5">#REF!</definedName>
    <definedName name="clamp6_9">"$#REF!.$D$26"</definedName>
    <definedName name="CLASSE2">#REF!</definedName>
    <definedName name="Clawback_Payable">'[29]Raw Data'!#REF!</definedName>
    <definedName name="clbg">#REF!</definedName>
    <definedName name="clear">[111]HyperionEnt!$F$229:$Q$229</definedName>
    <definedName name="clearing">#REF!</definedName>
    <definedName name="Client">'[34]#REF'!$E$11</definedName>
    <definedName name="clintels">#REF!</definedName>
    <definedName name="clng_aex">'[99]AEX_IMPORTS_on 320'!#REF!</definedName>
    <definedName name="ClosWeek_GandA">#REF!</definedName>
    <definedName name="ClosWeek_T0118">#REF!</definedName>
    <definedName name="ClosWeek_TCORXS">#REF!</definedName>
    <definedName name="ClosWeek_TOTDOM">#REF!</definedName>
    <definedName name="ClosWeek_TOTDOMXS">#REF!</definedName>
    <definedName name="ClosWeek_TSSOF">#REF!</definedName>
    <definedName name="cloth">#REF!</definedName>
    <definedName name="clubhouse">#REF!</definedName>
    <definedName name="CLVC3">0.1</definedName>
    <definedName name="cmav">#REF!</definedName>
    <definedName name="cmcv">#REF!</definedName>
    <definedName name="cmv">#REF!</definedName>
    <definedName name="CNT_NO">#REF!</definedName>
    <definedName name="CNTL_VALVE">#REF!</definedName>
    <definedName name="CNTL_VALVE_PRICE">#REF!</definedName>
    <definedName name="co">#REF!</definedName>
    <definedName name="CO_TRY">#REF!</definedName>
    <definedName name="co2extinguisher">#REF!</definedName>
    <definedName name="coa">#REF!</definedName>
    <definedName name="COAD">'[130]Civil Works'!$K$7</definedName>
    <definedName name="cob">#REF!</definedName>
    <definedName name="cobl">#REF!</definedName>
    <definedName name="cock12">#REF!</definedName>
    <definedName name="cock20">#REF!</definedName>
    <definedName name="cock25">#REF!</definedName>
    <definedName name="cock37">#REF!</definedName>
    <definedName name="CODE_AFGIS">#REF!</definedName>
    <definedName name="CODE_B">#REF!</definedName>
    <definedName name="CODE_E">#REF!</definedName>
    <definedName name="CODE_F">#REF!</definedName>
    <definedName name="CODE_MPA">#REF!</definedName>
    <definedName name="CODE_P">#REF!</definedName>
    <definedName name="code_q">#REF!</definedName>
    <definedName name="CODE_S">#REF!</definedName>
    <definedName name="cofcv">#REF!</definedName>
    <definedName name="COL">#REF!</definedName>
    <definedName name="cola">#REF!</definedName>
    <definedName name="colb">#REF!</definedName>
    <definedName name="Colbgl">#REF!</definedName>
    <definedName name="colbgl2">#REF!</definedName>
    <definedName name="colg">#REF!</definedName>
    <definedName name="colguard">#REF!</definedName>
    <definedName name="Coll_cost">#REF!</definedName>
    <definedName name="coll_cost2">#REF!</definedName>
    <definedName name="Coloured_premix">#REF!</definedName>
    <definedName name="Column_Mark">#REF!</definedName>
    <definedName name="column_shuttering">#REF!</definedName>
    <definedName name="COM">'[76]Ra  stair'!#REF!</definedName>
    <definedName name="combat1">#REF!</definedName>
    <definedName name="combat2">#REF!</definedName>
    <definedName name="combat3">#REF!</definedName>
    <definedName name="combat4">#REF!</definedName>
    <definedName name="combat5">#REF!</definedName>
    <definedName name="combat6">#REF!</definedName>
    <definedName name="COMM_UOM">'[29]Raw Data'!$F$12:$F$16,'[29]Raw Data'!$F$19:$F$30,'[29]Raw Data'!$F$33:$F$36,'[29]Raw Data'!$F$39:$F$40,'[29]Raw Data'!$F$42:$F$48,'[29]Raw Data'!$F$51:$F$55,'[29]Raw Data'!$F$66</definedName>
    <definedName name="CommADSCGrowth">#REF!</definedName>
    <definedName name="CommANSC">#REF!</definedName>
    <definedName name="COMMCODE">'[29]Raw Data'!$A$12:$A$16,'[29]Raw Data'!$A$19:$A$30,'[29]Raw Data'!$A$33:$A$36,'[29]Raw Data'!$A$39:$A$40,'[29]Raw Data'!$A$42:$A$48,'[29]Raw Data'!$A$51:$A$55,'[29]Raw Data'!$A$57</definedName>
    <definedName name="CommCommissions">#REF!</definedName>
    <definedName name="CommDisco">#REF!</definedName>
    <definedName name="Comment">[120]Input!$B$13</definedName>
    <definedName name="CommEscRate">#REF!</definedName>
    <definedName name="CommOHOther">#REF!</definedName>
    <definedName name="Common">'[95]1020'!$G$34</definedName>
    <definedName name="CommOSGrowth">#REF!</definedName>
    <definedName name="CommOSMgn">#REF!</definedName>
    <definedName name="CommResale">#REF!</definedName>
    <definedName name="COMMUNICATIONS">#REF!</definedName>
    <definedName name="CompADSC">#REF!</definedName>
    <definedName name="companymason">[132]RATE!$B$7:$G$58</definedName>
    <definedName name="CompanyName2" hidden="1">#REF!</definedName>
    <definedName name="CompCFlow">#REF!</definedName>
    <definedName name="CompCommAcq">#REF!</definedName>
    <definedName name="CompMP">#REF!</definedName>
    <definedName name="COMPPER">#REF!</definedName>
    <definedName name="CompPL">#REF!</definedName>
    <definedName name="CompRange1Main" hidden="1">#REF!</definedName>
    <definedName name="CompRange2Main" hidden="1">#REF!</definedName>
    <definedName name="CompResiAcq">#REF!</definedName>
    <definedName name="COMPRESS">'[75]DETAIL '!#REF!</definedName>
    <definedName name="CompRIF">#REF!</definedName>
    <definedName name="CompScenario">[133]Input!$B$17</definedName>
    <definedName name="CompSP">#REF!</definedName>
    <definedName name="CompTitles">#REF!</definedName>
    <definedName name="COMPYR">#REF!</definedName>
    <definedName name="con12.55">[31]Analysis!$E$1413</definedName>
    <definedName name="cona">#REF!</definedName>
    <definedName name="Conc_1">#REF!</definedName>
    <definedName name="Conc_10">#REF!</definedName>
    <definedName name="Conc_100">#REF!</definedName>
    <definedName name="Conc_20">#REF!</definedName>
    <definedName name="Conc_24">#REF!</definedName>
    <definedName name="Conc_30">#REF!</definedName>
    <definedName name="Conc_40">#REF!</definedName>
    <definedName name="Conc_50">#REF!</definedName>
    <definedName name="Conc_60">#REF!</definedName>
    <definedName name="Conc_70">#REF!</definedName>
    <definedName name="Conc_80">#REF!</definedName>
    <definedName name="Conc_90">#REF!</definedName>
    <definedName name="conc_G35">'[71]Build Up rate'!$D$5</definedName>
    <definedName name="conc15">#REF!</definedName>
    <definedName name="conc20">#REF!</definedName>
    <definedName name="conc20p">#REF!</definedName>
    <definedName name="conc25">#REF!</definedName>
    <definedName name="conc25p">#REF!</definedName>
    <definedName name="conc30">#REF!</definedName>
    <definedName name="conc30p">#REF!</definedName>
    <definedName name="conc35p">#REF!</definedName>
    <definedName name="conc40">#REF!</definedName>
    <definedName name="conc40p">#REF!</definedName>
    <definedName name="conc45">#REF!</definedName>
    <definedName name="conc45p">#REF!</definedName>
    <definedName name="conc50">#REF!</definedName>
    <definedName name="conc50p">#REF!</definedName>
    <definedName name="conc55">#REF!</definedName>
    <definedName name="conc60">#REF!</definedName>
    <definedName name="Concen">#REF!</definedName>
    <definedName name="concG35">#REF!</definedName>
    <definedName name="concG40">#REF!</definedName>
    <definedName name="concG50">'[134]SCH2'!$M$1</definedName>
    <definedName name="CONCRETE" hidden="1">#REF!</definedName>
    <definedName name="cond">[135]Factors!$H$21</definedName>
    <definedName name="COND_PRICING">#REF!</definedName>
    <definedName name="condition">#N/A</definedName>
    <definedName name="Condt">'[87]Take-Off'!$D$47</definedName>
    <definedName name="CONDUIT">#REF!</definedName>
    <definedName name="Conduits">#REF!</definedName>
    <definedName name="condute">#REF!</definedName>
    <definedName name="conf">#REF!</definedName>
    <definedName name="CONFAB___LUDLOW">#REF!</definedName>
    <definedName name="Congi">#REF!</definedName>
    <definedName name="ConL">#REF!</definedName>
    <definedName name="ConM">#REF!</definedName>
    <definedName name="connect_cost">#REF!</definedName>
    <definedName name="connect_fee">#REF!</definedName>
    <definedName name="CONNF">[52]Control!$E$5</definedName>
    <definedName name="CONS">'[29]Raw Data'!#REF!</definedName>
    <definedName name="Cons_Hrs">#REF!</definedName>
    <definedName name="Cons_Rev">#REF!</definedName>
    <definedName name="CONST_BASIS">#REF!</definedName>
    <definedName name="ConstnPeriod">#REF!</definedName>
    <definedName name="ConsultantOffice">#REF!</definedName>
    <definedName name="cont">'[136]cov-estimate'!$B$1:$H$46</definedName>
    <definedName name="Contact">#REF!</definedName>
    <definedName name="ContactList">#REF!</definedName>
    <definedName name="CONTINGENCY">'[29]Raw Data'!$D$18</definedName>
    <definedName name="Contract_Sum">#REF!</definedName>
    <definedName name="Contract_sum1">#REF!</definedName>
    <definedName name="Contract_sum2">#REF!</definedName>
    <definedName name="ContractorName">#REF!</definedName>
    <definedName name="Contribution_OP">'[29]Raw Data'!$H$30</definedName>
    <definedName name="Contributions">#REF!</definedName>
    <definedName name="Controller">#REF!</definedName>
    <definedName name="Conv">#REF!</definedName>
    <definedName name="CONV_FACILITY_CONT">#REF!</definedName>
    <definedName name="conversion">[137]inWords!$A$2:$W$6</definedName>
    <definedName name="ConversionYear">#REF!</definedName>
    <definedName name="ConvOHOther">#REF!</definedName>
    <definedName name="COO">[138]Sheet2!$J$1:$J$243</definedName>
    <definedName name="CoolingCapacity">'[139]Room Type'!$O$3</definedName>
    <definedName name="COP">'[139]Room Type'!$O$2</definedName>
    <definedName name="coping">#REF!</definedName>
    <definedName name="COPP">#REF!</definedName>
    <definedName name="copp.5">#REF!</definedName>
    <definedName name="copp.5_10">"$#REF!.$F$34"</definedName>
    <definedName name="copp.5_4">#REF!</definedName>
    <definedName name="copp.5_5">#REF!</definedName>
    <definedName name="copp.5_9">"$#REF!.$F$34"</definedName>
    <definedName name="copp.75">#REF!</definedName>
    <definedName name="copp.75_10">"$#REF!.$F$33"</definedName>
    <definedName name="copp.75_4">#REF!</definedName>
    <definedName name="copp.75_5">#REF!</definedName>
    <definedName name="copp.75_9">"$#REF!.$F$33"</definedName>
    <definedName name="copp1">#REF!</definedName>
    <definedName name="copp1.5">#REF!</definedName>
    <definedName name="copp1.5_10">"$#REF!.$F$31"</definedName>
    <definedName name="copp1.5_4">#REF!</definedName>
    <definedName name="copp1.5_5">#REF!</definedName>
    <definedName name="copp1.5_9">"$#REF!.$F$31"</definedName>
    <definedName name="copp1_10">"$#REF!.$F$32"</definedName>
    <definedName name="copp1_4">#REF!</definedName>
    <definedName name="copp1_5">#REF!</definedName>
    <definedName name="copp1_9">"$#REF!.$F$32"</definedName>
    <definedName name="copp2">#REF!</definedName>
    <definedName name="copp2.5">#REF!</definedName>
    <definedName name="copp2.5_10">"$#REF!.$F$29"</definedName>
    <definedName name="copp2.5_4">#REF!</definedName>
    <definedName name="copp2.5_5">#REF!</definedName>
    <definedName name="copp2.5_9">"$#REF!.$F$29"</definedName>
    <definedName name="copp2_10">"$#REF!.$F$30"</definedName>
    <definedName name="copp2_4">#REF!</definedName>
    <definedName name="copp2_5">#REF!</definedName>
    <definedName name="copp2_9">"$#REF!.$F$30"</definedName>
    <definedName name="copp3">#REF!</definedName>
    <definedName name="copp3_10">"$#REF!.$F$28"</definedName>
    <definedName name="copp3_4">#REF!</definedName>
    <definedName name="copp3_5">#REF!</definedName>
    <definedName name="copp3_9">"$#REF!.$F$28"</definedName>
    <definedName name="copp4">#REF!</definedName>
    <definedName name="copp4_10">"$#REF!.$F$27"</definedName>
    <definedName name="copp4_4">#REF!</definedName>
    <definedName name="copp4_5">#REF!</definedName>
    <definedName name="copp4_9">"$#REF!.$F$27"</definedName>
    <definedName name="copp6">#REF!</definedName>
    <definedName name="copp6_10">"$#REF!.$F$26"</definedName>
    <definedName name="copp6_4">#REF!</definedName>
    <definedName name="copp6_5">#REF!</definedName>
    <definedName name="copp6_9">"$#REF!.$F$26"</definedName>
    <definedName name="COPPER_PRICE">#REF!</definedName>
    <definedName name="copy">[111]HyperionEnt!$F$227:$Q$227</definedName>
    <definedName name="CoreOSGrowth">#REF!</definedName>
    <definedName name="coriantop">#REF!</definedName>
    <definedName name="CorpExecutive">#REF!</definedName>
    <definedName name="CORPORATE_PARK">#REF!</definedName>
    <definedName name="CORPORATEGOVERNANCE">#REF!</definedName>
    <definedName name="cost">'[140]NEW PRODUCT SALES FORCE'!$C$22</definedName>
    <definedName name="COST_C">'[29]Raw Data'!$A$274:$N$289</definedName>
    <definedName name="Cost_Differential">'[29]Raw Data'!$I$29:$K$35</definedName>
    <definedName name="cost_lab___0">#REF!</definedName>
    <definedName name="cost_mat___0">#REF!</definedName>
    <definedName name="Cost_of_Equity">#REF!</definedName>
    <definedName name="Cost_Temp.Equip">#REF!</definedName>
    <definedName name="Cost10">#REF!</definedName>
    <definedName name="Cost5">'[97]5'!$A:$V</definedName>
    <definedName name="costcentre13">'[97]13'!$A:$U</definedName>
    <definedName name="COSTCOMP10">#REF!</definedName>
    <definedName name="COSTCOMP11">#REF!</definedName>
    <definedName name="costing">#REF!</definedName>
    <definedName name="costing1">#REF!</definedName>
    <definedName name="CostPlanArea">#REF!</definedName>
    <definedName name="COSTS_A">'[29]Raw Data'!$A$5:$N$272</definedName>
    <definedName name="costsheet">[141]BOM!#REF!</definedName>
    <definedName name="COSTT" hidden="1">#REF!</definedName>
    <definedName name="COUNT_RANGE">#N/A</definedName>
    <definedName name="COUNTER">'[29]Raw Data'!#REF!</definedName>
    <definedName name="Country">[142]Sheet1!$B$2:$B$22</definedName>
    <definedName name="Country_tax">#REF!</definedName>
    <definedName name="CountryOfOrigin">[102]Sheet2!$P$1:$P$247</definedName>
    <definedName name="COVER_TO_EXISTING_PEDESTRIAN_OVERHEAD_BRIDGE">#REF!</definedName>
    <definedName name="COWC">'[29]Raw Data'!$D$21</definedName>
    <definedName name="cp.125">#REF!</definedName>
    <definedName name="cp.150">#REF!</definedName>
    <definedName name="cp.200">#REF!</definedName>
    <definedName name="cp54.1">#REF!</definedName>
    <definedName name="cpac">[50]Factors!$G$437</definedName>
    <definedName name="cpcode">#REF!</definedName>
    <definedName name="cpe">#REF!</definedName>
    <definedName name="Cpepn10">#REF!</definedName>
    <definedName name="cpepn16">#REF!</definedName>
    <definedName name="cpersh">[50]Factors!$F$376</definedName>
    <definedName name="cpi.160">#REF!</definedName>
    <definedName name="cpi.200">#REF!</definedName>
    <definedName name="cpi.250">#REF!</definedName>
    <definedName name="cpi.315">#REF!</definedName>
    <definedName name="cpi.355">#REF!</definedName>
    <definedName name="CPL">#REF!</definedName>
    <definedName name="CPLG">#REF!</definedName>
    <definedName name="cplhsmt">[143]!cplhsmt</definedName>
    <definedName name="cppr10">#REF!</definedName>
    <definedName name="cppr16">[49]Factors!$F$193</definedName>
    <definedName name="cppr20">#REF!</definedName>
    <definedName name="cpprsw">#REF!</definedName>
    <definedName name="cptdhsmt">[143]!cptdhsmt</definedName>
    <definedName name="cptdtdt">[143]!cptdtdt</definedName>
    <definedName name="cptdtkkt">[143]!cptdtkkt</definedName>
    <definedName name="CPVC.15">#REF!</definedName>
    <definedName name="CPVC.20">#REF!</definedName>
    <definedName name="CPVC.25">#REF!</definedName>
    <definedName name="CPVC.32">#REF!</definedName>
    <definedName name="CPVC.40">#REF!</definedName>
    <definedName name="CPVC.50">#REF!</definedName>
    <definedName name="CPVC.63">#REF!</definedName>
    <definedName name="CPVC.75">#REF!</definedName>
    <definedName name="cpvc10110">"$#REF!.$#REF!$#REF!"</definedName>
    <definedName name="Cpvc1020">"$#REF!.$#REF!$#REF!"</definedName>
    <definedName name="cpvc1025">"$#REF!.$#REF!$#REF!"</definedName>
    <definedName name="cpvc1032">"$#REF!.$#REF!$#REF!"</definedName>
    <definedName name="cpvc1040">"$#REF!.$#REF!$#REF!"</definedName>
    <definedName name="cpvc1050">"$#REF!.$#REF!$#REF!"</definedName>
    <definedName name="cpvc1063">"$#REF!.$#REF!$#REF!"</definedName>
    <definedName name="cpvc1075">"$#REF!.$#REF!$#REF!"</definedName>
    <definedName name="cpvc1090">"$#REF!.$#REF!$#REF!"</definedName>
    <definedName name="cpvc6110">"$#REF!.$#REF!$#REF!"</definedName>
    <definedName name="cpvc6160">"$#REF!.$#REF!$#REF!"</definedName>
    <definedName name="cpvc6200">"$#REF!.$#REF!$#REF!"</definedName>
    <definedName name="cpvc6250">"$#REF!.$#REF!$#REF!"</definedName>
    <definedName name="cpvc650">"$#REF!.$#REF!$#REF!"</definedName>
    <definedName name="cpvc675">"$#REF!.$#REF!$#REF!"</definedName>
    <definedName name="cpxx">#REF!</definedName>
    <definedName name="CQ_by_Entity">'[144]CQ by Entity'!$G$17</definedName>
    <definedName name="cra">#REF!</definedName>
    <definedName name="crag">[55]Factors!$V$382</definedName>
    <definedName name="CREEPER">#N/A</definedName>
    <definedName name="CRHUZOKU">#REF!</definedName>
    <definedName name="CRIT_VALVE">#REF!</definedName>
    <definedName name="Criteria_MI">#REF!</definedName>
    <definedName name="criteria1">#REF!</definedName>
    <definedName name="cross">"û"</definedName>
    <definedName name="CRSIJI">#REF!</definedName>
    <definedName name="CRUDE_esc">#REF!</definedName>
    <definedName name="CRUDE_escalation">[90]Inputs!$D$22</definedName>
    <definedName name="CRUDE_escalation_KA">[90]Inputs!$D$23</definedName>
    <definedName name="crvd">[55]Factors!$F$460</definedName>
    <definedName name="cs">[145]Factors!$G$9</definedName>
    <definedName name="csa">#REF!</definedName>
    <definedName name="csfmk">#REF!</definedName>
    <definedName name="csinsu">#REF!</definedName>
    <definedName name="cslr">#REF!</definedName>
    <definedName name="CSODJWO" hidden="1">{#N/A,#N/A,TRUE,"SUM";#N/A,#N/A,TRUE,"EE";#N/A,#N/A,TRUE,"AC";#N/A,#N/A,TRUE,"SN"}</definedName>
    <definedName name="cspd">[55]Factors!$V$355</definedName>
    <definedName name="cspi">#REF!</definedName>
    <definedName name="css">#REF!</definedName>
    <definedName name="CSscreed20">#REF!</definedName>
    <definedName name="csscreed50">#REF!</definedName>
    <definedName name="CSscreedskirting">#REF!</definedName>
    <definedName name="CSscreedwithepoxy20mm">#REF!</definedName>
    <definedName name="CSscreedwithhardeneranddustproof">#REF!</definedName>
    <definedName name="CSscreedwithpowerfloat">#REF!</definedName>
    <definedName name="CSscreedwithpowerfloat20mm">#REF!</definedName>
    <definedName name="CSscreedwithpowerfloatandepoxy">#REF!</definedName>
    <definedName name="csshade">#REF!</definedName>
    <definedName name="CSskimcoat3mm">'[71]Build Up rate'!$D$48</definedName>
    <definedName name="CSskimcoat6mm">#REF!</definedName>
    <definedName name="CSSwithepoxy">'[71]Build Up rate'!$D$35</definedName>
    <definedName name="CSSwithpowerfloat">'[71]Build Up rate'!$D$34</definedName>
    <definedName name="csv">#REF!</definedName>
    <definedName name="CSwithBRC">#REF!</definedName>
    <definedName name="CTA">[66]Price!$D$110</definedName>
    <definedName name="CTCT1" hidden="1">{"'Sheet1'!$L$16"}</definedName>
    <definedName name="CTECH_rate">[90]Inputs!$G$17</definedName>
    <definedName name="ctmsv">#REF!</definedName>
    <definedName name="ctp">#REF!</definedName>
    <definedName name="CU_ADJ">#REF!</definedName>
    <definedName name="CU_ADJ_MV">#REF!</definedName>
    <definedName name="cube">#REF!</definedName>
    <definedName name="cube_10">"$#REF!.$I$3"</definedName>
    <definedName name="cube_4">#REF!</definedName>
    <definedName name="cube_5">#REF!</definedName>
    <definedName name="cube_9">"$#REF!.$I$3"</definedName>
    <definedName name="cuf">#REF!</definedName>
    <definedName name="Culvert_Table">#REF!</definedName>
    <definedName name="CULVERT901">'[46]BUR3-DrnRC'!$K$510</definedName>
    <definedName name="Cum_Int">#REF!</definedName>
    <definedName name="cung" hidden="1">{"'Sheet1'!$L$16"}</definedName>
    <definedName name="CURB_AND_GUTTER">#REF!</definedName>
    <definedName name="Curb_and_Gutter_Data">#REF!</definedName>
    <definedName name="Curb_Data">#REF!</definedName>
    <definedName name="CURBS">#REF!</definedName>
    <definedName name="CurFcst2">[112]Admin!$E$3</definedName>
    <definedName name="CURR45">'[29]Raw Data'!$K$11:$Q$27</definedName>
    <definedName name="CurrCode">'[146]Exchange Rates(rounded)'!#REF!</definedName>
    <definedName name="Currency">#REF!</definedName>
    <definedName name="current">#REF!</definedName>
    <definedName name="Current_Balance_FY2002_Qry">#REF!</definedName>
    <definedName name="Current_Valuation_No">#REF!</definedName>
    <definedName name="CurrentDate">[147]Database!$D$3</definedName>
    <definedName name="currmonth">[140]Legend!$B$5</definedName>
    <definedName name="CURRPER">#REF!</definedName>
    <definedName name="currquarter">[144]Legend!#REF!</definedName>
    <definedName name="CURRYR">#REF!</definedName>
    <definedName name="curt">[28]!curt</definedName>
    <definedName name="CurVals">#REF!</definedName>
    <definedName name="CurVar">#REF!</definedName>
    <definedName name="CustomDuty">#REF!</definedName>
    <definedName name="Customer_deposits_growth_fore">#REF!</definedName>
    <definedName name="cutopg">#REF!</definedName>
    <definedName name="cuttile">#REF!</definedName>
    <definedName name="CV.300">#REF!</definedName>
    <definedName name="cv_100">"$#REF!.$#REF!$#REF!"</definedName>
    <definedName name="cv_150">"$#REF!.$#REF!$#REF!"</definedName>
    <definedName name="cv_200">"$#REF!.$#REF!$#REF!"</definedName>
    <definedName name="cv_25">"$#REF!.$#REF!$#REF!"</definedName>
    <definedName name="cv_250">"$#REF!.$#REF!$#REF!"</definedName>
    <definedName name="cv_300">"$#REF!.$#REF!$#REF!"</definedName>
    <definedName name="cv_32">"$#REF!.$#REF!$#REF!"</definedName>
    <definedName name="cv_40">"$#REF!.$#REF!$#REF!"</definedName>
    <definedName name="cv_50">"$#REF!.$#REF!$#REF!"</definedName>
    <definedName name="cv_65">"$#REF!.$#REF!$#REF!"</definedName>
    <definedName name="cv_80">"$#REF!.$#REF!$#REF!"</definedName>
    <definedName name="cvc800x550">[55]Factors!$AI$330</definedName>
    <definedName name="cvdsafad" hidden="1">[23]FitOutConfCentre!#REF!</definedName>
    <definedName name="cviso">#REF!</definedName>
    <definedName name="CVL_FAC">#REF!</definedName>
    <definedName name="cvsdh" hidden="1">{#VALUE!,#N/A,FALSE,0;#N/A,#N/A,FALSE,0;#N/A,#N/A,FALSE,0;#N/A,#N/A,FALSE,0;#N/A,#N/A,FALSE,0;#N/A,#N/A,FALSE,0;#N/A,#N/A,FALSE,0;#N/A,#N/A,FALSE,0;#N/A,#N/A,FALSE,0;#N/A,#N/A,FALSE,0}</definedName>
    <definedName name="CVV">#REF!</definedName>
    <definedName name="CW.1">[148]rate!$H$7</definedName>
    <definedName name="CW.2">[148]rate!$H$8</definedName>
    <definedName name="cwaervgtbhynjoiuyhjtgvcf">#REF!</definedName>
    <definedName name="cWfan">#REF!</definedName>
    <definedName name="cwmf">[49]Factors!$O$29</definedName>
    <definedName name="CWPT1">[148]rate!$H$5</definedName>
    <definedName name="CWPT3">[148]rate!$H$6</definedName>
    <definedName name="cxvcvc">[28]!cxvcvc</definedName>
    <definedName name="CXZ">[28]!CXZ</definedName>
    <definedName name="CY">#REF!</definedName>
    <definedName name="CY_1999">'[29]Raw Data'!#REF!</definedName>
    <definedName name="CY_2">[112]Admin!$B$3</definedName>
    <definedName name="CY_2000">'[29]Raw Data'!#REF!</definedName>
    <definedName name="CY_2001">'[29]Raw Data'!#REF!</definedName>
    <definedName name="CY_2002">'[29]Raw Data'!#REF!</definedName>
    <definedName name="czfgbhnd">#REF!</definedName>
    <definedName name="czvbxjnkm">#REF!</definedName>
    <definedName name="czxz" hidden="1">{#N/A,#N/A,FALSE,"Sub2.1";#N/A,#N/A,FALSE,"Conc2.2";#N/A,#N/A,FALSE,"Block2.3";#N/A,#N/A,FALSE,"Roof2.4";#N/A,#N/A,FALSE,"wood2.5";#N/A,#N/A,FALSE,"Door2.6";#N/A,#N/A,FALSE,"Finish2.7";#N/A,#N/A,FALSE,"Service2.8";#N/A,#N/A,FALSE,"Summary2"}</definedName>
    <definedName name="d.eight">[91]ANALISYS!$E$1613</definedName>
    <definedName name="d.elbow">#REF!</definedName>
    <definedName name="d.eleven">[91]ANALISYS!$E$1666</definedName>
    <definedName name="d.fifteen">[91]ANALISYS!$E$1712</definedName>
    <definedName name="d.five">[91]ANALISYS!$E$1561</definedName>
    <definedName name="d.four">[91]ANALISYS!$E$1547</definedName>
    <definedName name="d.fourteen">[91]ANALISYS!$E$1701</definedName>
    <definedName name="d.joiner">#REF!</definedName>
    <definedName name="d.nine">[91]ANALISYS!$E$1631</definedName>
    <definedName name="d.nineteen">[91]ANALISYS!$E$1780</definedName>
    <definedName name="d.one">[91]ANALISYS!$E$1495</definedName>
    <definedName name="d.pipe">#REF!</definedName>
    <definedName name="d.rings">#REF!</definedName>
    <definedName name="d.seven">[91]ANALISYS!$E$1597</definedName>
    <definedName name="d.shoe">#REF!</definedName>
    <definedName name="d.six">[91]ANALISYS!$E$1579</definedName>
    <definedName name="d.ten">[91]ANALISYS!$E$1649</definedName>
    <definedName name="d.thirteen">[91]ANALISYS!$E$1690</definedName>
    <definedName name="d.thirty">[91]ANALISYS!$E$1986</definedName>
    <definedName name="d.thirtyone">[91]ANALISYS!$E$2004</definedName>
    <definedName name="d.thirtythree">[91]ANALISYS!$E$2040</definedName>
    <definedName name="d.thirtytwo">[91]ANALISYS!$E$2022</definedName>
    <definedName name="d.three">[91]ANALISYS!$E$1529</definedName>
    <definedName name="d.twelve">[91]ANALISYS!$E$1678</definedName>
    <definedName name="d.twenty">[91]ANALISYS!$E$1798</definedName>
    <definedName name="d.twentyeight">[91]ANALISYS!$E$1951</definedName>
    <definedName name="d.twentyfive">[91]ANALISYS!$E$1892</definedName>
    <definedName name="d.twentyfour">[91]ANALISYS!$E$1872</definedName>
    <definedName name="d.twentynine">[91]ANALISYS!$E$1968</definedName>
    <definedName name="d.twentyone">[91]ANALISYS!$E$1817</definedName>
    <definedName name="d.twentyseven">[91]ANALISYS!$E$1932</definedName>
    <definedName name="d.twentysix">[91]ANALISYS!$E$1913</definedName>
    <definedName name="d.twentythree">[91]ANALISYS!$E$1853</definedName>
    <definedName name="d.twentytwo">[91]ANALISYS!$E$1834</definedName>
    <definedName name="d.two">[91]ANALISYS!$E$1512</definedName>
    <definedName name="D_Financial_Charges">#REF!</definedName>
    <definedName name="D_SwSO_3">#REF!</definedName>
    <definedName name="d_w">#REF!</definedName>
    <definedName name="d100m">#REF!</definedName>
    <definedName name="d150m">#REF!</definedName>
    <definedName name="d25m">#REF!</definedName>
    <definedName name="D2DATA">#REF!</definedName>
    <definedName name="d32m">#REF!</definedName>
    <definedName name="d40m">#REF!</definedName>
    <definedName name="d50m">#REF!</definedName>
    <definedName name="d65m">#REF!</definedName>
    <definedName name="d80m">#REF!</definedName>
    <definedName name="DAA">[28]!DAA</definedName>
    <definedName name="daav">#REF!</definedName>
    <definedName name="dafv">#REF!</definedName>
    <definedName name="dagv">#REF!</definedName>
    <definedName name="dahu">#REF!</definedName>
    <definedName name="DAN_TO">[150]Data!$AH$160:$BA$261</definedName>
    <definedName name="Dangerous">#REF!</definedName>
    <definedName name="DASAS">[28]!DASAS</definedName>
    <definedName name="Dashboard">#REF!</definedName>
    <definedName name="DATA_01" hidden="1">'[151]DDB Depr (Mths)'!#REF!</definedName>
    <definedName name="DATA_02" hidden="1">'[151]DDB Depr (Mths)'!#REF!</definedName>
    <definedName name="DATA_03" hidden="1">'[151]DDB Depr (Mths)'!#REF!</definedName>
    <definedName name="DATA_04" hidden="1">'[151]DDB Depr (Mths)'!#REF!</definedName>
    <definedName name="DATA_05" hidden="1">'[151]DDB Depr (Mths)'!#REF!</definedName>
    <definedName name="DATA_06" hidden="1">'[151]DDB Depr (Mths)'!#REF!</definedName>
    <definedName name="DATA_07" hidden="1">'[151]DDB Depr (Mths)'!#REF!</definedName>
    <definedName name="DATA_08" hidden="1">'[151]DDB Depr (Mths)'!#REF!</definedName>
    <definedName name="DATA_1">#REF!</definedName>
    <definedName name="DATA_10">#REF!</definedName>
    <definedName name="DATA_11">#REF!</definedName>
    <definedName name="DATA_12">#REF!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#REF!</definedName>
    <definedName name="DATA_20">#REF!</definedName>
    <definedName name="DATA_21">#REF!</definedName>
    <definedName name="DATA_22">#REF!</definedName>
    <definedName name="DATA_23">#REF!</definedName>
    <definedName name="DATA_24">#REF!</definedName>
    <definedName name="DATA_25">#REF!</definedName>
    <definedName name="DATA_3">#REF!</definedName>
    <definedName name="DATA_4">#REF!</definedName>
    <definedName name="DATA_5">#REF!</definedName>
    <definedName name="DATA_6">#REF!</definedName>
    <definedName name="DATA_7">#REF!</definedName>
    <definedName name="DATA_8">#REF!</definedName>
    <definedName name="DATA_9">#REF!</definedName>
    <definedName name="DATA_DATA2_List">#REF!</definedName>
    <definedName name="Data04">#REF!</definedName>
    <definedName name="Data05">#REF!</definedName>
    <definedName name="data1" hidden="1">#REF!</definedName>
    <definedName name="data10">#REF!</definedName>
    <definedName name="data2" hidden="1">#REF!</definedName>
    <definedName name="data3" hidden="1">#REF!</definedName>
    <definedName name="data4">#REF!</definedName>
    <definedName name="data84">'[152]Purchase Order'!$E$40</definedName>
    <definedName name="dataa">[103]Factors!$G$28</definedName>
    <definedName name="DataArea">'[29]Raw Data'!$A$5:$CD$149</definedName>
    <definedName name="Database_MI">#REF!</definedName>
    <definedName name="Database1">#REF!</definedName>
    <definedName name="Database2">#REF!</definedName>
    <definedName name="DATACHECKED_ELBK">#REF!</definedName>
    <definedName name="DATACHECKED_ELEQ">#REF!</definedName>
    <definedName name="DATACHECKED_INSTR">#REF!</definedName>
    <definedName name="DataCube">[133]Input!$B$7</definedName>
    <definedName name="datad">[103]Factors!$G$29</definedName>
    <definedName name="DataFileName">#REF!</definedName>
    <definedName name="DataFileName1">#REF!</definedName>
    <definedName name="DataFileName2">#REF!</definedName>
    <definedName name="DATAFILL">'[29]Raw Data'!$Y$201:$Y$260</definedName>
    <definedName name="DataFilter">[153]!DataFilter</definedName>
    <definedName name="DataSort">[153]!DataSort</definedName>
    <definedName name="Date_Bidding">'[34]#REF'!$E$91</definedName>
    <definedName name="Date_On_Site">#REF!</definedName>
    <definedName name="DATECHECKED_ELBK">#REF!</definedName>
    <definedName name="DATECHECKED_ELEQ">#REF!</definedName>
    <definedName name="DATECHECKED_INSTR">#REF!</definedName>
    <definedName name="DatePrior">[154]Input!$B$17</definedName>
    <definedName name="DateRange">'[147]Date Ranges'!$A$14:$H$26</definedName>
    <definedName name="DateRangeCompMain" hidden="1">#REF!</definedName>
    <definedName name="DATES">'[29]Raw Data'!$AH$201:$AH$202</definedName>
    <definedName name="DAY">'[29]Raw Data'!$AO$193</definedName>
    <definedName name="DAYRT97">#REF!</definedName>
    <definedName name="DAYRT98">#REF!</definedName>
    <definedName name="DAYRTACT">#REF!</definedName>
    <definedName name="Daywork">#REF!</definedName>
    <definedName name="DB_PRICING">#REF!</definedName>
    <definedName name="Dbase1">#REF!</definedName>
    <definedName name="Dbase2">#REF!</definedName>
    <definedName name="dbf">#REF!</definedName>
    <definedName name="dblv">#REF!</definedName>
    <definedName name="dbms">#REF!</definedName>
    <definedName name="dbsi">#REF!</definedName>
    <definedName name="dbv">#REF!</definedName>
    <definedName name="dbwb">#REF!</definedName>
    <definedName name="dc">#REF!</definedName>
    <definedName name="dca">[103]Factors!$G$41</definedName>
    <definedName name="dcd">[103]Factors!$G$42</definedName>
    <definedName name="dclad">#REF!</definedName>
    <definedName name="Dcode">#REF!</definedName>
    <definedName name="DCS_SYS">#REF!</definedName>
    <definedName name="DCU">'[155]ACS(1)'!#REF!</definedName>
    <definedName name="ddd" hidden="1">#REF!</definedName>
    <definedName name="ddddd" hidden="1">#REF!</definedName>
    <definedName name="dddddd" hidden="1">{#N/A,#N/A,TRUE,"SUM";#N/A,#N/A,TRUE,"EE";#N/A,#N/A,TRUE,"AC";#N/A,#N/A,TRUE,"SN"}</definedName>
    <definedName name="DDDDDDDDDDDDDDDDDDDD" hidden="1">{"PriceSheetNoMargins",#N/A,FALSE,"PriceSheet"}</definedName>
    <definedName name="dddqwd">[28]!dddqwd</definedName>
    <definedName name="ddf">#REF!</definedName>
    <definedName name="DDFD" hidden="1">{#N/A,#N/A,FALSE,"CCTV"}</definedName>
    <definedName name="ddffdfd" hidden="1">#REF!</definedName>
    <definedName name="DDKKHK">[28]!DDKKHK</definedName>
    <definedName name="dds">#REF!</definedName>
    <definedName name="ddt">#REF!</definedName>
    <definedName name="deal1">'[29]Raw Data'!$H$497</definedName>
    <definedName name="Dealer_Cost_of_Equity">#REF!</definedName>
    <definedName name="dealer_profit">#REF!</definedName>
    <definedName name="DealerDisco">#REF!</definedName>
    <definedName name="DealerUnits">#REF!</definedName>
    <definedName name="debt_interest">#REF!</definedName>
    <definedName name="debt_ratio">#REF!</definedName>
    <definedName name="DebtRate">[156]Title!$G$17</definedName>
    <definedName name="Deferred_tax_asset_growth_fore">#REF!</definedName>
    <definedName name="Deferred_tax_liability_growth_fore">#REF!</definedName>
    <definedName name="deg">#REF!</definedName>
    <definedName name="Del_Quote">[28]!Del_Quote</definedName>
    <definedName name="DELETE_D">'[29]Raw Data'!#REF!</definedName>
    <definedName name="DELETE_U">'[29]Raw Data'!#REF!</definedName>
    <definedName name="demolishexistingstair">#REF!</definedName>
    <definedName name="demolishfloor">#REF!</definedName>
    <definedName name="demolishwall">#REF!</definedName>
    <definedName name="Dep">#REF!</definedName>
    <definedName name="Dep_margin_fore">#REF!</definedName>
    <definedName name="dep_rate">#REF!</definedName>
    <definedName name="DEPAL">[157]DEP!$A$1:$G$98,[157]DEP!$H$1:$J$98</definedName>
    <definedName name="DEPDX">[157]DEP!$A$1:$G$98,[157]DEP!$H$1:$J$98,[157]DEP!$K$1:$M$98</definedName>
    <definedName name="Depr">#REF!</definedName>
    <definedName name="Depreciation">#REF!</definedName>
    <definedName name="Depreciation_fore">#REF!</definedName>
    <definedName name="DEPSH">[157]DEP!$A$1:$G$98,[157]DEP!$H$1:$J$98,[157]DEP!$K$1:$M$98,[157]DEP!$N$1:$N$98</definedName>
    <definedName name="DeptEarnsSumm">#REF!</definedName>
    <definedName name="DeptEarnsSumm2">#REF!</definedName>
    <definedName name="derersre">[12]Plumbing!#REF!</definedName>
    <definedName name="Des">#REF!</definedName>
    <definedName name="Des_Pkg">[158]Sheet2!$B$4:$C$10</definedName>
    <definedName name="Desc01">#REF!</definedName>
    <definedName name="Desc02">#REF!</definedName>
    <definedName name="DESCRIPTION2">'[29]Raw Data'!$C$12:$C$16,'[29]Raw Data'!$C$19:$C$30,'[29]Raw Data'!$C$33:$C$36,'[29]Raw Data'!$C$39:$C$40,'[29]Raw Data'!$C$42:$C$48,'[29]Raw Data'!$C$51:$C$55,'[29]Raw Data'!$C$57</definedName>
    <definedName name="DESIGN">'[29]Raw Data'!#REF!</definedName>
    <definedName name="designed">#REF!</definedName>
    <definedName name="DesRatio">#REF!</definedName>
    <definedName name="DESUP_HTRS">#REF!</definedName>
    <definedName name="Detail">#REF!</definedName>
    <definedName name="DETAIL_TOT">#REF!</definedName>
    <definedName name="Details">#REF!</definedName>
    <definedName name="DETECDIS">#N/A</definedName>
    <definedName name="DetEst">[159]DetEst!$A$7,[159]DetEst!$A$11,[159]DetEst!$A:$U</definedName>
    <definedName name="dett">#REF!</definedName>
    <definedName name="dettt">#REF!</definedName>
    <definedName name="Dewatering_Shoring">#REF!</definedName>
    <definedName name="dewghjuyidu">#REF!</definedName>
    <definedName name="DEWSLDW" hidden="1">{#N/A,#N/A,TRUE,"SUM";#N/A,#N/A,TRUE,"EE";#N/A,#N/A,TRUE,"AC";#N/A,#N/A,TRUE,"SN"}</definedName>
    <definedName name="DFADF" hidden="1">{"PriceSheetNoMargins",#N/A,FALSE,"PriceSheet"}</definedName>
    <definedName name="dfcoil">#REF!</definedName>
    <definedName name="dfcu">#REF!</definedName>
    <definedName name="dfdf">#REF!,#REF!</definedName>
    <definedName name="DFDFDFDFDFDFDFDFDFDFDFDFDFDF" hidden="1">{"PriceSheetNoMargins",#N/A,FALSE,"PriceSheet"}</definedName>
    <definedName name="DFDFDS" hidden="1">{#N/A,#N/A,TRUE,"SUM";#N/A,#N/A,TRUE,"EE";#N/A,#N/A,TRUE,"AC";#N/A,#N/A,TRUE,"SN"}</definedName>
    <definedName name="DFDFGFHJ6ERTGFHHTJ">#REF!</definedName>
    <definedName name="DFDFSDFSD" hidden="1">{#N/A,#N/A,TRUE,"SUM";#N/A,#N/A,TRUE,"EE";#N/A,#N/A,TRUE,"AC";#N/A,#N/A,TRUE,"SN"}</definedName>
    <definedName name="dfdgdf">#REF!</definedName>
    <definedName name="dfffff" hidden="1">{#N/A,#N/A,FALSE,"SumG";#N/A,#N/A,FALSE,"ElecG";#N/A,#N/A,FALSE,"MechG";#N/A,#N/A,FALSE,"GeotG";#N/A,#N/A,FALSE,"PrcsG";#N/A,#N/A,FALSE,"TunnG";#N/A,#N/A,FALSE,"CivlG";#N/A,#N/A,FALSE,"NtwkG";#N/A,#N/A,FALSE,"EstgG";#N/A,#N/A,FALSE,"PEngG"}</definedName>
    <definedName name="dffgg">#REF!</definedName>
    <definedName name="dfg">#REF!</definedName>
    <definedName name="dfgasdfg" hidden="1">{"PriceSheetNoMargins",#N/A,FALSE,"PriceSheet"}</definedName>
    <definedName name="DFGASFGFG" hidden="1">{"PriceSheetNoMargins",#N/A,FALSE,"PriceSheet"}</definedName>
    <definedName name="DFGD" hidden="1">{"PriceSheetNoMargins",#N/A,FALSE,"PriceSheet"}</definedName>
    <definedName name="dfgh">#REF!</definedName>
    <definedName name="dfghg" hidden="1">{#N/A,#N/A,FALSE,0;#N/A,#N/A,FALSE,0;#N/A,#N/A,FALSE,0;#N/A,#N/A,FALSE,0;#N/A,#N/A,FALSE,0;#N/A,#N/A,FALSE,0;#N/A,#N/A,FALSE,0;#N/A,#N/A,FALSE,0;#N/A,#N/A,FALSE,0;#N/A,#N/A,FALSE,0}</definedName>
    <definedName name="dfh" hidden="1">{"'Sheet1'!$L$16"}</definedName>
    <definedName name="dflt2">'[152]Customize Your Purchase Order'!$F$23</definedName>
    <definedName name="dflt3">'[152]Customize Your Purchase Order'!$F$24</definedName>
    <definedName name="dflt4">'[152]Customize Your Purchase Order'!$E$25</definedName>
    <definedName name="dflt5">'[152]Customize Your Purchase Order'!$F$27</definedName>
    <definedName name="dflt6">'[152]Customize Your Purchase Order'!$F$28</definedName>
    <definedName name="dflt7">'[152]Customize Your Purchase Order'!$E$29</definedName>
    <definedName name="dfr">#N/A</definedName>
    <definedName name="dfs" hidden="1">{#N/A,#N/A,TRUE,"SUM";#N/A,#N/A,TRUE,"EE";#N/A,#N/A,TRUE,"AC";#N/A,#N/A,TRUE,"SN"}</definedName>
    <definedName name="dfseeeeeee">[28]!dfseeeeeee</definedName>
    <definedName name="dfseera">#REF!</definedName>
    <definedName name="dfsfsd" hidden="1">{"'Sheet1'!$L$16"}</definedName>
    <definedName name="DFSFSFS">#REF!</definedName>
    <definedName name="dfsgfsdg144243" hidden="1">#REF!</definedName>
    <definedName name="dfshfdjhfjds">#REF!</definedName>
    <definedName name="dftjjjjjj">[28]!dftjjjjjj</definedName>
    <definedName name="dg">#REF!</definedName>
    <definedName name="DGBHSDGHSDG" hidden="1">{"PriceSheetNoMargins",#N/A,FALSE,"PriceSheet"}</definedName>
    <definedName name="DGBSDGBD" hidden="1">{"PriceSheetNoMargins",#N/A,FALSE,"PriceSheet"}</definedName>
    <definedName name="DGBSDGGD" hidden="1">{"PriceSheetNoMargins",#N/A,FALSE,"PriceSheet"}</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 hidden="1">{#N/A,#N/A,FALSE,"SumG";#N/A,#N/A,FALSE,"ElecG";#N/A,#N/A,FALSE,"MechG";#N/A,#N/A,FALSE,"GeotG";#N/A,#N/A,FALSE,"PrcsG";#N/A,#N/A,FALSE,"TunnG";#N/A,#N/A,FALSE,"CivlG";#N/A,#N/A,FALSE,"NtwkG";#N/A,#N/A,FALSE,"EstgG";#N/A,#N/A,FALSE,"PEngG"}</definedName>
    <definedName name="dgfgjgj" hidden="1">{#N/A,#N/A,FALSE,"CCTV"}</definedName>
    <definedName name="dgfsahjkl">#REF!</definedName>
    <definedName name="dggrr">[28]!dggrr</definedName>
    <definedName name="DGHADFADSHBADF" hidden="1">{"PriceSheetNoMargins",#N/A,FALSE,"PriceSheet"}</definedName>
    <definedName name="DGHDHDGHDGHDG" hidden="1">{"PriceSheetNoMargins",#N/A,FALSE,"PriceSheet"}</definedName>
    <definedName name="dghht">[28]!dghht</definedName>
    <definedName name="DGHHZDGH" hidden="1">{"PriceSheetNoMargins",#N/A,FALSE,"PriceSheet"}</definedName>
    <definedName name="DGHSDGHDSH" hidden="1">{"PriceSheetNoMargins",#N/A,FALSE,"PriceSheet"}</definedName>
    <definedName name="DGHSGHDAGH" hidden="1">{"PriceSheetNoMargins",#N/A,FALSE,"PriceSheet"}</definedName>
    <definedName name="dgs">#REF!</definedName>
    <definedName name="DGYDZZDHZDH" hidden="1">{"PriceSheetNoMargins",#N/A,FALSE,"PriceSheet"}</definedName>
    <definedName name="dha">[158]Factors!$C$8</definedName>
    <definedName name="Dharmesh">'[160]OC 17-04-06'!$E$42</definedName>
    <definedName name="dhbfn">#REF!</definedName>
    <definedName name="dhdpe">#REF!</definedName>
    <definedName name="dhjfhjjfjj" hidden="1">{#N/A,#N/A,FALSE,"Cust.Disc.Profile";#N/A,#N/A,FALSE,"Referral 1";#N/A,#N/A,FALSE,"Referral 2";#N/A,#N/A,FALSE,"Referral 3";#N/A,#N/A,FALSE,"Approval+Reportback "}</definedName>
    <definedName name="di">#N/A</definedName>
    <definedName name="diameter">#REF!</definedName>
    <definedName name="diaphragm">#REF!</definedName>
    <definedName name="Diaphragm_Wall">#REF!</definedName>
    <definedName name="dicnt">#REF!</definedName>
    <definedName name="dif">#REF!</definedName>
    <definedName name="diff">#REF!</definedName>
    <definedName name="DIG.100">#REF!</definedName>
    <definedName name="DIG.125">#REF!</definedName>
    <definedName name="DIG.150">#REF!</definedName>
    <definedName name="DIG.200">#REF!</definedName>
    <definedName name="DIG.250">#REF!</definedName>
    <definedName name="DIG.300">#REF!</definedName>
    <definedName name="DIG.65">#REF!</definedName>
    <definedName name="DIG.80">#REF!</definedName>
    <definedName name="dil">#REF!</definedName>
    <definedName name="dimension">#REF!</definedName>
    <definedName name="dine">'[161]4'!#REF!</definedName>
    <definedName name="dins">#REF!</definedName>
    <definedName name="dins15">#REF!</definedName>
    <definedName name="dins25">#REF!</definedName>
    <definedName name="dins50">[48]Factors!$K$256</definedName>
    <definedName name="DIRECT_BURIAL">#REF!</definedName>
    <definedName name="direct_cost">#REF!</definedName>
    <definedName name="DIRECTHIRE_LABOR_UNIT_HOURS">'[29]Raw Data'!$H$12:$H$16,'[29]Raw Data'!$H$19:$H$30,'[29]Raw Data'!$H$33:$H$36,'[29]Raw Data'!$H$39:$H$40,'[29]Raw Data'!$H$42:$H$48,'[29]Raw Data'!$H$51:$H$55,'[29]Raw Data'!$H$66</definedName>
    <definedName name="DIRECTHIRE_WAGE_RATE">'[29]Raw Data'!$D$12:$D$16,'[29]Raw Data'!$D$19:$D$30,'[29]Raw Data'!$D$33:$D$36,'[29]Raw Data'!$D$39:$D$40,'[29]Raw Data'!$D$42:$D$48,'[29]Raw Data'!$D$51:$D$55,'[29]Raw Data'!$D$66</definedName>
    <definedName name="directionalarrow">#REF!</definedName>
    <definedName name="DirectTotal">#REF!</definedName>
    <definedName name="DirHrs">#N/A</definedName>
    <definedName name="DirHrs1">#N/A</definedName>
    <definedName name="DIRM">[162]CF!$I$7</definedName>
    <definedName name="DISC_10">"$#REF!.$C$20"</definedName>
    <definedName name="DISC_2">#REF!</definedName>
    <definedName name="DISC_9">"$#REF!.$C$20"</definedName>
    <definedName name="Discfact">#REF!</definedName>
    <definedName name="disch">"$#REF!.$#REF!$#REF!"</definedName>
    <definedName name="dischiller">#REF!</definedName>
    <definedName name="DiscoResi">#REF!</definedName>
    <definedName name="Discount" hidden="1">#REF!</definedName>
    <definedName name="discount1">'[163]MDB-25.8.2014'!#REF!</definedName>
    <definedName name="DiscRep">#REF!</definedName>
    <definedName name="Discription">#REF!</definedName>
    <definedName name="disct">#REF!</definedName>
    <definedName name="display_area_2" hidden="1">#REF!</definedName>
    <definedName name="Disposal">#REF!</definedName>
    <definedName name="dispump">#REF!</definedName>
    <definedName name="diss">#N/A</definedName>
    <definedName name="DISSA">#REF!</definedName>
    <definedName name="DistribName">'[164]Distributor Details'!$B$12:$B$124</definedName>
    <definedName name="District">#REF!</definedName>
    <definedName name="District1">[86]NATION!$A$2:$A$32</definedName>
    <definedName name="Diversity_Factors">#REF!</definedName>
    <definedName name="dja">#REF!</definedName>
    <definedName name="dk">#REF!</definedName>
    <definedName name="DKIGU">#REF!</definedName>
    <definedName name="DL" hidden="1">{#N/A,#N/A,FALSE,"이정표"}</definedName>
    <definedName name="DLFPL1">#REF!</definedName>
    <definedName name="DlrEscRate">#REF!</definedName>
    <definedName name="DLX">#REF!</definedName>
    <definedName name="DM">#REF!</definedName>
    <definedName name="dmf">[165]Factors!#REF!</definedName>
    <definedName name="DMRC_TOTA">#REF!</definedName>
    <definedName name="DMRC_TOTAL">#REF!</definedName>
    <definedName name="dmv">#REF!</definedName>
    <definedName name="dn" hidden="1">{#N/A,#N/A,FALSE,"혼합골재"}</definedName>
    <definedName name="DnA_fore">#REF!</definedName>
    <definedName name="DnA_growth_fore">#REF!</definedName>
    <definedName name="dngshfdzg">#REF!</definedName>
    <definedName name="doa">#REF!</definedName>
    <definedName name="Doc_Hrs">#REF!</definedName>
    <definedName name="docu">#REF!</definedName>
    <definedName name="Document_array">{"Book1","BoQ2.XLS"}</definedName>
    <definedName name="Document_array_1">{"Book1","BoQ2.XLS"}</definedName>
    <definedName name="donn1">#REF!</definedName>
    <definedName name="donn2">#REF!</definedName>
    <definedName name="door">#REF!</definedName>
    <definedName name="door.closer">#REF!</definedName>
    <definedName name="DOOR_CODE">#REF!</definedName>
    <definedName name="Door_etc">#REF!</definedName>
    <definedName name="DOOR_TYPE">#REF!</definedName>
    <definedName name="DOV.250">[66]Price!$J$98</definedName>
    <definedName name="dp">#REF!</definedName>
    <definedName name="dP_INST">#REF!</definedName>
    <definedName name="DPDF">#REF!</definedName>
    <definedName name="dpe">#REF!</definedName>
    <definedName name="dpp">#REF!</definedName>
    <definedName name="dppr10">#REF!</definedName>
    <definedName name="dppr20">#REF!</definedName>
    <definedName name="DPQL" hidden="1">{"'Sheet1'!$A$1:$R$58"}</definedName>
    <definedName name="DPQL_" hidden="1">{"'Sheet1'!$A$1:$R$58"}</definedName>
    <definedName name="Dps">[77]BUR!$E$6</definedName>
    <definedName name="DPU" hidden="1">{"'Sheet1'!$A$1:$R$58"}</definedName>
    <definedName name="Dpvc10110">#REF!</definedName>
    <definedName name="Dpvc10160">#REF!</definedName>
    <definedName name="Dpvc10225">#REF!</definedName>
    <definedName name="Dpvc1032">#REF!</definedName>
    <definedName name="Dpvc1040">#REF!</definedName>
    <definedName name="Dpvc1050">#REF!</definedName>
    <definedName name="Dpvc1063">#REF!</definedName>
    <definedName name="Dpvc1075">#REF!</definedName>
    <definedName name="Dpvc1090">#REF!</definedName>
    <definedName name="Dpvc4110">#REF!</definedName>
    <definedName name="Dpvc450">#REF!</definedName>
    <definedName name="Dpvc463">#REF!</definedName>
    <definedName name="Dpvc475">#REF!</definedName>
    <definedName name="Dpvc490">#REF!</definedName>
    <definedName name="Dpvc6110">#REF!</definedName>
    <definedName name="Dpvc6160">#REF!</definedName>
    <definedName name="Dpvc6225">#REF!</definedName>
    <definedName name="Dpvc632">#REF!</definedName>
    <definedName name="Dpvc640">#REF!</definedName>
    <definedName name="Dpvc650">#REF!</definedName>
    <definedName name="Dpvc663">#REF!</definedName>
    <definedName name="Dpvc675">#REF!</definedName>
    <definedName name="Dpvc690">#REF!</definedName>
    <definedName name="dq">#REF!</definedName>
    <definedName name="dr">"$#REF!.$#REF!$#REF!"</definedName>
    <definedName name="Dr_rate">#REF!</definedName>
    <definedName name="Dr_sch">#REF!</definedName>
    <definedName name="dra">#REF!</definedName>
    <definedName name="DRAIN">'[166]DETAIL '!$A$128</definedName>
    <definedName name="DRAIN_CORP_PARK">#REF!</definedName>
    <definedName name="DRAIN_TOWN_PARK">#REF!</definedName>
    <definedName name="drain_trap">#REF!</definedName>
    <definedName name="DRAINAGE">#REF!</definedName>
    <definedName name="Drainage_system">#REF!</definedName>
    <definedName name="draper1">#REF!</definedName>
    <definedName name="draper2">#REF!</definedName>
    <definedName name="draper3">#REF!</definedName>
    <definedName name="draper4">#REF!</definedName>
    <definedName name="draper5">#REF!</definedName>
    <definedName name="draper6">#REF!</definedName>
    <definedName name="DRATE">#REF!</definedName>
    <definedName name="DRAWING">#N/A</definedName>
    <definedName name="DRcode">#REF!</definedName>
    <definedName name="Drilled_Pier_Data">#REF!</definedName>
    <definedName name="DRILLED_PIERS">#REF!</definedName>
    <definedName name="drnh">#REF!</definedName>
    <definedName name="drop1">#REF!</definedName>
    <definedName name="drop2">#REF!</definedName>
    <definedName name="dropA10">#REF!</definedName>
    <definedName name="dropA10_10">"$#REF!.$D$36"</definedName>
    <definedName name="dropA10_4">#REF!</definedName>
    <definedName name="dropA10_5">#REF!</definedName>
    <definedName name="dropA10_9">"$#REF!.$D$36"</definedName>
    <definedName name="dropA8">#REF!</definedName>
    <definedName name="dropA8_10">"$#REF!.$D$35"</definedName>
    <definedName name="dropA8_4">#REF!</definedName>
    <definedName name="dropA8_5">#REF!</definedName>
    <definedName name="dropA8_9">"$#REF!.$D$35"</definedName>
    <definedName name="Drwg_No.">#REF!</definedName>
    <definedName name="drywall">#REF!</definedName>
    <definedName name="drywallwithinsulation">#REF!</definedName>
    <definedName name="dsafadsfcafds">#REF!</definedName>
    <definedName name="dsbfg">#REF!</definedName>
    <definedName name="dsc">#REF!</definedName>
    <definedName name="dsd">#REF!</definedName>
    <definedName name="DSDADSDA">[28]!DSDADSDA</definedName>
    <definedName name="dsdasff">#REF!</definedName>
    <definedName name="dsDataSet">#REF!</definedName>
    <definedName name="DSDS">'[167]Bill 5 - Carpark'!#REF!</definedName>
    <definedName name="dsf">#REF!</definedName>
    <definedName name="dsfasfgssga">#REF!</definedName>
    <definedName name="dsfgdfgd">#REF!</definedName>
    <definedName name="DSJKLDE" hidden="1">{#N/A,#N/A,TRUE,"SUM";#N/A,#N/A,TRUE,"EE";#N/A,#N/A,TRUE,"AC";#N/A,#N/A,TRUE,"SN"}</definedName>
    <definedName name="DSO_dist_lkup">#REF!</definedName>
    <definedName name="dspi">#REF!</definedName>
    <definedName name="dsrax">#REF!</definedName>
    <definedName name="dss">#REF!</definedName>
    <definedName name="DSTD_Clear_1">#N/A</definedName>
    <definedName name="DSTD_Clear_2">#N/A</definedName>
    <definedName name="DSTD_Clear_3">#N/A</definedName>
    <definedName name="DSTD_Clear_4">#N/A</definedName>
    <definedName name="DSTD_Clear_5">#N/A</definedName>
    <definedName name="dsurchrge">#REF!</definedName>
    <definedName name="dt" hidden="1">#REF!</definedName>
    <definedName name="DTCount">'[110]File Settings'!#REF!</definedName>
    <definedName name="DTHYUDTYTY" hidden="1">{"PriceSheetNoMargins",#N/A,FALSE,"PriceSheet"}</definedName>
    <definedName name="DTNHJNJXDFNHJ" hidden="1">{"PriceSheetNoMargins",#N/A,FALSE,"PriceSheet"}</definedName>
    <definedName name="dtpp">#REF!</definedName>
    <definedName name="DTYSTYSY" hidden="1">{"PriceSheetNoMargins",#N/A,FALSE,"PriceSheet"}</definedName>
    <definedName name="DU">[168]Factor!#REF!</definedName>
    <definedName name="DU_2S">#REF!</definedName>
    <definedName name="dual_plate_check">#REF!</definedName>
    <definedName name="DUCT">#REF!</definedName>
    <definedName name="DUCT.AC.0.5">[66]Price!$D$43</definedName>
    <definedName name="DUCT.AC.0.6">[66]Price!$D$44</definedName>
    <definedName name="DUCT.AC.0.8">[66]Price!$D$45</definedName>
    <definedName name="DUCT.AC.1.0">[66]Price!$D$47</definedName>
    <definedName name="DUCT.AC.1.2">[66]Price!$D$49</definedName>
    <definedName name="DUCT.FA.0.5">[66]Price!$D$54</definedName>
    <definedName name="DUCT.FA.0.6">[66]Price!$D$55</definedName>
    <definedName name="DUCT.FA.0.8">[66]Price!$D$56</definedName>
    <definedName name="DUCT.FA.1.0">[66]Price!$D$58</definedName>
    <definedName name="DUCT.FA.1.2">[66]Price!$D$60</definedName>
    <definedName name="DUCT.FA.2.0">[66]Price!$D$61</definedName>
    <definedName name="DUCT.FR.0.5">[66]Price!$D$118</definedName>
    <definedName name="DUCT.FR.0.6">[66]Price!$D$119</definedName>
    <definedName name="DUCT.FR.0.8">[66]Price!$D$120</definedName>
    <definedName name="DUCT.FR.1.0">[66]Price!$D$122</definedName>
    <definedName name="DUCT.FR.1.2">[66]Price!$D$124</definedName>
    <definedName name="DUCT.TO.0.5">[66]Price!$D$65</definedName>
    <definedName name="DUCT.TO.0.6">[66]Price!$D$66</definedName>
    <definedName name="DUCT.TO.0.8">[66]Price!$D$67</definedName>
    <definedName name="DUCT_1">#REF!</definedName>
    <definedName name="DUMP">#REF!</definedName>
    <definedName name="dup">'[84]Cost Sheet'!#REF!</definedName>
    <definedName name="duplex_strainer">#REF!</definedName>
    <definedName name="dura3">#REF!</definedName>
    <definedName name="dura5">#REF!</definedName>
    <definedName name="dura7">#REF!</definedName>
    <definedName name="duraclear">#REF!</definedName>
    <definedName name="duraem">#REF!</definedName>
    <definedName name="duraplast1">#REF!</definedName>
    <definedName name="duraplast2">#REF!</definedName>
    <definedName name="durapu">#REF!</definedName>
    <definedName name="dut">"$#REF!.$#REF!$#REF!"</definedName>
    <definedName name="dutcab">#REF!</definedName>
    <definedName name="Duty">#REF!</definedName>
    <definedName name="duty1">#REF!</definedName>
    <definedName name="duty10">#REF!</definedName>
    <definedName name="duty15">#REF!</definedName>
    <definedName name="duty21">#REF!</definedName>
    <definedName name="duty25">#REF!</definedName>
    <definedName name="duty5">#REF!</definedName>
    <definedName name="duty6">#REF!</definedName>
    <definedName name="dutyfac1">[103]Factors!$M$18</definedName>
    <definedName name="DUTYFPL1">#REF!</definedName>
    <definedName name="duy">#N/A</definedName>
    <definedName name="dv">'[84]Cost Sheet'!#REF!</definedName>
    <definedName name="dvbgf" hidden="1">{#N/A,#N/A,FALSE,"SumD";#N/A,#N/A,FALSE,"ElecD";#N/A,#N/A,FALSE,"MechD";#N/A,#N/A,FALSE,"GeotD";#N/A,#N/A,FALSE,"PrcsD";#N/A,#N/A,FALSE,"TunnD";#N/A,#N/A,FALSE,"CivlD";#N/A,#N/A,FALSE,"NtwkD";#N/A,#N/A,FALSE,"EstgD";#N/A,#N/A,FALSE,"PEngD"}</definedName>
    <definedName name="dviso">[165]Factors!$Y$315</definedName>
    <definedName name="DW">#REF!</definedName>
    <definedName name="DW015.2.1">#REF!</definedName>
    <definedName name="dwd">#REF!</definedName>
    <definedName name="DWG">#REF!</definedName>
    <definedName name="dyfviyfvikkkkkkkkkkk">[122]E_Summary!#REF!</definedName>
    <definedName name="e.five">[91]ANALISYS!$E$2126</definedName>
    <definedName name="e.one">[91]ANALISYS!$E$2060</definedName>
    <definedName name="e.six">[91]ANALISYS!$E$2143</definedName>
    <definedName name="e.three">[91]ANALISYS!$E$2092</definedName>
    <definedName name="e___0">#REF!</definedName>
    <definedName name="E_AND_R">'[6]E &amp; R'!$1:$1048576</definedName>
    <definedName name="E_Infrastructure_Cost">#REF!</definedName>
    <definedName name="e45x100">#REF!</definedName>
    <definedName name="e45x125">#REF!</definedName>
    <definedName name="e45x150">#REF!</definedName>
    <definedName name="e45x20">#REF!</definedName>
    <definedName name="e45x225">#REF!</definedName>
    <definedName name="e45x25">#REF!</definedName>
    <definedName name="e45x280">#REF!</definedName>
    <definedName name="e45x32">#REF!</definedName>
    <definedName name="e45x40">#REF!</definedName>
    <definedName name="e45x50">#REF!</definedName>
    <definedName name="e45x65">#REF!</definedName>
    <definedName name="e45x80">#REF!</definedName>
    <definedName name="e45x90">#REF!</definedName>
    <definedName name="e90x100">#REF!</definedName>
    <definedName name="e90x125">#REF!</definedName>
    <definedName name="e90x150">#REF!</definedName>
    <definedName name="e90x20">#REF!</definedName>
    <definedName name="e90x225">#REF!</definedName>
    <definedName name="e90x25">#REF!</definedName>
    <definedName name="e90x280">#REF!</definedName>
    <definedName name="e90x32">#REF!</definedName>
    <definedName name="e90x40">#REF!</definedName>
    <definedName name="e90x50">#REF!</definedName>
    <definedName name="e90x65">#REF!</definedName>
    <definedName name="e90x80">#REF!</definedName>
    <definedName name="e90x90">#REF!</definedName>
    <definedName name="eag350x150">[55]Factors!$I$397</definedName>
    <definedName name="Earthbund">#N/A</definedName>
    <definedName name="earthwk">#REF!</definedName>
    <definedName name="earthwork">#REF!</definedName>
    <definedName name="earthwork_utility">#REF!</definedName>
    <definedName name="easiplaster">#REF!</definedName>
    <definedName name="EASTFCST">#REF!</definedName>
    <definedName name="EB">'[169]BOQ PL'!#REF!</definedName>
    <definedName name="EBIT">#REF!</definedName>
    <definedName name="EBIT_fore">#REF!</definedName>
    <definedName name="EBIT_margin_fore">#REF!</definedName>
    <definedName name="EBITA_fore">#REF!</definedName>
    <definedName name="EBITDA_fore">#REF!</definedName>
    <definedName name="EBITDA_margin_fore">#REF!</definedName>
    <definedName name="ebms">#REF!</definedName>
    <definedName name="ebmsdis">#REF!</definedName>
    <definedName name="ecab">'[49]Ele Price'!$J$12</definedName>
    <definedName name="ecabdis">'[49]Ele Price'!$J$13</definedName>
    <definedName name="ecd">#REF!</definedName>
    <definedName name="eclipse">#REF!</definedName>
    <definedName name="ECO_Prices">[170]Prices!$A$2:$K$198</definedName>
    <definedName name="ecp">'[49]Ele Price'!$J$152</definedName>
    <definedName name="ecpdis">'[49]Ele Price'!$J$153</definedName>
    <definedName name="ecs">'[49]Ele Price'!$J$160</definedName>
    <definedName name="ecsdis">'[49]Ele Price'!$J$161</definedName>
    <definedName name="edb150a">#REF!</definedName>
    <definedName name="edb150b">#REF!</definedName>
    <definedName name="edge">#REF!</definedName>
    <definedName name="eec___0">#REF!</definedName>
    <definedName name="eee" hidden="1">[23]FitOutConfCentre!#REF!</definedName>
    <definedName name="eew">[171]Sheet1!#REF!</definedName>
    <definedName name="eeye5y">#REF!</definedName>
    <definedName name="EFAdf" hidden="1">{"PriceSheetNoMargins",#N/A,FALSE,"PriceSheet"}</definedName>
    <definedName name="EFaf" hidden="1">{"PriceSheetNoMargins",#N/A,FALSE,"PriceSheet"}</definedName>
    <definedName name="efdef">[172]Factors!$N$303</definedName>
    <definedName name="efeco">#REF!</definedName>
    <definedName name="EFEFDEFAD" hidden="1">{"PriceSheetNoMargins",#N/A,FALSE,"PriceSheet"}</definedName>
    <definedName name="efrca1">#REF!</definedName>
    <definedName name="efrca2">#REF!</definedName>
    <definedName name="efrca3">#REF!</definedName>
    <definedName name="efrcd">#REF!</definedName>
    <definedName name="EFTR2">#REF!</definedName>
    <definedName name="EFTRWE" hidden="1">{"PriceSheetNoMargins",#N/A,FALSE,"PriceSheet"}</definedName>
    <definedName name="efweatjery7r5">#REF!</definedName>
    <definedName name="EFWEFWEFEF">[28]!EFWEFWEFEF</definedName>
    <definedName name="EG.1">#REF!</definedName>
    <definedName name="EG.2">#REF!</definedName>
    <definedName name="EG.3">#REF!</definedName>
    <definedName name="EG.4">#REF!</definedName>
    <definedName name="EG.5">#REF!</definedName>
    <definedName name="EG.6">#REF!</definedName>
    <definedName name="EG.7">#REF!</definedName>
    <definedName name="EG.8">#REF!</definedName>
    <definedName name="EIC">'[173]CAL. - DATA'!$D$9</definedName>
    <definedName name="EIC_10">#REF!</definedName>
    <definedName name="EIC_9">#REF!</definedName>
    <definedName name="EIC10_10">"$#REF!.$C$21"</definedName>
    <definedName name="EIC10_9">"$#REF!.$C$21"</definedName>
    <definedName name="EIC15_10">"$#REF!.$C$22"</definedName>
    <definedName name="EIC15_9">"$#REF!.$C$22"</definedName>
    <definedName name="eight">[91]ANALISYS!$E$97</definedName>
    <definedName name="eighteen">[91]ANALISYS!$E$230</definedName>
    <definedName name="EIW">'[169]BOQ PL'!#REF!</definedName>
    <definedName name="el.pvc20">#REF!</definedName>
    <definedName name="el.pvc25">#REF!</definedName>
    <definedName name="el.pvc30">#REF!</definedName>
    <definedName name="el.pvc37">#REF!</definedName>
    <definedName name="el.pvc50">#REF!</definedName>
    <definedName name="elast940">#REF!</definedName>
    <definedName name="elastar">#REF!</definedName>
    <definedName name="elastsup">#REF!</definedName>
    <definedName name="ELBLK_REMARKS">#REF!</definedName>
    <definedName name="elct">'[174]BILL 4 NEW multi'!$H$806</definedName>
    <definedName name="Ele" hidden="1">{"'Break down'!$A$4"}</definedName>
    <definedName name="ELEC_INSTR">#REF!</definedName>
    <definedName name="Elec_wt2.0">'[175]Data 1'!$EI$22</definedName>
    <definedName name="Elec_wt2.4">'[175]Data 1'!$EI$32</definedName>
    <definedName name="Elec_wt2.5">'[175]Data 1'!$EI$44</definedName>
    <definedName name="Elec_wt3.15_450">'[175]Data 1'!$EI$67</definedName>
    <definedName name="Elec_wt4.0_450">'[175]Data 1'!$EI$80</definedName>
    <definedName name="ElectricityWater">#REF!</definedName>
    <definedName name="ElecWaterCharge">#REF!</definedName>
    <definedName name="elegan">#REF!</definedName>
    <definedName name="elem">#REF!</definedName>
    <definedName name="Elem1">[176]corbeldatail!$K$2:$K$65536</definedName>
    <definedName name="ELEMENT__Sanitary_System___0">#REF!</definedName>
    <definedName name="elemtotal">#REF!</definedName>
    <definedName name="ELEQ_REMARKS">#REF!</definedName>
    <definedName name="eleven">[91]ANALISYS!$E$140</definedName>
    <definedName name="ELLEN1" hidden="1">{#N/A,#N/A,FALSE,"CCTV"}</definedName>
    <definedName name="ELLEN10" hidden="1">{#N/A,#N/A,FALSE,"CCTV"}</definedName>
    <definedName name="ELLEN11" hidden="1">{#N/A,#N/A,FALSE,"CCTV"}</definedName>
    <definedName name="ELLEN12" hidden="1">{#N/A,#N/A,FALSE,"CCTV"}</definedName>
    <definedName name="ELLEN13" hidden="1">{#N/A,#N/A,FALSE,"CCTV"}</definedName>
    <definedName name="ELLEN14" hidden="1">{#N/A,#N/A,FALSE,"CCTV"}</definedName>
    <definedName name="ELLEN15" hidden="1">{#N/A,#N/A,FALSE,"CCTV"}</definedName>
    <definedName name="ELLEN16" hidden="1">{#N/A,#N/A,FALSE,"CCTV"}</definedName>
    <definedName name="ELLEN17" hidden="1">{#N/A,#N/A,FALSE,"CCTV"}</definedName>
    <definedName name="ELLEN18" hidden="1">{#N/A,#N/A,FALSE,"CCTV"}</definedName>
    <definedName name="ELLEN19" hidden="1">{#N/A,#N/A,FALSE,"CCTV"}</definedName>
    <definedName name="ELLEN2" hidden="1">{#N/A,#N/A,FALSE,"CCTV"}</definedName>
    <definedName name="ELLEN3" hidden="1">{#N/A,#N/A,FALSE,"CCTV"}</definedName>
    <definedName name="ELLEN4" hidden="1">{#N/A,#N/A,FALSE,"CCTV"}</definedName>
    <definedName name="ELLEN5" hidden="1">{#N/A,#N/A,FALSE,"CCTV"}</definedName>
    <definedName name="ELLEN6" hidden="1">{#N/A,#N/A,FALSE,"CCTV"}</definedName>
    <definedName name="ELLEN7" hidden="1">{#N/A,#N/A,FALSE,"CCTV"}</definedName>
    <definedName name="ELLEN8" hidden="1">{#N/A,#N/A,FALSE,"CCTV"}</definedName>
    <definedName name="ELLEN9" hidden="1">{#N/A,#N/A,FALSE,"CCTV"}</definedName>
    <definedName name="ELP">'[76]Ra  stair'!#REF!</definedName>
    <definedName name="elpvc12">#REF!</definedName>
    <definedName name="elvdis">[103]Factors!$G$10</definedName>
    <definedName name="em.primer">#REF!</definedName>
    <definedName name="Email">#REF!</definedName>
    <definedName name="EMB_METAL_COND">#REF!</definedName>
    <definedName name="EMDB">#REF!</definedName>
    <definedName name="Emea">[102]Sheet2!$T$1:$T$3</definedName>
    <definedName name="emulsionpaint">#REF!</definedName>
    <definedName name="enamel">#REF!</definedName>
    <definedName name="Encoder">[125]CCTV_EST1!#REF!</definedName>
    <definedName name="end">#REF!</definedName>
    <definedName name="Eng_Hrs">#REF!</definedName>
    <definedName name="Eng_Rev">#REF!</definedName>
    <definedName name="Engineer">#REF!</definedName>
    <definedName name="EngrName">'[164]Distributor Details'!$B$3:$B$8</definedName>
    <definedName name="Enter_Mark_Up">#REF!</definedName>
    <definedName name="entities">[177]Sheet1!$A$1:$A$41</definedName>
    <definedName name="entity">[178]Input!$B$4</definedName>
    <definedName name="Entity_Division_List">[156]Title!$B$15:$B$20</definedName>
    <definedName name="Entity_Segment">[156]Title!$B$14</definedName>
    <definedName name="Entity3Adj">#REF!</definedName>
    <definedName name="entitylist">[133]Input!$A$53:$A$124</definedName>
    <definedName name="entrencegate">#REF!</definedName>
    <definedName name="ENVIRONMENTAL">#REF!</definedName>
    <definedName name="EnvironmentSafety">#REF!</definedName>
    <definedName name="EOL">#REF!</definedName>
    <definedName name="epb">'[169]Ele Price'!#REF!</definedName>
    <definedName name="epdis">'[169]Ele Price'!#REF!</definedName>
    <definedName name="epmis">#REF!</definedName>
    <definedName name="epoxypaint">#REF!</definedName>
    <definedName name="EPS">#REF!</definedName>
    <definedName name="EQ" hidden="1">{"PriceSheetNoMargins",#N/A,FALSE,"PriceSheet"}</definedName>
    <definedName name="eqfqEFRQEF" hidden="1">{"PriceSheetNoMargins",#N/A,FALSE,"PriceSheet"}</definedName>
    <definedName name="eqinput">[179]Equipment!$C$4:$F$1852</definedName>
    <definedName name="eqmis">#REF!</definedName>
    <definedName name="EqRound">'[87]Equipment Schedule'!$L$1</definedName>
    <definedName name="eqtotal">[179]Equipment!$F$4</definedName>
    <definedName name="eqtotalqty">[179]Equipment!$F$5:$F$1852</definedName>
    <definedName name="equip">#REF!</definedName>
    <definedName name="equip4">'[11]BILL 4 NEW multi'!$H$785</definedName>
    <definedName name="EQUIP70_CITY">#REF!</definedName>
    <definedName name="EQUIP70_ESC">#REF!</definedName>
    <definedName name="EQUIP70_HRS">#REF!</definedName>
    <definedName name="EQUIP70_LAB">#REF!</definedName>
    <definedName name="EQUIP70_MAT">#REF!</definedName>
    <definedName name="EQUIP70_OLD_CITY">#REF!</definedName>
    <definedName name="EQUIP70_OLD_ESC">#REF!</definedName>
    <definedName name="EQUIP70_OLD_PROD">#REF!</definedName>
    <definedName name="EQUIP70_OLD_WAGE">#REF!</definedName>
    <definedName name="EQUIP70_PROD">#REF!</definedName>
    <definedName name="EQUIP70_SC">#REF!</definedName>
    <definedName name="EQUIP70_SCHRS">#REF!</definedName>
    <definedName name="EQUIP70_TOT">#REF!</definedName>
    <definedName name="EQUIP70_WAGE">#REF!</definedName>
    <definedName name="Equipment">#REF!</definedName>
    <definedName name="Equipments_Tools">#REF!</definedName>
    <definedName name="EquipmentTool">#REF!</definedName>
    <definedName name="equity_ratio">#REF!</definedName>
    <definedName name="ERAGQERHTE" hidden="1">{"'Sheet1'!$A$1:$R$58"}</definedName>
    <definedName name="ERASE_DATA">'[180]Fcst Tool'!$N$5:$Y$5,'[180]Fcst Tool'!$N$12:$Y$12,'[180]Fcst Tool'!$N$14:$Y$14,'[180]Fcst Tool'!$N$16:$Y$16,'[180]Fcst Tool'!$N$21:$Y$21,'[180]Fcst Tool'!$N$28:$Y$28,'[180]Fcst Tool'!$N$30:$Y$30,'[180]Fcst Tool'!$N$36:$Y$36,'[180]Fcst Tool'!$N$38:$Y$38,'[180]Fcst Tool'!$N$40:$Y$40,'[180]Fcst Tool'!$N$42:$Y$42,'[180]Fcst Tool'!$N$49:$Y$49,'[180]Fcst Tool'!$N$55:$Y$55,'[180]Fcst Tool'!$N$70:$Y$70,'[180]Fcst Tool'!$N$77:$Y$77,'[180]Fcst Tool'!$N$79:$Y$79,'[180]Fcst Tool'!$N$81:$Y$81,'[180]Fcst Tool'!$N$83:$Y$83</definedName>
    <definedName name="ERASE_DATA1">'[180]Fcst Tool'!$N$85:$Y$85,'[180]Fcst Tool'!$N$90:$Y$90,'[180]Fcst Tool'!$N$102,'[180]Fcst Tool'!$N$102:$Y$102,'[180]Fcst Tool'!$N$104:$Y$104,'[180]Fcst Tool'!$N$106:$Y$106,'[180]Fcst Tool'!$N$108:$Y$108,'[180]Fcst Tool'!$N$110:$Y$110,'[180]Fcst Tool'!$N$112:$Y$112,'[180]Fcst Tool'!$N$118:$Y$118,'[180]Fcst Tool'!$N$120:$Y$120,'[180]Fcst Tool'!$N$122:$Y$122,'[180]Fcst Tool'!$N$124:$Y$124,'[180]Fcst Tool'!$N$126:$Y$126,'[180]Fcst Tool'!$N$128:$Y$128</definedName>
    <definedName name="ERASE_DATA2">'[180]Fcst Tool'!$N$137:$Y$137,'[180]Fcst Tool'!$N$145:$Y$145,'[180]Fcst Tool'!$N$150:$Y$150,'[180]Fcst Tool'!$N$152:$Y$152,'[180]Fcst Tool'!$N$161:$Y$161,'[180]Fcst Tool'!$N$166:$Y$166,'[180]Fcst Tool'!$N$168:$Y$168</definedName>
    <definedName name="erere">#REF!</definedName>
    <definedName name="ERGERGT" hidden="1">{"PriceSheetNoMargins",#N/A,FALSE,"PriceSheet"}</definedName>
    <definedName name="ergqeh" hidden="1">#REF!</definedName>
    <definedName name="ERGRG" hidden="1">#REF!</definedName>
    <definedName name="ERHGEQTHQ" hidden="1">{"'Sheet1'!$A$1:$R$58"}</definedName>
    <definedName name="ERHQETH" hidden="1">{"'Sheet1'!$A$1:$R$58"}</definedName>
    <definedName name="ERHTEQTHTEQH" hidden="1">{"'Sheet1'!$A$1:$R$58"}</definedName>
    <definedName name="erqfdaf">#REF!</definedName>
    <definedName name="erre" hidden="1">#REF!</definedName>
    <definedName name="Error.message.01">"Item not found in bill"</definedName>
    <definedName name="Error.message.02">"Item not defined"</definedName>
    <definedName name="ERRRT">#REF!</definedName>
    <definedName name="ERT" hidden="1">{"'Sheet1'!$L$16"}</definedName>
    <definedName name="ERVGASRAGSG" hidden="1">{"PriceSheetNoMargins",#N/A,FALSE,"PriceSheet"}</definedName>
    <definedName name="erwe">#REF!</definedName>
    <definedName name="eryu">#REF!</definedName>
    <definedName name="esc">#REF!</definedName>
    <definedName name="ESC_CABLE">#REF!</definedName>
    <definedName name="ESC_CNTL_VLVES">#REF!</definedName>
    <definedName name="ESC_COND">#REF!</definedName>
    <definedName name="ESC_DB">#REF!</definedName>
    <definedName name="ESC_OTHER">#REF!</definedName>
    <definedName name="ESC_TRAY">#REF!</definedName>
    <definedName name="EssAliasTable">"Forecast"</definedName>
    <definedName name="EssLatest">"Oct"</definedName>
    <definedName name="EssOptions">"A1100000000011000011001101020_020 00"</definedName>
    <definedName name="EssSamplingValue">100</definedName>
    <definedName name="EssServer">[133]Input!$B$8</definedName>
    <definedName name="EST_DATA">#REF!</definedName>
    <definedName name="estim">'[181]Cost summary'!#REF!</definedName>
    <definedName name="ESTIMATE">'[181]Cost summary'!#REF!</definedName>
    <definedName name="estimateb" hidden="1">{#N/A,#N/A,TRUE,"Cover";#N/A,#N/A,TRUE,"Conts";#N/A,#N/A,TRUE,"VOS";#N/A,#N/A,TRUE,"Warrington";#N/A,#N/A,TRUE,"Widnes"}</definedName>
    <definedName name="EstimateType">#REF!</definedName>
    <definedName name="Estimating_Click">#N/A</definedName>
    <definedName name="Estimating_Click_PDBT">#N/A</definedName>
    <definedName name="ET" hidden="1">{#N/A,#N/A,FALSE,"CCTV"}</definedName>
    <definedName name="ETGAETASDTGA" hidden="1">{"PriceSheetNoMargins",#N/A,FALSE,"PriceSheet"}</definedName>
    <definedName name="ETGHSETHDTHG" hidden="1">{"PriceSheetNoMargins",#N/A,FALSE,"PriceSheet"}</definedName>
    <definedName name="ethethyrw" hidden="1">{"PriceSheetNoMargins",#N/A,FALSE,"PriceSheet"}</definedName>
    <definedName name="etray">'[49]Ele Price'!$J$115</definedName>
    <definedName name="etraydis">'[49]Ele Price'!$J$116</definedName>
    <definedName name="ETYDYDY" hidden="1">{"PriceSheetNoMargins",#N/A,FALSE,"PriceSheet"}</definedName>
    <definedName name="EUHierarchy">[102]Sheet2!$D$1:$D$11</definedName>
    <definedName name="Eur_MFG">#REF!</definedName>
    <definedName name="Eur_SD">#REF!</definedName>
    <definedName name="EURAP_IDR.PTADJ">[69]Summary!$HC$181:$HC$182</definedName>
    <definedName name="EURAP_MYR.PTADJ">[69]Summary!$HC$183:$HC$184</definedName>
    <definedName name="EURAP_SGD.PTADJ">[69]Summary!$HC$185:$HC$186</definedName>
    <definedName name="euro_10">"$#REF!.$C$4"</definedName>
    <definedName name="euro_2">#REF!</definedName>
    <definedName name="euro_9">"$#REF!.$C$4"</definedName>
    <definedName name="eurusd">'[182]Cost Factor Sheet'!$C$12</definedName>
    <definedName name="euus">#REF!</definedName>
    <definedName name="ev">#REF!</definedName>
    <definedName name="EVMG">#REF!</definedName>
    <definedName name="EW">'[76]Ra  stair'!#REF!</definedName>
    <definedName name="ewe">[171]Sheet1!#REF!</definedName>
    <definedName name="ewfrytsudiuof">#REF!</definedName>
    <definedName name="ex">#REF!</definedName>
    <definedName name="ex_aex">'[99]AEX_IMPORTS_on 320'!#REF!</definedName>
    <definedName name="ex_joint">#REF!</definedName>
    <definedName name="ex_removal">'[71]Build Up rate'!$D$4</definedName>
    <definedName name="exc2m">#REF!</definedName>
    <definedName name="exc4m">#REF!</definedName>
    <definedName name="exc6m">#REF!</definedName>
    <definedName name="exc8m">#REF!</definedName>
    <definedName name="excacateonly">#REF!</definedName>
    <definedName name="excavate">'[134]SCH1'!$J$1</definedName>
    <definedName name="excavationremoval">#REF!</definedName>
    <definedName name="EXCEL">#REF!</definedName>
    <definedName name="Excel_BuiltIn__FilterDatabase_1">#N/A</definedName>
    <definedName name="Excel_BuiltIn__FilterDatabase_1_1">#REF!</definedName>
    <definedName name="Excel_BuiltIn__FilterDatabase_10">#REF!</definedName>
    <definedName name="Excel_BuiltIn__FilterDatabase_10_1">#REF!</definedName>
    <definedName name="Excel_BuiltIn__FilterDatabase_13">#REF!</definedName>
    <definedName name="Excel_BuiltIn__FilterDatabase_13_1">#REF!</definedName>
    <definedName name="Excel_BuiltIn__FilterDatabase_2_1">[183]G!#REF!</definedName>
    <definedName name="Excel_BuiltIn__FilterDatabase_2_1_1">[183]D!#REF!</definedName>
    <definedName name="Excel_BuiltIn__FilterDatabase_2_2">[183]G!#REF!</definedName>
    <definedName name="Excel_BuiltIn__FilterDatabase_2_3">#REF!</definedName>
    <definedName name="Excel_BuiltIn__FilterDatabase_3">#REF!</definedName>
    <definedName name="Excel_BuiltIn__FilterDatabase_3_1">[183]E!#REF!</definedName>
    <definedName name="Excel_BuiltIn__FilterDatabase_3_1_1">[183]E!#REF!</definedName>
    <definedName name="Excel_BuiltIn__FilterDatabase_3_2">[183]E!#REF!</definedName>
    <definedName name="Excel_BuiltIn__FilterDatabase_3_3">#REF!</definedName>
    <definedName name="Excel_BuiltIn__FilterDatabase_4">#REF!</definedName>
    <definedName name="Excel_BuiltIn__FilterDatabase_5">#REF!</definedName>
    <definedName name="Excel_BuiltIn__FilterDatabase_5_1">#REF!</definedName>
    <definedName name="Excel_BuiltIn__FilterDatabase_6">#REF!</definedName>
    <definedName name="Excel_BuiltIn__FilterDatabase_6_1">#REF!</definedName>
    <definedName name="Excel_BuiltIn_Criteria">#REF!</definedName>
    <definedName name="Excel_BuiltIn_Database">#REF!</definedName>
    <definedName name="Excel_BuiltIn_Extract">#REF!</definedName>
    <definedName name="Excel_BuiltIn_Print_Area_0___0___0">#REF!</definedName>
    <definedName name="Excel_BuiltIn_Print_Area_0___11">#REF!</definedName>
    <definedName name="Excel_BuiltIn_Print_Area_0___12">#REF!</definedName>
    <definedName name="Excel_BuiltIn_Print_Area_0___13">#REF!</definedName>
    <definedName name="Excel_BuiltIn_Print_Area_0___14">#REF!</definedName>
    <definedName name="Excel_BuiltIn_Print_Area_0___15">#REF!</definedName>
    <definedName name="Excel_BuiltIn_Print_Area_0___16">#REF!</definedName>
    <definedName name="Excel_BuiltIn_Print_Area_0___8">#REF!</definedName>
    <definedName name="Excel_BuiltIn_Print_Area_0___9">#REF!</definedName>
    <definedName name="Excel_BuiltIn_Print_Area_1_1___0">"$#REF!.$A$3:$E$2827"</definedName>
    <definedName name="Excel_BuiltIn_Print_Area_1_1___0___0">#REF!</definedName>
    <definedName name="Excel_BuiltIn_Print_Area_1_1_1_1">#REF!</definedName>
    <definedName name="Excel_BuiltIn_Print_Area_1_1_1_1_1">#REF!</definedName>
    <definedName name="Excel_BuiltIn_Print_Area_1_1_1_1_1_1">"$#REF!.$A$2"</definedName>
    <definedName name="Excel_BuiltIn_Print_Area_1_1_1_1_1_1_1_1_1">#REF!</definedName>
    <definedName name="Excel_BuiltIn_Print_Area_1_1_1_1_1_1_1_1_1_1">NA()</definedName>
    <definedName name="Excel_BuiltIn_Print_Area_1_1_1_1_1_1_1_1_1_1_1">"$#REF!.$A$3:$E$2829"</definedName>
    <definedName name="Excel_BuiltIn_Print_Area_1_1_1_1_1_1_1_1_1_1_1_1">"$#REF!.$#REF!$#REF!:$#REF!$#REF!"</definedName>
    <definedName name="Excel_BuiltIn_Print_Area_1_1_1_1_1_1_1_1_1_7">#REF!</definedName>
    <definedName name="Excel_BuiltIn_Print_Area_1_1_1_1_1_1_1_1_7">#REF!</definedName>
    <definedName name="Excel_BuiltIn_Print_Area_1_1_1_1_1_1_1_7">#REF!</definedName>
    <definedName name="Excel_BuiltIn_Print_Area_1_1_1_1_1_7">#REF!</definedName>
    <definedName name="Excel_BuiltIn_Print_Area_1_1_1_1_7">#REF!</definedName>
    <definedName name="Excel_BuiltIn_Print_Area_1_1_4">#REF!</definedName>
    <definedName name="Excel_BuiltIn_Print_Area_1_1_7">#REF!</definedName>
    <definedName name="Excel_BuiltIn_Print_Area_1_2">#REF!</definedName>
    <definedName name="Excel_BuiltIn_Print_Area_1_3">#REF!</definedName>
    <definedName name="Excel_BuiltIn_Print_Area_1_4">#REF!</definedName>
    <definedName name="Excel_BuiltIn_Print_Area_10">"$#REF!.$A$1:$H$73"</definedName>
    <definedName name="Excel_BuiltIn_Print_Area_10_1_1_4">#REF!</definedName>
    <definedName name="Excel_BuiltIn_Print_Area_10_1_1_7">"$#REF!.$A$1:$V$301"</definedName>
    <definedName name="Excel_BuiltIn_Print_Area_10_1_7">"$#REF!.$A$1:$V$242"</definedName>
    <definedName name="Excel_BuiltIn_Print_Area_11">#REF!</definedName>
    <definedName name="Excel_BuiltIn_Print_Area_11_1_1_1_1">#REF!</definedName>
    <definedName name="Excel_BuiltIn_Print_Area_11_1_1_1_1_1">#REF!</definedName>
    <definedName name="Excel_BuiltIn_Print_Area_11_1_1_1_1_1_1">#REF!</definedName>
    <definedName name="Excel_BuiltIn_Print_Area_11_1_4">#REF!</definedName>
    <definedName name="Excel_BuiltIn_Print_Area_11_1_7">#REF!</definedName>
    <definedName name="Excel_BuiltIn_Print_Area_12">#REF!</definedName>
    <definedName name="Excel_BuiltIn_Print_Area_12_2">#REF!</definedName>
    <definedName name="Excel_BuiltIn_Print_Area_12_2_1">#REF!</definedName>
    <definedName name="Excel_BuiltIn_Print_Area_12_3">#REF!</definedName>
    <definedName name="Excel_BuiltIn_Print_Area_12_4">#REF!</definedName>
    <definedName name="Excel_BuiltIn_Print_Area_13">"$#REF!.$A$1:$F$49"</definedName>
    <definedName name="Excel_BuiltIn_Print_Area_13_1_1_1_1_1_1">#REF!</definedName>
    <definedName name="Excel_BuiltIn_Print_Area_13_1_1_1_1_1_1_1">#REF!</definedName>
    <definedName name="Excel_BuiltIn_Print_Area_13_1_1_1_1_1_1_1_1">#REF!</definedName>
    <definedName name="Excel_BuiltIn_Print_Area_13_1_1_1_1_1_1_1_1_1">#REF!</definedName>
    <definedName name="Excel_BuiltIn_Print_Area_13_2">#REF!</definedName>
    <definedName name="Excel_BuiltIn_Print_Area_13_2_1">#REF!</definedName>
    <definedName name="Excel_BuiltIn_Print_Area_13_3">#REF!</definedName>
    <definedName name="Excel_BuiltIn_Print_Area_13_4">#REF!</definedName>
    <definedName name="Excel_BuiltIn_Print_Area_14">"$#REF!.$A$1:$H$49"</definedName>
    <definedName name="Excel_BuiltIn_Print_Area_14_1">"$#REF!.$A$1:$J$210"</definedName>
    <definedName name="Excel_BuiltIn_Print_Area_14_1_1_1">#REF!</definedName>
    <definedName name="Excel_BuiltIn_Print_Area_14_1_1_1_1">#REF!</definedName>
    <definedName name="Excel_BuiltIn_Print_Area_14_1_1_1_1_1">#REF!</definedName>
    <definedName name="Excel_BuiltIn_Print_Area_14_1_1_1_1_1_1">#REF!</definedName>
    <definedName name="Excel_BuiltIn_Print_Area_14_1_1_1_1_1_1_1">#REF!</definedName>
    <definedName name="Excel_BuiltIn_Print_Area_14_2">#REF!</definedName>
    <definedName name="Excel_BuiltIn_Print_Area_14_3">#REF!</definedName>
    <definedName name="Excel_BuiltIn_Print_Area_14_4">#REF!</definedName>
    <definedName name="Excel_BuiltIn_Print_Area_15">"$#REF!.$A$1:$H$75"</definedName>
    <definedName name="Excel_BuiltIn_Print_Area_15_1">#REF!</definedName>
    <definedName name="Excel_BuiltIn_Print_Area_15_1_1">#REF!</definedName>
    <definedName name="Excel_BuiltIn_Print_Area_15_1_1_1_1_1_1_1_1">#REF!</definedName>
    <definedName name="Excel_BuiltIn_Print_Area_15_1_1_1_1_1_1_1_1_1">#REF!</definedName>
    <definedName name="Excel_BuiltIn_Print_Area_16_1_1_1_1">#REF!</definedName>
    <definedName name="Excel_BuiltIn_Print_Area_16_1_1_1_1_1">#REF!</definedName>
    <definedName name="Excel_BuiltIn_Print_Area_16_1_1_1_1_1_1">#REF!</definedName>
    <definedName name="Excel_BuiltIn_Print_Area_16_1_1_1_1_1_1_1">#REF!</definedName>
    <definedName name="Excel_BuiltIn_Print_Area_16_1_1_1_1_1_1_1_1">#REF!</definedName>
    <definedName name="Excel_BuiltIn_Print_Area_16_1_1_1_1_1_1_1_1_1">#REF!</definedName>
    <definedName name="Excel_BuiltIn_Print_Area_16_1_1_1_1_1_1_1_1_1_1">#REF!</definedName>
    <definedName name="Excel_BuiltIn_Print_Area_16_2">"$#REF!.$A$1:$H$223"</definedName>
    <definedName name="Excel_BuiltIn_Print_Area_17_1_1_1">#REF!</definedName>
    <definedName name="Excel_BuiltIn_Print_Area_17_1_1_1_1">#REF!</definedName>
    <definedName name="Excel_BuiltIn_Print_Area_17_1_1_1_1_1">#REF!</definedName>
    <definedName name="Excel_BuiltIn_Print_Area_17_1_1_1_1_1_1">#REF!</definedName>
    <definedName name="Excel_BuiltIn_Print_Area_17_1_1_1_1_1_1_1">#REF!</definedName>
    <definedName name="Excel_BuiltIn_Print_Area_17_1_1_1_1_1_1_1_1">#REF!</definedName>
    <definedName name="Excel_BuiltIn_Print_Area_18_1_1">#REF!</definedName>
    <definedName name="Excel_BuiltIn_Print_Area_18_1_1_1">#REF!</definedName>
    <definedName name="Excel_BuiltIn_Print_Area_18_2">"$#REF!.$A$1:$J$78"</definedName>
    <definedName name="Excel_BuiltIn_Print_Area_19_1_1">#REF!</definedName>
    <definedName name="Excel_BuiltIn_Print_Area_19_1_1_1">#REF!</definedName>
    <definedName name="Excel_BuiltIn_Print_Area_19_1_1_1_1">#REF!</definedName>
    <definedName name="Excel_BuiltIn_Print_Area_19_1_1_1_1_1">#REF!</definedName>
    <definedName name="Excel_BuiltIn_Print_Area_19_1_1_1_1_1_1">#REF!</definedName>
    <definedName name="Excel_BuiltIn_Print_Area_19_1_1_1_1_1_1_1">#REF!</definedName>
    <definedName name="Excel_BuiltIn_Print_Area_19_1_1_1_1_1_1_1_1">#REF!</definedName>
    <definedName name="Excel_BuiltIn_Print_Area_19_2">"$#REF!.$A$1:$J$810"</definedName>
    <definedName name="Excel_BuiltIn_Print_Area_2___0">#REF!</definedName>
    <definedName name="Excel_BuiltIn_Print_Area_2_1_1_1_1_1">"$#REF!.$A$1:$J$13"</definedName>
    <definedName name="Excel_BuiltIn_Print_Area_2_1_1_1_1_1_1">NA()</definedName>
    <definedName name="Excel_BuiltIn_Print_Area_2_1_7">#REF!</definedName>
    <definedName name="Excel_BuiltIn_Print_Area_2_2">#REF!</definedName>
    <definedName name="Excel_BuiltIn_Print_Area_2_3">#REF!</definedName>
    <definedName name="Excel_BuiltIn_Print_Area_2_4">#REF!</definedName>
    <definedName name="Excel_BuiltIn_Print_Area_20_1">#REF!</definedName>
    <definedName name="Excel_BuiltIn_Print_Area_20_1_1">#REF!</definedName>
    <definedName name="Excel_BuiltIn_Print_Area_20_1_1_1">#REF!</definedName>
    <definedName name="Excel_BuiltIn_Print_Area_21_1">#REF!</definedName>
    <definedName name="Excel_BuiltIn_Print_Area_21_2">"$#REF!.$A$1:$J$37"</definedName>
    <definedName name="Excel_BuiltIn_Print_Area_22_1">#REF!</definedName>
    <definedName name="Excel_BuiltIn_Print_Area_22_1_1">#REF!</definedName>
    <definedName name="Excel_BuiltIn_Print_Area_22_2">"$#REF!.$A$1:$E$52"</definedName>
    <definedName name="Excel_BuiltIn_Print_Area_23">"$#REF!.$A$1:$J$170"</definedName>
    <definedName name="Excel_BuiltIn_Print_Area_23_1">#REF!</definedName>
    <definedName name="Excel_BuiltIn_Print_Area_23_1_1">#REF!</definedName>
    <definedName name="Excel_BuiltIn_Print_Area_23_2">"$#REF!.$A$1:$J$170"</definedName>
    <definedName name="Excel_BuiltIn_Print_Area_24">"$#REF!.$A$1:$J$132"</definedName>
    <definedName name="Excel_BuiltIn_Print_Area_24_1">#REF!</definedName>
    <definedName name="Excel_BuiltIn_Print_Area_24_1_1">#REF!</definedName>
    <definedName name="Excel_BuiltIn_Print_Area_24_1_1_1">#REF!</definedName>
    <definedName name="Excel_BuiltIn_Print_Area_24_1_1_1_1">#REF!</definedName>
    <definedName name="Excel_BuiltIn_Print_Area_24_2">"$#REF!.$A$1:$J$132"</definedName>
    <definedName name="Excel_BuiltIn_Print_Area_25">"$#REF!.$A$1:$J$330"</definedName>
    <definedName name="Excel_BuiltIn_Print_Area_25_1">#REF!</definedName>
    <definedName name="Excel_BuiltIn_Print_Area_25_1_1">#REF!</definedName>
    <definedName name="Excel_BuiltIn_Print_Area_25_1_1_1">#REF!</definedName>
    <definedName name="Excel_BuiltIn_Print_Area_25_1_1_1_1">#REF!</definedName>
    <definedName name="Excel_BuiltIn_Print_Area_25_1_1_1_1_1">#REF!</definedName>
    <definedName name="Excel_BuiltIn_Print_Area_25_1_1_1_1_1_1">#REF!</definedName>
    <definedName name="Excel_BuiltIn_Print_Area_25_1_1_1_1_1_1_1">#REF!</definedName>
    <definedName name="Excel_BuiltIn_Print_Area_25_2">"$#REF!.$A$1:$J$330"</definedName>
    <definedName name="Excel_BuiltIn_Print_Area_26">"$#REF!.$A$1:$I$56"</definedName>
    <definedName name="Excel_BuiltIn_Print_Area_26_1">NA()</definedName>
    <definedName name="Excel_BuiltIn_Print_Area_26_2">"$#REF!.$A$1:$I$56"</definedName>
    <definedName name="Excel_BuiltIn_Print_Area_27">"$#REF!.$A$1:$I$96"</definedName>
    <definedName name="Excel_BuiltIn_Print_Area_27_1">#REF!</definedName>
    <definedName name="Excel_BuiltIn_Print_Area_27_1_1">#REF!</definedName>
    <definedName name="Excel_BuiltIn_Print_Area_27_1_1_1">#REF!</definedName>
    <definedName name="Excel_BuiltIn_Print_Area_27_2">"$#REF!.$A$1:$I$96"</definedName>
    <definedName name="Excel_BuiltIn_Print_Area_28">NA()</definedName>
    <definedName name="Excel_BuiltIn_Print_Area_29">"$#REF!.$A$1:$H$62"</definedName>
    <definedName name="Excel_BuiltIn_Print_Area_3_1_1_1_1_1">"$#REF!.$A$13:$O$80"</definedName>
    <definedName name="Excel_BuiltIn_Print_Area_3_1_1_1_1_1_1">"$#REF!.$A$14:$N$104"</definedName>
    <definedName name="Excel_BuiltIn_Print_Area_3_1_1_1_1_1_1_1">"$#REF!.$A$13:$O$81"</definedName>
    <definedName name="Excel_BuiltIn_Print_Area_3_1_1_1_1_1_1_1_1">"$#REF!.$A$1:$O$81"</definedName>
    <definedName name="Excel_BuiltIn_Print_Area_3_1_1_1_7">#REF!</definedName>
    <definedName name="Excel_BuiltIn_Print_Area_3_1_1_7">#REF!</definedName>
    <definedName name="Excel_BuiltIn_Print_Area_3_1_7">#REF!</definedName>
    <definedName name="Excel_BuiltIn_Print_Area_33">#REF!</definedName>
    <definedName name="Excel_BuiltIn_Print_Area_34">#REF!</definedName>
    <definedName name="Excel_BuiltIn_Print_Area_35">#REF!</definedName>
    <definedName name="Excel_BuiltIn_Print_Area_36">#REF!</definedName>
    <definedName name="Excel_BuiltIn_Print_Area_37">#REF!</definedName>
    <definedName name="Excel_BuiltIn_Print_Area_38">#REF!</definedName>
    <definedName name="Excel_BuiltIn_Print_Area_39">#REF!</definedName>
    <definedName name="Excel_BuiltIn_Print_Area_4">#REF!</definedName>
    <definedName name="Excel_BuiltIn_Print_Area_4___0">#REF!</definedName>
    <definedName name="Excel_BuiltIn_Print_Area_4_1_1_1_1_1_1_1">"$#REF!.$A$1:$J$271"</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_1_1_1_1_1_1_1_1">#REF!</definedName>
    <definedName name="Excel_BuiltIn_Print_Area_4_1_1_1_1_1_1_1_1_1_1_1_1_1_1">#REF!</definedName>
    <definedName name="Excel_BuiltIn_Print_Area_4_1_1_1_1_1_7">#REF!</definedName>
    <definedName name="Excel_BuiltIn_Print_Area_4_1_1_1_1_4">#REF!</definedName>
    <definedName name="Excel_BuiltIn_Print_Area_4_1_1_1_1_7">"$#REF!.$A$1:$V$1669"</definedName>
    <definedName name="Excel_BuiltIn_Print_Area_4_1_1_1_4">'[184]S2'!#REF!</definedName>
    <definedName name="Excel_BuiltIn_Print_Area_4_1_1_1_7">#REF!</definedName>
    <definedName name="Excel_BuiltIn_Print_Area_4_1_1_2">#REF!</definedName>
    <definedName name="Excel_BuiltIn_Print_Area_4_1_1_2_1">#REF!</definedName>
    <definedName name="Excel_BuiltIn_Print_Area_4_1_1_3">#REF!</definedName>
    <definedName name="Excel_BuiltIn_Print_Area_4_1_1_4">#REF!</definedName>
    <definedName name="Excel_BuiltIn_Print_Area_4_1_1_7">#REF!</definedName>
    <definedName name="Excel_BuiltIn_Print_Area_4_1_4">'[184]S2'!#REF!</definedName>
    <definedName name="Excel_BuiltIn_Print_Area_4_1_7">#REF!</definedName>
    <definedName name="Excel_BuiltIn_Print_Area_4_2">#REF!</definedName>
    <definedName name="Excel_BuiltIn_Print_Area_40">#REF!</definedName>
    <definedName name="Excel_BuiltIn_Print_Area_41">#REF!</definedName>
    <definedName name="Excel_BuiltIn_Print_Area_42">#REF!</definedName>
    <definedName name="Excel_BuiltIn_Print_Area_42_1">#REF!</definedName>
    <definedName name="Excel_BuiltIn_Print_Area_43">#REF!</definedName>
    <definedName name="Excel_BuiltIn_Print_Area_43_1">#REF!</definedName>
    <definedName name="Excel_BuiltIn_Print_Area_44">#REF!</definedName>
    <definedName name="Excel_BuiltIn_Print_Area_45">#REF!</definedName>
    <definedName name="Excel_BuiltIn_Print_Area_46">#REF!</definedName>
    <definedName name="Excel_BuiltIn_Print_Area_47">#REF!</definedName>
    <definedName name="Excel_BuiltIn_Print_Area_48">#REF!</definedName>
    <definedName name="Excel_BuiltIn_Print_Area_49">#REF!</definedName>
    <definedName name="Excel_BuiltIn_Print_Area_5">#REF!</definedName>
    <definedName name="Excel_BuiltIn_Print_Area_5_1_1_1">#REF!</definedName>
    <definedName name="Excel_BuiltIn_Print_Area_5_1_1_1_1">"$#REF!.$A$1:$J$208"</definedName>
    <definedName name="Excel_BuiltIn_Print_Area_5_1_1_1_1_1">"$#REF!.$A$1:$H$71"</definedName>
    <definedName name="Excel_BuiltIn_Print_Area_5_1_1_1_1_1_1">#REF!</definedName>
    <definedName name="Excel_BuiltIn_Print_Area_5_1_1_1_1_1_1_1">NA()</definedName>
    <definedName name="Excel_BuiltIn_Print_Area_5_1_1_1_1_1_1_1_1">"$#REF!.$A$31:$E$2827"</definedName>
    <definedName name="Excel_BuiltIn_Print_Area_5_1_1_1_1_1_1_1_1_1">"$#REF!.$A$3:$E$2824"</definedName>
    <definedName name="Excel_BuiltIn_Print_Area_5_1_1_1_1_1_1_1_1_1_1">NA()</definedName>
    <definedName name="Excel_BuiltIn_Print_Area_5_1_1_6">#REF!</definedName>
    <definedName name="Excel_BuiltIn_Print_Area_5_1_6">#REF!</definedName>
    <definedName name="Excel_BuiltIn_Print_Area_5_2">#REF!</definedName>
    <definedName name="Excel_BuiltIn_Print_Area_50">#REF!</definedName>
    <definedName name="Excel_BuiltIn_Print_Area_6">#REF!</definedName>
    <definedName name="Excel_BuiltIn_Print_Area_6_1">"$#REF!.$A$1:$J$73"</definedName>
    <definedName name="Excel_BuiltIn_Print_Area_6_2">#REF!</definedName>
    <definedName name="Excel_BuiltIn_Print_Area_7">#REF!</definedName>
    <definedName name="Excel_BuiltIn_Print_Area_7_1_1_1">"$#REF!.$A$1:$H$73"</definedName>
    <definedName name="Excel_BuiltIn_Print_Area_7_1_1_1_1">"$#REF!.$A$1:$J$65"</definedName>
    <definedName name="Excel_BuiltIn_Print_Area_7_1_1_1_1_1_1_1_1">#REF!</definedName>
    <definedName name="Excel_BuiltIn_Print_Area_7_1_1_1_1_1_1_1_1_1">"$#REF!.$A$1:$E$2609"</definedName>
    <definedName name="Excel_BuiltIn_Print_Area_7_1_1_1_1_1_1_1_1_1_1">"$#REF!.$A$1:$E$2421"</definedName>
    <definedName name="Excel_BuiltIn_Print_Area_7_1_1_1_1_1_1_1_1_1_1_1">"$#REF!.$A$1:$J$65"</definedName>
    <definedName name="Excel_BuiltIn_Print_Area_7_1_1_1_1_1_1_1_1_1_1_1_1">"$#REF!.$A$1:$E$2609"</definedName>
    <definedName name="Excel_BuiltIn_Print_Area_7_1_1_1_1_1_1_1_1_1_1_1_1_1">"$#REF!.$A$1:$J$65"</definedName>
    <definedName name="Excel_BuiltIn_Print_Area_7_1_1_1_7">#REF!</definedName>
    <definedName name="Excel_BuiltIn_Print_Area_7_1_1_7">#REF!</definedName>
    <definedName name="Excel_BuiltIn_Print_Area_7_1_7">#REF!</definedName>
    <definedName name="Excel_BuiltIn_Print_Area_8">#REF!</definedName>
    <definedName name="Excel_BuiltIn_Print_Area_8_1_1_1_1_1_1_7">#REF!</definedName>
    <definedName name="Excel_BuiltIn_Print_Area_8_1_1_1_1_1_7">#REF!</definedName>
    <definedName name="Excel_BuiltIn_Print_Area_8_1_1_1_1_7">#REF!</definedName>
    <definedName name="Excel_BuiltIn_Print_Area_8_1_1_1_7">#REF!</definedName>
    <definedName name="Excel_BuiltIn_Print_Area_8_1_1_4">#REF!</definedName>
    <definedName name="Excel_BuiltIn_Print_Area_8_1_1_7">#REF!</definedName>
    <definedName name="Excel_BuiltIn_Print_Area_8_1_4">#REF!</definedName>
    <definedName name="Excel_BuiltIn_Print_Area_8_1_7">#REF!</definedName>
    <definedName name="Excel_BuiltIn_Print_Area_9">#REF!</definedName>
    <definedName name="Excel_BuiltIn_Print_Area_9_1_1_1_1">"$#REF!.$A$1:$E$221"</definedName>
    <definedName name="Excel_BuiltIn_Print_Area_9_1_1_1_1_1">"$#REF!.$A$1:$J$64"</definedName>
    <definedName name="Excel_BuiltIn_Print_Area_9_1_4">#REF!</definedName>
    <definedName name="Excel_BuiltIn_Print_Area_9_1_7">#REF!</definedName>
    <definedName name="Excel_BuiltIn_Print_Titles_0">#REF!</definedName>
    <definedName name="Excel_BuiltIn_Print_Titles_1_1_1_1">#REF!</definedName>
    <definedName name="Excel_BuiltIn_Print_Titles_1_1_1_1_1">#REF!</definedName>
    <definedName name="Excel_BuiltIn_Print_Titles_1_1_1_1_1_1">#REF!</definedName>
    <definedName name="Excel_BuiltIn_Print_Titles_1_1_1_1_1_1_1">"(NA()~NA())"</definedName>
    <definedName name="Excel_BuiltIn_Print_Titles_1_1_1_1_1_1_1_7">#REF!</definedName>
    <definedName name="Excel_BuiltIn_Print_Titles_1_1_1_1_1_1_7">#REF!</definedName>
    <definedName name="Excel_BuiltIn_Print_Titles_1_1_1_1_1_7">#REF!</definedName>
    <definedName name="Excel_BuiltIn_Print_Titles_1_1_7">#REF!</definedName>
    <definedName name="Excel_BuiltIn_Print_Titles_1_2">#REF!</definedName>
    <definedName name="Excel_BuiltIn_Print_Titles_1_2_1">#REF!</definedName>
    <definedName name="Excel_BuiltIn_Print_Titles_1_3">#REF!</definedName>
    <definedName name="Excel_BuiltIn_Print_Titles_1_4">#REF!</definedName>
    <definedName name="Excel_BuiltIn_Print_Titles_10_1">#REF!</definedName>
    <definedName name="Excel_BuiltIn_Print_Titles_10_1_1_1_1">"$#REF!.$A$1:$AMJ$9"</definedName>
    <definedName name="Excel_BuiltIn_Print_Titles_10_1_1_1_1_1">"$#REF!.$A$1:$AMJ$14"</definedName>
    <definedName name="Excel_BuiltIn_Print_Titles_10_1_1_1_1_1_1">"$#REF!.$A$1:$IR$14"</definedName>
    <definedName name="Excel_BuiltIn_Print_Titles_10_1_1_1_1_1_1_1">"$#REF!.$A$1:$IH$14"</definedName>
    <definedName name="Excel_BuiltIn_Print_Titles_10_1_1_1_1_7">"$#REF!.$A$1:$IH$14"</definedName>
    <definedName name="Excel_BuiltIn_Print_Titles_10_1_1_1_7">"$#REF!.$A$1:$IR$14"</definedName>
    <definedName name="Excel_BuiltIn_Print_Titles_10_1_1_7">"$#REF!.$A$1:$AMJ$14"</definedName>
    <definedName name="Excel_BuiltIn_Print_Titles_10_1_7">"$#REF!.$A$1:$AMJ$14"</definedName>
    <definedName name="Excel_BuiltIn_Print_Titles_10_2">#REF!</definedName>
    <definedName name="Excel_BuiltIn_Print_Titles_10_2_1">#REF!</definedName>
    <definedName name="Excel_BuiltIn_Print_Titles_10_3">#REF!</definedName>
    <definedName name="Excel_BuiltIn_Print_Titles_10_4">#REF!</definedName>
    <definedName name="Excel_BuiltIn_Print_Titles_11">#REF!</definedName>
    <definedName name="Excel_BuiltIn_Print_Titles_11_1">#REF!</definedName>
    <definedName name="Excel_BuiltIn_Print_Titles_11_1_1_1">"$#REF!.$A$1:$AMJ$14"</definedName>
    <definedName name="Excel_BuiltIn_Print_Titles_11_1_1_7">"$#REF!.$A$1:$AMJ$14"</definedName>
    <definedName name="Excel_BuiltIn_Print_Titles_11_1_7">#REF!</definedName>
    <definedName name="Excel_BuiltIn_Print_Titles_11_2">#REF!</definedName>
    <definedName name="Excel_BuiltIn_Print_Titles_11_3">#REF!</definedName>
    <definedName name="Excel_BuiltIn_Print_Titles_11_4">#REF!</definedName>
    <definedName name="Excel_BuiltIn_Print_Titles_12">NA()</definedName>
    <definedName name="Excel_BuiltIn_Print_Titles_12_1">"$#REF!.$A$1:$AMJ$9"</definedName>
    <definedName name="Excel_BuiltIn_Print_Titles_12_1_1_1_1">#REF!</definedName>
    <definedName name="Excel_BuiltIn_Print_Titles_13_1_1">"$#REF!.$A$1:$AMJ$9"</definedName>
    <definedName name="Excel_BuiltIn_Print_Titles_14">"$#REF!.$A$1:$AMJ$9"</definedName>
    <definedName name="Excel_BuiltIn_Print_Titles_14_1">"$#REF!.$A$1:$AMJ$9"</definedName>
    <definedName name="Excel_BuiltIn_Print_Titles_15">"$#REF!.$A$1:$AMJ$9"</definedName>
    <definedName name="Excel_BuiltIn_Print_Titles_15_1">#REF!</definedName>
    <definedName name="Excel_BuiltIn_Print_Titles_15_1_1">#REF!</definedName>
    <definedName name="Excel_BuiltIn_Print_Titles_15_2">"$#REF!.$A$1:$AMJ$9"</definedName>
    <definedName name="Excel_BuiltIn_Print_Titles_16">"$#REF!.$A$1:$IU$13"</definedName>
    <definedName name="Excel_BuiltIn_Print_Titles_16_1">"$#REF!.$A$1:$AMF$9"</definedName>
    <definedName name="Excel_BuiltIn_Print_Titles_16_1_1">"$#REF!.$A$1:$AMF$9"</definedName>
    <definedName name="Excel_BuiltIn_Print_Titles_16_2">"$#REF!.$A$1:$AMF$9"</definedName>
    <definedName name="Excel_BuiltIn_Print_Titles_17_1">#REF!</definedName>
    <definedName name="Excel_BuiltIn_Print_Titles_17_1_1">#REF!</definedName>
    <definedName name="Excel_BuiltIn_Print_Titles_17_2">"$#REF!.$A$1:$AMF$9"</definedName>
    <definedName name="Excel_BuiltIn_Print_Titles_18">"$#REF!.$A$1:$AMJ$9"</definedName>
    <definedName name="Excel_BuiltIn_Print_Titles_18_1">#REF!</definedName>
    <definedName name="Excel_BuiltIn_Print_Titles_18_1_1">#REF!</definedName>
    <definedName name="Excel_BuiltIn_Print_Titles_18_1_1_1">#REF!</definedName>
    <definedName name="Excel_BuiltIn_Print_Titles_18_2">"$#REF!.$A$1:$AMJ$9"</definedName>
    <definedName name="Excel_BuiltIn_Print_Titles_19_1">#REF!</definedName>
    <definedName name="Excel_BuiltIn_Print_Titles_20">"$#REF!.$A$1:$AMJ$9"</definedName>
    <definedName name="Excel_BuiltIn_Print_Titles_20_1">#REF!</definedName>
    <definedName name="Excel_BuiltIn_Print_Titles_21">"$#REF!.$A$1:$AMJ$9"</definedName>
    <definedName name="Excel_BuiltIn_Print_Titles_21_1">#REF!</definedName>
    <definedName name="Excel_BuiltIn_Print_Titles_22">"$#REF!.$#REF!$#REF!:$#REF!$#REF!"</definedName>
    <definedName name="Excel_BuiltIn_Print_Titles_22_1">#REF!</definedName>
    <definedName name="Excel_BuiltIn_Print_Titles_22_1_1">#REF!</definedName>
    <definedName name="Excel_BuiltIn_Print_Titles_22_1_1_1">#REF!</definedName>
    <definedName name="Excel_BuiltIn_Print_Titles_23">"$#REF!.$A$1:$AMJ$9"</definedName>
    <definedName name="Excel_BuiltIn_Print_Titles_23_1">#REF!</definedName>
    <definedName name="Excel_BuiltIn_Print_Titles_23_1_1">#REF!</definedName>
    <definedName name="Excel_BuiltIn_Print_Titles_24">"$#REF!.$A$1:$AMJ$9"</definedName>
    <definedName name="Excel_BuiltIn_Print_Titles_24_1">#REF!</definedName>
    <definedName name="Excel_BuiltIn_Print_Titles_24_1_1">#REF!</definedName>
    <definedName name="Excel_BuiltIn_Print_Titles_25">"$#REF!.$A$1:$AMJ$9"</definedName>
    <definedName name="Excel_BuiltIn_Print_Titles_25_1">#REF!</definedName>
    <definedName name="Excel_BuiltIn_Print_Titles_26">"$#REF!.$A$1:$AMJ$9"</definedName>
    <definedName name="Excel_BuiltIn_Print_Titles_26_1">#REF!</definedName>
    <definedName name="Excel_BuiltIn_Print_Titles_27_1">#REF!</definedName>
    <definedName name="Excel_BuiltIn_Print_Titles_3_1_1_1">"$#REF!.$A$1:$AMJ$12"</definedName>
    <definedName name="Excel_BuiltIn_Print_Titles_3_1_1_1_1">"$#REF!.$A$1:$IS$12"</definedName>
    <definedName name="Excel_BuiltIn_Print_Titles_3_1_1_1_1_1">"$#REF!.$A$1:$FB$12"</definedName>
    <definedName name="Excel_BuiltIn_Print_Titles_3_1_1_1_1_1_1">"$#REF!.$A$1:$IO$12"</definedName>
    <definedName name="Excel_BuiltIn_Print_Titles_3_1_1_1_1_1_1_1">"(NA()~NA())"</definedName>
    <definedName name="Excel_BuiltIn_Print_Titles_3_1_1_1_1_1_1_1_1">"$#REF!.$A$1:$AMJ$9"</definedName>
    <definedName name="Excel_BuiltIn_Print_Titles_3_1_1_7">#REF!</definedName>
    <definedName name="Excel_BuiltIn_Print_Titles_33">#REF!</definedName>
    <definedName name="Excel_BuiltIn_Print_Titles_34">#REF!</definedName>
    <definedName name="Excel_BuiltIn_Print_Titles_35">#REF!</definedName>
    <definedName name="Excel_BuiltIn_Print_Titles_36">#REF!</definedName>
    <definedName name="Excel_BuiltIn_Print_Titles_37">#REF!</definedName>
    <definedName name="Excel_BuiltIn_Print_Titles_38">#REF!</definedName>
    <definedName name="Excel_BuiltIn_Print_Titles_39">#REF!</definedName>
    <definedName name="Excel_BuiltIn_Print_Titles_4_1_1_1">"$#REF!.$A$1:$IR$12"</definedName>
    <definedName name="Excel_BuiltIn_Print_Titles_4_1_1_1_1">"$#REF!.$A$1:$FB$12"</definedName>
    <definedName name="Excel_BuiltIn_Print_Titles_4_1_1_1_1_1">"$#REF!.$A$1:$IL$11"</definedName>
    <definedName name="Excel_BuiltIn_Print_Titles_4_1_1_1_1_1_1">"$#REF!.$A$1:$HE$8"</definedName>
    <definedName name="Excel_BuiltIn_Print_Titles_4_1_1_1_1_1_1_1">"$#REF!.$A$1:$GW$8"</definedName>
    <definedName name="Excel_BuiltIn_Print_Titles_4_1_1_1_1_1_1_1_1_7">#REF!</definedName>
    <definedName name="Excel_BuiltIn_Print_Titles_4_1_1_1_7">#REF!</definedName>
    <definedName name="Excel_BuiltIn_Print_Titles_4_1_1_4">'[184]S2'!#REF!</definedName>
    <definedName name="Excel_BuiltIn_Print_Titles_4_1_4">'[184]S2'!#REF!</definedName>
    <definedName name="Excel_BuiltIn_Print_Titles_4_2">#REF!</definedName>
    <definedName name="Excel_BuiltIn_Print_Titles_40">#REF!</definedName>
    <definedName name="Excel_BuiltIn_Print_Titles_41">#REF!</definedName>
    <definedName name="Excel_BuiltIn_Print_Titles_42">#REF!</definedName>
    <definedName name="Excel_BuiltIn_Print_Titles_42_1">#REF!</definedName>
    <definedName name="Excel_BuiltIn_Print_Titles_43">#REF!</definedName>
    <definedName name="Excel_BuiltIn_Print_Titles_43_1">#REF!</definedName>
    <definedName name="Excel_BuiltIn_Print_Titles_44">#REF!</definedName>
    <definedName name="Excel_BuiltIn_Print_Titles_45">#REF!</definedName>
    <definedName name="Excel_BuiltIn_Print_Titles_46">#REF!</definedName>
    <definedName name="Excel_BuiltIn_Print_Titles_47">#REF!</definedName>
    <definedName name="Excel_BuiltIn_Print_Titles_48">#REF!</definedName>
    <definedName name="Excel_BuiltIn_Print_Titles_49">#REF!</definedName>
    <definedName name="Excel_BuiltIn_Print_Titles_5_1_1_1_1_1">NA()</definedName>
    <definedName name="Excel_BuiltIn_Print_Titles_5_1_1_1_1_1_1_1">"$#REF!.$A$3:$E$30"</definedName>
    <definedName name="Excel_BuiltIn_Print_Titles_5_1_1_1_1_1_1_1_1">NA()</definedName>
    <definedName name="Excel_BuiltIn_Print_Titles_5_1_6">#REF!</definedName>
    <definedName name="Excel_BuiltIn_Print_Titles_5_2">#REF!</definedName>
    <definedName name="Excel_BuiltIn_Print_Titles_50">#REF!</definedName>
    <definedName name="Excel_BuiltIn_Print_Titles_6_2">#REF!</definedName>
    <definedName name="Excel_BuiltIn_Print_Titles_7_1_1">"$#REF!.$A$1:$AMJ$9"</definedName>
    <definedName name="Excel_BuiltIn_Print_Titles_7_1_1_1">"$#REF!.$A$1:$E$29"</definedName>
    <definedName name="Excel_BuiltIn_Print_Titles_7_1_1_1_1">"$#REF!.$A$1:$E$29"</definedName>
    <definedName name="Excel_BuiltIn_Print_Titles_7_1_1_1_1_1">#REF!</definedName>
    <definedName name="Excel_BuiltIn_Print_Titles_7_1_1_1_1_1_1">"$#REF!.$A$1:$GO$49"</definedName>
    <definedName name="Excel_BuiltIn_Print_Titles_7_1_1_1_1_7">#REF!</definedName>
    <definedName name="Excel_BuiltIn_Print_Titles_7_1_1_1_7">#REF!</definedName>
    <definedName name="Excel_BuiltIn_Print_Titles_7_1_1_7">#REF!</definedName>
    <definedName name="Excel_BuiltIn_Print_Titles_7_2">#REF!</definedName>
    <definedName name="Excel_BuiltIn_Print_Titles_8_1_1">"$#REF!.$A$3:$E$29"</definedName>
    <definedName name="Excel_BuiltIn_Print_Titles_8_1_1_1">"$#REF!.$A$3:$E$29"</definedName>
    <definedName name="Excel_BuiltIn_Print_Titles_8_1_1_1_1">#REF!</definedName>
    <definedName name="Excel_BuiltIn_Print_Titles_8_1_1_1_1_1">NA()</definedName>
    <definedName name="Excel_BuiltIn_Print_Titles_8_1_1_1_1_1_1">"$#REF!.$A$1:$AMJ$9"</definedName>
    <definedName name="Excel_BuiltIn_Print_Titles_8_1_1_1_1_1_1_1">"$#REF!.$A$1:$AMJ$9"</definedName>
    <definedName name="Excel_BuiltIn_Print_Titles_8_1_7">#REF!</definedName>
    <definedName name="Excel_BuiltIn_Print_Titles_8_2">#REF!</definedName>
    <definedName name="Excel_BuiltIn_Print_Titles_8_2_1">#REF!</definedName>
    <definedName name="Excel_BuiltIn_Print_Titles_8_3">#REF!</definedName>
    <definedName name="Excel_BuiltIn_Print_Titles_8_4">#REF!</definedName>
    <definedName name="Excel_BuiltIn_Print_Titles_9_1_1_1">"$#REF!.$A$1:$AMJ$9"</definedName>
    <definedName name="Excel_BuiltIn_Print_Titles_9_1_1_1_1">"$#REF!.$A$1:$IH$14"</definedName>
    <definedName name="Excel_BuiltIn_Print_Titles_9_1_1_1_1_1">"$#REF!.$A$1:$AMJ$9"</definedName>
    <definedName name="Excel_BuiltIn_Print_Titles_9_1_7">#REF!</definedName>
    <definedName name="Excel_BuiltIn_Print_Titles_9_2">#REF!</definedName>
    <definedName name="Excel_BuiltIn_Print_Titles_9_2_1">#REF!</definedName>
    <definedName name="Excel_BuiltIn_Print_Titles_9_3">#REF!</definedName>
    <definedName name="Excel_BuiltIn_Print_Titles_9_4">#REF!</definedName>
    <definedName name="Excel_BuiltIn_Sheet_Title_1">"Sheet1"</definedName>
    <definedName name="Excel_BuiltIn_Sheet_Title_2">"Sheet2"</definedName>
    <definedName name="Excel_BuiltIn_Sheet_Title_3">"Sheet3"</definedName>
    <definedName name="excf">#REF!</definedName>
    <definedName name="exch">[129]Factors!$C$10</definedName>
    <definedName name="ExchRateTable">#REF!</definedName>
    <definedName name="ExciseDuty">#REF!</definedName>
    <definedName name="ExcnDrain">#N/A</definedName>
    <definedName name="ExcnFillNoShore">#N/A</definedName>
    <definedName name="ExcnFillWithShore">#N/A</definedName>
    <definedName name="ExcRemoveUnsuitable">#N/A</definedName>
    <definedName name="excrock">#REF!</definedName>
    <definedName name="ExecSummary">[28]!ExecSummary</definedName>
    <definedName name="EXHK">#REF!</definedName>
    <definedName name="exinv_elec">#REF!</definedName>
    <definedName name="exinv_mech">#REF!</definedName>
    <definedName name="exlen3">#REF!</definedName>
    <definedName name="EXP_COND_G2">#REF!</definedName>
    <definedName name="EXP_COND_L2">#REF!</definedName>
    <definedName name="Exp_Selling">#REF!</definedName>
    <definedName name="expansionjoint">#REF!</definedName>
    <definedName name="Expat_Perm">'[29]Raw Data'!$A$1:$O$52</definedName>
    <definedName name="Expat_Temp">'[29]Raw Data'!$A$1:$O$50</definedName>
    <definedName name="EXPENSE">#REF!</definedName>
    <definedName name="EXPENSES">#REF!</definedName>
    <definedName name="Expl_forecast_1st_yr">#REF!</definedName>
    <definedName name="Expl_forecast_2nd_yr">#REF!</definedName>
    <definedName name="Expl_forecast_3rd_yr">#REF!</definedName>
    <definedName name="explast">#REF!</definedName>
    <definedName name="ExportFileName">#REF!</definedName>
    <definedName name="ExportSheetName">#REF!</definedName>
    <definedName name="ExRatio">[185]SubmitCal!$L$11</definedName>
    <definedName name="EXRMB">#REF!</definedName>
    <definedName name="exrte">[88]AEX_IMPORTS!$R$33</definedName>
    <definedName name="EXT_LAB">#REF!</definedName>
    <definedName name="EXT_MAT">#REF!</definedName>
    <definedName name="extcost">#REF!</definedName>
    <definedName name="EXTENDER" hidden="1">{#N/A,#N/A,FALSE,"BOX RFQ SHEET"}</definedName>
    <definedName name="external">#REF!</definedName>
    <definedName name="Extinguisher">[171]Sheet1!#REF!</definedName>
    <definedName name="extpaint1">#REF!</definedName>
    <definedName name="extpaint2">#REF!</definedName>
    <definedName name="extpaint3">#REF!</definedName>
    <definedName name="Extract1">#REF!</definedName>
    <definedName name="Extract10">#REF!</definedName>
    <definedName name="Extract11">#REF!</definedName>
    <definedName name="Extract12">#REF!</definedName>
    <definedName name="Extract13">#REF!</definedName>
    <definedName name="Extract14">#REF!</definedName>
    <definedName name="Extract15">#REF!</definedName>
    <definedName name="Extract16">'[186]#REF'!$H$6</definedName>
    <definedName name="Extract2">#REF!</definedName>
    <definedName name="Extract3">#REF!</definedName>
    <definedName name="Extract4">#REF!</definedName>
    <definedName name="Extract5">#REF!</definedName>
    <definedName name="Extract6">#REF!</definedName>
    <definedName name="Extract7">#REF!</definedName>
    <definedName name="Extract8">#REF!</definedName>
    <definedName name="Extract9">#REF!</definedName>
    <definedName name="extrn">#REF!</definedName>
    <definedName name="EXTWORK">#REF!</definedName>
    <definedName name="ExWk">[116]COST!$F$55</definedName>
    <definedName name="eyteyt" hidden="1">{#N/A,#N/A,FALSE,"CCTV"}</definedName>
    <definedName name="f.catch">#REF!</definedName>
    <definedName name="F.D">[66]Price!$D$74</definedName>
    <definedName name="f.eight">[91]ANALISYS!$E$2275</definedName>
    <definedName name="f.fifteen">[91]ANALISYS!$E$2400</definedName>
    <definedName name="f.five">[91]ANALISYS!$E$2220</definedName>
    <definedName name="f.four">[91]ANALISYS!$E$2203</definedName>
    <definedName name="f.nine">[91]ANALISYS!$E$2294</definedName>
    <definedName name="f.one">[91]ANALISYS!$E$2158</definedName>
    <definedName name="f.seven">[91]ANALISYS!$E$2257</definedName>
    <definedName name="f.thirteen">[91]ANALISYS!$E$2362</definedName>
    <definedName name="f.three">[91]ANALISYS!$E$2187</definedName>
    <definedName name="f.twelve">[91]ANALISYS!$E$2344</definedName>
    <definedName name="f.two">[91]ANALISYS!$E$2171</definedName>
    <definedName name="f___0">#REF!</definedName>
    <definedName name="F_Cablefeeder_5">#REF!</definedName>
    <definedName name="F_con">'[165]BOQ Com'!#REF!</definedName>
    <definedName name="F_Misc_PM">#REF!</definedName>
    <definedName name="F_SL">#N/A</definedName>
    <definedName name="F_SM">'[165]BOQ Com'!#REF!</definedName>
    <definedName name="F10PE">[49]Factors!$E$220</definedName>
    <definedName name="F10PPR">[49]Factors!$J$194</definedName>
    <definedName name="F16PE">[49]Factors!$J$220</definedName>
    <definedName name="F16PPR">[49]Factors!$E$194</definedName>
    <definedName name="f1x1">#REF!</definedName>
    <definedName name="f2x1">#REF!</definedName>
    <definedName name="f2x2">#REF!</definedName>
    <definedName name="f2x3">#REF!</definedName>
    <definedName name="f2x4">#REF!</definedName>
    <definedName name="FA.1">#REF!</definedName>
    <definedName name="FA.2">#REF!</definedName>
    <definedName name="FA.3">#REF!</definedName>
    <definedName name="FA.4">#REF!</definedName>
    <definedName name="faa">[103]Factors!$G$26</definedName>
    <definedName name="fáaafafaf" hidden="1">{"'Sheet1'!$L$16"}</definedName>
    <definedName name="faav">#REF!</definedName>
    <definedName name="fabric">#REF!</definedName>
    <definedName name="FAC">#REF!</definedName>
    <definedName name="Fac_light">#REF!</definedName>
    <definedName name="Fac_new">[158]Sheet2!$E$4:$F$168</definedName>
    <definedName name="Fac_old">[158]Sheet2!$B$13:$C$86</definedName>
    <definedName name="fac0.4">#REF!</definedName>
    <definedName name="fac0.5">#REF!</definedName>
    <definedName name="fac0.75">#REF!</definedName>
    <definedName name="fac1.1">#REF!</definedName>
    <definedName name="fac1.5">#REF!</definedName>
    <definedName name="fac1.7">#REF!</definedName>
    <definedName name="fac10.5">#REF!</definedName>
    <definedName name="fac2.2">#REF!</definedName>
    <definedName name="fac2.5">#REF!</definedName>
    <definedName name="fac3.75">#REF!</definedName>
    <definedName name="fac4.5">#REF!</definedName>
    <definedName name="fac5.5">#REF!</definedName>
    <definedName name="fac7.5">#REF!</definedName>
    <definedName name="FACables_7">#REF!</definedName>
    <definedName name="FACILITY">#REF!</definedName>
    <definedName name="FACP">'[111]Import Det'!$T$8</definedName>
    <definedName name="FACPi">'[111]Import Det'!$T$8</definedName>
    <definedName name="FACPr">#REF!</definedName>
    <definedName name="Fact_Office">#REF!</definedName>
    <definedName name="factnb">[187]Sum!$E$17</definedName>
    <definedName name="FACTORY" hidden="1">{#N/A,#N/A,TRUE,"SUM";#N/A,#N/A,TRUE,"EE";#N/A,#N/A,TRUE,"AC";#N/A,#N/A,TRUE,"SN"}</definedName>
    <definedName name="fad">[84]Factors!$G$27</definedName>
    <definedName name="fade1">[48]Factors!$AC$272</definedName>
    <definedName name="fade10">[48]Factors!$AC$281</definedName>
    <definedName name="fade11">[48]Factors!$AC$282</definedName>
    <definedName name="fade12">[48]Factors!$AC$283</definedName>
    <definedName name="fade13">[48]Factors!$AC$284</definedName>
    <definedName name="fade14">[48]Factors!$AC$285</definedName>
    <definedName name="fade15">[48]Factors!$AC$286</definedName>
    <definedName name="fade16">[48]Factors!$AC$287</definedName>
    <definedName name="fade17">[48]Factors!$AC$288</definedName>
    <definedName name="fade18">[48]Factors!$AC$289</definedName>
    <definedName name="fade2">[48]Factors!$AC$273</definedName>
    <definedName name="fade3">[48]Factors!$AC$274</definedName>
    <definedName name="fade4">[48]Factors!$AC$275</definedName>
    <definedName name="fade5">[48]Factors!$AC$276</definedName>
    <definedName name="fade6">[48]Factors!$AC$277</definedName>
    <definedName name="fade7">[48]Factors!$AC$278</definedName>
    <definedName name="fade8">[48]Factors!$AC$279</definedName>
    <definedName name="fade9">[48]Factors!$AC$280</definedName>
    <definedName name="FAdevises">#REF!</definedName>
    <definedName name="FAdfaadf" hidden="1">{"PriceSheetNoMargins",#N/A,FALSE,"PriceSheet"}</definedName>
    <definedName name="FAEQ_7">#REF!</definedName>
    <definedName name="faf">#REF!</definedName>
    <definedName name="FafaGFaeffaf" hidden="1">{"PriceSheetNoMargins",#N/A,FALSE,"PriceSheet"}</definedName>
    <definedName name="fAFAsdf" hidden="1">{"PriceSheetNoMargins",#N/A,FALSE,"PriceSheet"}</definedName>
    <definedName name="fafv20">#REF!</definedName>
    <definedName name="fafv32">#REF!</definedName>
    <definedName name="fafv65">[49]Factors!$P$121</definedName>
    <definedName name="fafv80">[49]Factors!$P$122</definedName>
    <definedName name="fag0.04">#REF!</definedName>
    <definedName name="fag0.06">#REF!</definedName>
    <definedName name="fag0.08">#REF!</definedName>
    <definedName name="fag0.1">#REF!</definedName>
    <definedName name="fag0.15">#REF!</definedName>
    <definedName name="fag0.2">#REF!</definedName>
    <definedName name="fag0.25">#REF!</definedName>
    <definedName name="fag0.3">#REF!</definedName>
    <definedName name="fag0.35">#REF!</definedName>
    <definedName name="fag0.4">#REF!</definedName>
    <definedName name="fagab0.4">#REF!</definedName>
    <definedName name="fahu9000">#REF!</definedName>
    <definedName name="fahuh10500">#REF!</definedName>
    <definedName name="fahuh11300">#REF!</definedName>
    <definedName name="fahuh12200">#REF!</definedName>
    <definedName name="fahuh13300">#REF!</definedName>
    <definedName name="fahuh15100">#REF!</definedName>
    <definedName name="fahuh17100">#REF!</definedName>
    <definedName name="fahuh19000">#REF!</definedName>
    <definedName name="fahuh21000">#REF!</definedName>
    <definedName name="fahuh23000">#REF!</definedName>
    <definedName name="fahuh24000">#REF!</definedName>
    <definedName name="fahuh2500">#REF!</definedName>
    <definedName name="fahuh26000">#REF!</definedName>
    <definedName name="fahuh28000">#REF!</definedName>
    <definedName name="fahuh3600">#REF!</definedName>
    <definedName name="fahuh4800">#REF!</definedName>
    <definedName name="fahuh5500">#REF!</definedName>
    <definedName name="fahuh6200">#REF!</definedName>
    <definedName name="fahuh6900">#REF!</definedName>
    <definedName name="fahuh7900">#REF!</definedName>
    <definedName name="fahuh9000">#REF!</definedName>
    <definedName name="fahuh9900">#REF!</definedName>
    <definedName name="fahuv10500">#REF!</definedName>
    <definedName name="fahuv11300">#REF!</definedName>
    <definedName name="fahuv12200">#REF!</definedName>
    <definedName name="fahuv13300">#REF!</definedName>
    <definedName name="fahuv15100">#REF!</definedName>
    <definedName name="fahuv17100">#REF!</definedName>
    <definedName name="fahuv19000">#REF!</definedName>
    <definedName name="fahuv21000">#REF!</definedName>
    <definedName name="fahuv23000">#REF!</definedName>
    <definedName name="fahuv24000">#REF!</definedName>
    <definedName name="fahuv2500">#REF!</definedName>
    <definedName name="fahuv26000">#REF!</definedName>
    <definedName name="fahuv28000">#REF!</definedName>
    <definedName name="fahuv3600">#REF!</definedName>
    <definedName name="fahuv4800">#REF!</definedName>
    <definedName name="fahuv5500">#REF!</definedName>
    <definedName name="fahuv6200">#REF!</definedName>
    <definedName name="fahuv6900">#REF!</definedName>
    <definedName name="fahuv7900">#REF!</definedName>
    <definedName name="fahuv9000">#REF!</definedName>
    <definedName name="fahuv9900">#REF!</definedName>
    <definedName name="fAlclad">[50]Factors!$F$379</definedName>
    <definedName name="FAN">#REF!</definedName>
    <definedName name="fannel">#REF!</definedName>
    <definedName name="FAPanel_7">#REF!</definedName>
    <definedName name="far">[48]Factors!$W$89</definedName>
    <definedName name="FAS">#REF!</definedName>
    <definedName name="fasdfasda" hidden="1">{"PriceSheetNoMargins",#N/A,FALSE,"PriceSheet"}</definedName>
    <definedName name="fasfaga" hidden="1">{"'Sheet1'!$L$16"}</definedName>
    <definedName name="fasl0.5">#REF!</definedName>
    <definedName name="FATesting_7">#REF!</definedName>
    <definedName name="favf50">#REF!</definedName>
    <definedName name="Fax">#REF!</definedName>
    <definedName name="fbbs.1">#REF!</definedName>
    <definedName name="fbcv100">#REF!</definedName>
    <definedName name="fbcv125">#REF!</definedName>
    <definedName name="fbcv15">#REF!</definedName>
    <definedName name="fbcv150">#REF!</definedName>
    <definedName name="fbcv20">#REF!</definedName>
    <definedName name="fbcv200">#REF!</definedName>
    <definedName name="fbcv25">#REF!</definedName>
    <definedName name="fbcv250">#REF!</definedName>
    <definedName name="fbcv300">#REF!</definedName>
    <definedName name="fbcv32">#REF!</definedName>
    <definedName name="fbcv40">#REF!</definedName>
    <definedName name="fbcv50">#REF!</definedName>
    <definedName name="fbcv65">#REF!</definedName>
    <definedName name="fbcv80">#REF!</definedName>
    <definedName name="fbeam">#REF!</definedName>
    <definedName name="FBEAM1">#REF!</definedName>
    <definedName name="fbib">#REF!</definedName>
    <definedName name="fblv100">#REF!</definedName>
    <definedName name="fblv125">#REF!</definedName>
    <definedName name="fblv15">#REF!</definedName>
    <definedName name="fblv150">#REF!</definedName>
    <definedName name="fblv20">#REF!</definedName>
    <definedName name="fblv200">#REF!</definedName>
    <definedName name="fblv25">#REF!</definedName>
    <definedName name="fblv250">#REF!</definedName>
    <definedName name="fblv300">#REF!</definedName>
    <definedName name="fblv32">#REF!</definedName>
    <definedName name="fblv40">#REF!</definedName>
    <definedName name="fblv50">#REF!</definedName>
    <definedName name="fblv65">#REF!</definedName>
    <definedName name="fblv80">#REF!</definedName>
    <definedName name="fbrd.1">#REF!</definedName>
    <definedName name="fbsh">#REF!</definedName>
    <definedName name="fbtub">#REF!</definedName>
    <definedName name="fbutv300">#REF!</definedName>
    <definedName name="fbutv350">#REF!</definedName>
    <definedName name="fbutv400">#REF!</definedName>
    <definedName name="FBW">#REF!</definedName>
    <definedName name="FC.300">#REF!</definedName>
    <definedName name="fc_org">#REF!</definedName>
    <definedName name="fcan">#REF!</definedName>
    <definedName name="fccc">'[188]S2 H&amp;CW'!#REF!</definedName>
    <definedName name="fcct">'[188]S1 CHW '!#REF!</definedName>
    <definedName name="fcdpi100">#REF!</definedName>
    <definedName name="fcdpi125">#REF!</definedName>
    <definedName name="fcdpi15">#REF!</definedName>
    <definedName name="fcdpi150">#REF!</definedName>
    <definedName name="fcdpi20">#REF!</definedName>
    <definedName name="fcdpi25">#REF!</definedName>
    <definedName name="fcdpi32">#REF!</definedName>
    <definedName name="fcdpi40">#REF!</definedName>
    <definedName name="fcdpi50">#REF!</definedName>
    <definedName name="fcdpi65">#REF!</definedName>
    <definedName name="fcdpi80">#REF!</definedName>
    <definedName name="FCF">#REF!</definedName>
    <definedName name="fcfan">#REF!</definedName>
    <definedName name="fcla">#REF!</definedName>
    <definedName name="fcla100">#REF!</definedName>
    <definedName name="fcla125">#REF!</definedName>
    <definedName name="fcla15">#REF!</definedName>
    <definedName name="fcla150">#REF!</definedName>
    <definedName name="fcla20">#REF!</definedName>
    <definedName name="fcla200">#REF!</definedName>
    <definedName name="fcla25">#REF!</definedName>
    <definedName name="fcla250">#REF!</definedName>
    <definedName name="fcla300">#REF!</definedName>
    <definedName name="fcla32">#REF!</definedName>
    <definedName name="fcla350">#REF!</definedName>
    <definedName name="fcla40">#REF!</definedName>
    <definedName name="fcla400">#REF!</definedName>
    <definedName name="fcla450">#REF!</definedName>
    <definedName name="fcla50">#REF!</definedName>
    <definedName name="fcla65">#REF!</definedName>
    <definedName name="fcla80">#REF!</definedName>
    <definedName name="fcmf">[55]Factors!$Q$438</definedName>
    <definedName name="fco">#REF!</definedName>
    <definedName name="fcoa100">#REF!</definedName>
    <definedName name="FCode" hidden="1">#REF!</definedName>
    <definedName name="FcodeTbl">#REF!</definedName>
    <definedName name="FCP54.1">#REF!</definedName>
    <definedName name="fcpi160">#REF!</definedName>
    <definedName name="fcpi200">#REF!</definedName>
    <definedName name="fcpi250">#REF!</definedName>
    <definedName name="fcpi315">#REF!</definedName>
    <definedName name="fcpi355">#REF!</definedName>
    <definedName name="FCST">#REF!</definedName>
    <definedName name="fcst_total">#REF!</definedName>
    <definedName name="FcstAct">#REF!</definedName>
    <definedName name="FcstBud">#REF!</definedName>
    <definedName name="FcstComp">#REF!</definedName>
    <definedName name="fcstq1">#REF!</definedName>
    <definedName name="fcstq2">#REF!</definedName>
    <definedName name="fcstq3">#REF!</definedName>
    <definedName name="fcstq4">#REF!</definedName>
    <definedName name="FCVFVFV" hidden="1">{"PriceSheetNoMargins",#N/A,FALSE,"PriceSheet"}</definedName>
    <definedName name="fd.1">#REF!</definedName>
    <definedName name="fd.10">#REF!</definedName>
    <definedName name="fd.11">#REF!</definedName>
    <definedName name="fd.12">#REF!</definedName>
    <definedName name="fd.13">#REF!</definedName>
    <definedName name="fd.14">#REF!</definedName>
    <definedName name="fd.15">#REF!</definedName>
    <definedName name="fd.16">#REF!</definedName>
    <definedName name="fd.17">#REF!</definedName>
    <definedName name="fd.2">#REF!</definedName>
    <definedName name="fd.3">#REF!</definedName>
    <definedName name="fd.4">#REF!</definedName>
    <definedName name="fd.5">#REF!</definedName>
    <definedName name="fd.6">#REF!</definedName>
    <definedName name="fd.7">#REF!</definedName>
    <definedName name="fd.8">#REF!</definedName>
    <definedName name="fd.9">#REF!</definedName>
    <definedName name="fd10door">#REF!</definedName>
    <definedName name="fd11door">#REF!</definedName>
    <definedName name="fd1door">#REF!</definedName>
    <definedName name="fd2door">#REF!</definedName>
    <definedName name="fd3door">#REF!</definedName>
    <definedName name="fd4door">#REF!</definedName>
    <definedName name="fd5door">#REF!</definedName>
    <definedName name="fd6door">#REF!</definedName>
    <definedName name="fd7door">#REF!</definedName>
    <definedName name="fd800x450">[55]Factors!$AC$326</definedName>
    <definedName name="fd8door">#REF!</definedName>
    <definedName name="fd950x450">[55]Factors!$AC$327</definedName>
    <definedName name="fd9door">#REF!</definedName>
    <definedName name="fdagbhrenjmk">#REF!</definedName>
    <definedName name="FDASFDSAFSAFA">#REF!</definedName>
    <definedName name="fdaszf" hidden="1">[68]Z!$T$180:$AH$180</definedName>
    <definedName name="FDB_Loading_Summary">#REF!</definedName>
    <definedName name="fdbsi">#REF!</definedName>
    <definedName name="fdbwb">#REF!</definedName>
    <definedName name="fddfdfd">#REF!</definedName>
    <definedName name="fddfhdfhdgh" hidden="1">{#N/A,#N/A,FALSE,"CCTV"}</definedName>
    <definedName name="fde">#REF!</definedName>
    <definedName name="FDFDF" hidden="1">{#N/A,#N/A,FALSE,"CCTV"}</definedName>
    <definedName name="FDFDSF" hidden="1">{#N/A,#N/A,TRUE,"SUM";#N/A,#N/A,TRUE,"EE";#N/A,#N/A,TRUE,"AC";#N/A,#N/A,TRUE,"SN"}</definedName>
    <definedName name="fdff" hidden="1">{#N/A,#N/A,FALSE,"SumG";#N/A,#N/A,FALSE,"ElecG";#N/A,#N/A,FALSE,"MechG";#N/A,#N/A,FALSE,"GeotG";#N/A,#N/A,FALSE,"PrcsG";#N/A,#N/A,FALSE,"TunnG";#N/A,#N/A,FALSE,"CivlG";#N/A,#N/A,FALSE,"NtwkG";#N/A,#N/A,FALSE,"EstgG";#N/A,#N/A,FALSE,"PEngG"}</definedName>
    <definedName name="fdfs" hidden="1">{#N/A,#N/A,TRUE,"SUM";#N/A,#N/A,TRUE,"EE";#N/A,#N/A,TRUE,"AC";#N/A,#N/A,TRUE,"SN"}</definedName>
    <definedName name="FDFSDF">#REF!</definedName>
    <definedName name="fdfsdfs" hidden="1">{#N/A,#N/A,TRUE,"SUM";#N/A,#N/A,TRUE,"EE";#N/A,#N/A,TRUE,"AC";#N/A,#N/A,TRUE,"SN"}</definedName>
    <definedName name="fdfsfsdf">#REF!</definedName>
    <definedName name="fdghhh">'[92]Bill 3 - Site Works'!#REF!</definedName>
    <definedName name="fdhsajfsakjfdsa">'[110]Bill 5 - Carpark'!#REF!</definedName>
    <definedName name="fdiff">#REF!</definedName>
    <definedName name="fdig100">#REF!</definedName>
    <definedName name="fdig125">#REF!</definedName>
    <definedName name="fdig150">#REF!</definedName>
    <definedName name="fdig200">#REF!</definedName>
    <definedName name="fdig250">#REF!</definedName>
    <definedName name="fdig300">#REF!</definedName>
    <definedName name="fdig65">#REF!</definedName>
    <definedName name="fdig80">#REF!</definedName>
    <definedName name="fdins">#REF!</definedName>
    <definedName name="fdins50">[48]Factors!$M$256</definedName>
    <definedName name="fdmf">[165]Factors!#REF!</definedName>
    <definedName name="fdp">#REF!</definedName>
    <definedName name="fdrop">#REF!</definedName>
    <definedName name="fdrop1">#REF!</definedName>
    <definedName name="FDROP11">#REF!</definedName>
    <definedName name="FDROP2">#REF!</definedName>
    <definedName name="FDSA" hidden="1">{#N/A,#N/A,FALSE,"CCTV"}</definedName>
    <definedName name="fdsafd" hidden="1">#REF!</definedName>
    <definedName name="fdsagfvz" hidden="1">#REF!</definedName>
    <definedName name="fdsfdsdsdfsd">[171]Sheet1!#REF!</definedName>
    <definedName name="fdsfsdfd" hidden="1">{"'Sheet1'!$L$16"}</definedName>
    <definedName name="fdzad" hidden="1">#REF!</definedName>
    <definedName name="fdzs" hidden="1">#REF!</definedName>
    <definedName name="feeder">#REF!</definedName>
    <definedName name="Fencing">#REF!</definedName>
    <definedName name="feWGRwr" hidden="1">{"'Sheet1'!$A$1:$R$58"}</definedName>
    <definedName name="ffa.1">#REF!</definedName>
    <definedName name="ffa.2">#REF!</definedName>
    <definedName name="ffa.3">#REF!</definedName>
    <definedName name="ffa.4">#REF!</definedName>
    <definedName name="ffan">[189]Factors!$Q$24</definedName>
    <definedName name="ffan13">[57]Factors!$X$167</definedName>
    <definedName name="FFboh">'[76]Ra  stair'!#REF!</definedName>
    <definedName name="ffcu11">#REF!</definedName>
    <definedName name="ffcu2.75">#REF!</definedName>
    <definedName name="ffcu4">#REF!</definedName>
    <definedName name="ffcu5.5">#REF!</definedName>
    <definedName name="ffcu7.5">#REF!</definedName>
    <definedName name="ffd0.1">#REF!</definedName>
    <definedName name="ffd0.2">#REF!</definedName>
    <definedName name="ffd0.3">#REF!</definedName>
    <definedName name="ffd0.4">#REF!</definedName>
    <definedName name="ffd0.5">#REF!</definedName>
    <definedName name="ffd0.6">#REF!</definedName>
    <definedName name="ffd0.7">#REF!</definedName>
    <definedName name="ffd0.8">#REF!</definedName>
    <definedName name="ffd0.9">#REF!</definedName>
    <definedName name="ffd1.0">#REF!</definedName>
    <definedName name="ffd1.2">#REF!</definedName>
    <definedName name="ffd1.4">#REF!</definedName>
    <definedName name="ffd1.6">#REF!</definedName>
    <definedName name="ffd1.8">#REF!</definedName>
    <definedName name="ffd2.0">#REF!</definedName>
    <definedName name="ffd2.2">#REF!</definedName>
    <definedName name="ffd2.4">#REF!</definedName>
    <definedName name="FFE">'[76]Ra  stair'!#REF!</definedName>
    <definedName name="fff">[12]Plumbing!#REF!</definedName>
    <definedName name="fffd">#REF!</definedName>
    <definedName name="ffff">#REF!</definedName>
    <definedName name="ffffd" hidden="1">{#N/A,#N/A,TRUE,"SUM";#N/A,#N/A,TRUE,"EE";#N/A,#N/A,TRUE,"AC";#N/A,#N/A,TRUE,"SN"}</definedName>
    <definedName name="ffffff">#REF!,#REF!</definedName>
    <definedName name="fffffffffffffff" hidden="1">{"'Sheet1'!$L$16"}</definedName>
    <definedName name="FFGB5">#REF!</definedName>
    <definedName name="ffgfdfgd">#REF!</definedName>
    <definedName name="ffgg">#REF!</definedName>
    <definedName name="ffgghh">Arch-[32]Master01!$N$2:$N$65536</definedName>
    <definedName name="FFHFH" hidden="1">{"PriceSheetNoMargins",#N/A,FALSE,"PriceSheet"}</definedName>
    <definedName name="FFL.100">#REF!</definedName>
    <definedName name="FFL.160">#REF!</definedName>
    <definedName name="FFL.65">#REF!</definedName>
    <definedName name="fflsv">#REF!</definedName>
    <definedName name="fflsv.">#REF!</definedName>
    <definedName name="fflsvwc">#REF!</definedName>
    <definedName name="FFS">#REF!</definedName>
    <definedName name="ffv.ur">#REF!</definedName>
    <definedName name="ffv.wc">#REF!</definedName>
    <definedName name="fgasffgafgg" hidden="1">{"PriceSheetNoMargins",#N/A,FALSE,"PriceSheet"}</definedName>
    <definedName name="fgasfgsffg" hidden="1">{"PriceSheetNoMargins",#N/A,FALSE,"PriceSheet"}</definedName>
    <definedName name="fgasfsgasgs" hidden="1">{"PriceSheetNoMargins",#N/A,FALSE,"PriceSheet"}</definedName>
    <definedName name="fgdfg" hidden="1">{#N/A,#N/A,FALSE,"SumD";#N/A,#N/A,FALSE,"ElecD";#N/A,#N/A,FALSE,"MechD";#N/A,#N/A,FALSE,"GeotD";#N/A,#N/A,FALSE,"PrcsD";#N/A,#N/A,FALSE,"TunnD";#N/A,#N/A,FALSE,"CivlD";#N/A,#N/A,FALSE,"NtwkD";#N/A,#N/A,FALSE,"EstgD";#N/A,#N/A,FALSE,"PEngD"}</definedName>
    <definedName name="fgdg">#REF!</definedName>
    <definedName name="fgf">#REF!</definedName>
    <definedName name="fgfdg" hidden="1">{#N/A,#N/A,FALSE,"SumG";#N/A,#N/A,FALSE,"ElecG";#N/A,#N/A,FALSE,"MechG";#N/A,#N/A,FALSE,"GeotG";#N/A,#N/A,FALSE,"PrcsG";#N/A,#N/A,FALSE,"TunnG";#N/A,#N/A,FALSE,"CivlG";#N/A,#N/A,FALSE,"NtwkG";#N/A,#N/A,FALSE,"EstgG";#N/A,#N/A,FALSE,"PEngG"}</definedName>
    <definedName name="fgff" hidden="1">{#N/A,#N/A,TRUE,"SUM";#N/A,#N/A,TRUE,"EE";#N/A,#N/A,TRUE,"AC";#N/A,#N/A,TRUE,"SN"}</definedName>
    <definedName name="fgh">'[14]1-G1'!#REF!</definedName>
    <definedName name="fghfg"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hjjbvddf">#REF!</definedName>
    <definedName name="fgi.300">#REF!</definedName>
    <definedName name="fgl.300">#REF!</definedName>
    <definedName name="fglassw25">#REF!</definedName>
    <definedName name="fglassw50">#REF!</definedName>
    <definedName name="fglasswb25">[50]Factors!$F$374</definedName>
    <definedName name="fgRKRKRKRKRKRKRKRKRKRKRKTBTBSPD">#REF!</definedName>
    <definedName name="FGRKRKRKRKRKRKTBTBSPDKDKRT">'[118]#3E1_GCR'!#REF!</definedName>
    <definedName name="fgRKTBTBSPDKDKRT">'[118]#3E1_GCR'!#REF!</definedName>
    <definedName name="FGRKTBTBSPRT">'[118]#3E1_GCR'!#REF!</definedName>
    <definedName name="fgrthrtg">#REF!</definedName>
    <definedName name="FGSFAGSFGSF" hidden="1">{"PriceSheetNoMargins",#N/A,FALSE,"PriceSheet"}</definedName>
    <definedName name="fhb.1">#REF!</definedName>
    <definedName name="fhd">#REF!</definedName>
    <definedName name="fhd.1">#REF!</definedName>
    <definedName name="FHGHG">#REF!</definedName>
    <definedName name="fhgjfghfghgf" hidden="1">{#N/A,#N/A,FALSE,"CCTV"}</definedName>
    <definedName name="FHJKH">#REF!</definedName>
    <definedName name="FHJKJHG">#REF!</definedName>
    <definedName name="fhrd.1">#REF!</definedName>
    <definedName name="fi">#N/A</definedName>
    <definedName name="Field_Ofc_OT">'[29]Raw Data'!$A$1:$M$32</definedName>
    <definedName name="Field_Ofc_ST">'[29]Raw Data'!$A$1:$M$45</definedName>
    <definedName name="fifteen">[91]ANALISYS!$E$190</definedName>
    <definedName name="fifth">#REF!</definedName>
    <definedName name="fii">[190]CF!$C$18</definedName>
    <definedName name="FILELCNA">[191]MATL!$B:$G</definedName>
    <definedName name="FileName">#REF!</definedName>
    <definedName name="filler1">#REF!</definedName>
    <definedName name="filler2">#REF!</definedName>
    <definedName name="filler3">#REF!</definedName>
    <definedName name="fillimp">#REF!</definedName>
    <definedName name="fillsel">#REF!</definedName>
    <definedName name="FILM">[80]Calendar!$M:$M</definedName>
    <definedName name="filter" hidden="1">#REF!</definedName>
    <definedName name="Filter_input_fac">#REF!</definedName>
    <definedName name="Fin_Hrs">#REF!</definedName>
    <definedName name="Fin_Rev">#REF!</definedName>
    <definedName name="Final">#REF!</definedName>
    <definedName name="final_report">#REF!</definedName>
    <definedName name="final_report1">#REF!</definedName>
    <definedName name="finalre">#REF!</definedName>
    <definedName name="FINANCE">#REF!</definedName>
    <definedName name="fininsu25">#REF!</definedName>
    <definedName name="fininsu50">#REF!</definedName>
    <definedName name="finish">#REF!</definedName>
    <definedName name="finishingpainttosteelstr">#REF!</definedName>
    <definedName name="fins">#REF!</definedName>
    <definedName name="FIP">'[87]Equipment Schedule'!$L$9</definedName>
    <definedName name="fire_goodwill">'[167]Goodwill Calculation'!$D$26</definedName>
    <definedName name="Fire_Systems">#REF!</definedName>
    <definedName name="fireratedpaint">#REF!</definedName>
    <definedName name="fireratedplasterboardceiling">#REF!</definedName>
    <definedName name="firestop">#REF!</definedName>
    <definedName name="fithdpe">#REF!</definedName>
    <definedName name="fitment">#REF!</definedName>
    <definedName name="Fitments">'[76]Ra  stair'!#REF!</definedName>
    <definedName name="FITNESS_STATION">#REF!</definedName>
    <definedName name="fitti">[149]pipes!#REF!</definedName>
    <definedName name="five">[91]ANALISYS!$E$63</definedName>
    <definedName name="Fixed_asset_turns_fore">#REF!</definedName>
    <definedName name="Fixed_Lens">#REF!</definedName>
    <definedName name="Fixed_Lens2">'[155]CCTV(old)'!#REF!</definedName>
    <definedName name="FJ.100">[66]Price!$J$34</definedName>
    <definedName name="FJ.150">[66]Price!$J$33</definedName>
    <definedName name="FJ.20">[66]Price!$J$41</definedName>
    <definedName name="FJ.25">[66]Price!$J$40</definedName>
    <definedName name="FJ.250">[66]Price!$J$32</definedName>
    <definedName name="FJ.300">[66]Price!$J$31</definedName>
    <definedName name="FJ.50">[66]Price!$J$37</definedName>
    <definedName name="FJ.65">[66]Price!$J$36</definedName>
    <definedName name="FJ.80">[66]Price!$J$35</definedName>
    <definedName name="fj_100">"$#REF!.$#REF!$#REF!"</definedName>
    <definedName name="fj_150">"$#REF!.$#REF!$#REF!"</definedName>
    <definedName name="fj_200">"$#REF!.$#REF!$#REF!"</definedName>
    <definedName name="fj_25">"$#REF!.$#REF!$#REF!"</definedName>
    <definedName name="fj_250">"$#REF!.$#REF!$#REF!"</definedName>
    <definedName name="fj_300">"$#REF!.$#REF!$#REF!"</definedName>
    <definedName name="fj_32">"$#REF!.$#REF!$#REF!"</definedName>
    <definedName name="fj_40">"$#REF!.$#REF!$#REF!"</definedName>
    <definedName name="fj_50">"$#REF!.$#REF!$#REF!"</definedName>
    <definedName name="fj_65">"$#REF!.$#REF!$#REF!"</definedName>
    <definedName name="fj_80">"$#REF!.$#REF!$#REF!"</definedName>
    <definedName name="fjdksjfkas">#REF!</definedName>
    <definedName name="fjdsjfksajfafdjask">#REF!</definedName>
    <definedName name="fjhfghghkj">#REF!</definedName>
    <definedName name="fjkjijij">#REF!</definedName>
    <definedName name="fked1.5">#REF!</definedName>
    <definedName name="fkerb">#REF!</definedName>
    <definedName name="fl">[168]Factor!#REF!</definedName>
    <definedName name="FLA">[192]BQ!#REF!</definedName>
    <definedName name="FLA.100">#REF!</definedName>
    <definedName name="FLA.150">#REF!</definedName>
    <definedName name="FLA.65">#REF!</definedName>
    <definedName name="Flag_table">[193]Variables!$A$2:$B$4</definedName>
    <definedName name="flag1">#REF!</definedName>
    <definedName name="FlArea">#REF!</definedName>
    <definedName name="flbg1">#REF!</definedName>
    <definedName name="flbv15">#REF!</definedName>
    <definedName name="FLG">#REF!</definedName>
    <definedName name="FLG_Orifice">#REF!</definedName>
    <definedName name="FLH">#REF!</definedName>
    <definedName name="Floorfinishes">#REF!</definedName>
    <definedName name="flou">#REF!</definedName>
    <definedName name="Fls">'[87]Equipment Schedule'!$L$18</definedName>
    <definedName name="flurocent">#REF!</definedName>
    <definedName name="flurocent.double">#REF!</definedName>
    <definedName name="flurocent2">#REF!</definedName>
    <definedName name="flurocent4">#REF!</definedName>
    <definedName name="flv.1">#REF!</definedName>
    <definedName name="flv.2">#REF!</definedName>
    <definedName name="flv.3">#REF!</definedName>
    <definedName name="flv.4">#REF!</definedName>
    <definedName name="flv.5">#REF!</definedName>
    <definedName name="flw.100">#REF!</definedName>
    <definedName name="flw.40">#REF!</definedName>
    <definedName name="flw.50">#REF!</definedName>
    <definedName name="flw.65">#REF!</definedName>
    <definedName name="flw.80">#REF!</definedName>
    <definedName name="flwf.100">[49]Factors!$Z$123</definedName>
    <definedName name="flwf.125">#REF!</definedName>
    <definedName name="flwf.15">#REF!</definedName>
    <definedName name="flwf.150">#REF!</definedName>
    <definedName name="flwf.20">#REF!</definedName>
    <definedName name="flwf.200">#REF!</definedName>
    <definedName name="flwf.25">#REF!</definedName>
    <definedName name="flwf.250">#REF!</definedName>
    <definedName name="flwf.300">#REF!</definedName>
    <definedName name="flwf.32">#REF!</definedName>
    <definedName name="flwf.40">[49]Factors!$Z$119</definedName>
    <definedName name="flwf.50">[49]Factors!$Z$120</definedName>
    <definedName name="flwf.65">[49]Factors!$Z$121</definedName>
    <definedName name="flwf.80">[49]Factors!$Z$122</definedName>
    <definedName name="flwl.100">[49]Factors!$Y$123</definedName>
    <definedName name="flwl.125">#REF!</definedName>
    <definedName name="flwl.15">#REF!</definedName>
    <definedName name="flwl.150">#REF!</definedName>
    <definedName name="flwl.20">#REF!</definedName>
    <definedName name="flwl.200">#REF!</definedName>
    <definedName name="flwl.25">#REF!</definedName>
    <definedName name="flwl.250">#REF!</definedName>
    <definedName name="flwl.300">#REF!</definedName>
    <definedName name="flwl.32">#REF!</definedName>
    <definedName name="flwl.40">[49]Factors!$Y$119</definedName>
    <definedName name="flwl.50">[49]Factors!$Y$120</definedName>
    <definedName name="flwl.65">[49]Factors!$Y$121</definedName>
    <definedName name="flwl.80">[49]Factors!$Y$122</definedName>
    <definedName name="fly">#REF!</definedName>
    <definedName name="FM.250">[66]Price!$J$105</definedName>
    <definedName name="FM.300">[66]Price!$J$104</definedName>
    <definedName name="fm200df">[165]Factors!#REF!</definedName>
    <definedName name="fmar">#REF!</definedName>
    <definedName name="fmarble">#REF!</definedName>
    <definedName name="fmav">#REF!</definedName>
    <definedName name="fmcv100">#REF!</definedName>
    <definedName name="fmcv125">#REF!</definedName>
    <definedName name="fmcv15">#REF!</definedName>
    <definedName name="fmcv150">#REF!</definedName>
    <definedName name="fmcv20">#REF!</definedName>
    <definedName name="fmcv200">#REF!</definedName>
    <definedName name="fmcv25">#REF!</definedName>
    <definedName name="fmcv250">#REF!</definedName>
    <definedName name="fmcv300">#REF!</definedName>
    <definedName name="fmcv32">#REF!</definedName>
    <definedName name="fmcv40">#REF!</definedName>
    <definedName name="fmcv50">#REF!</definedName>
    <definedName name="fmcv65">#REF!</definedName>
    <definedName name="fmcv80">#REF!</definedName>
    <definedName name="fmf">#REF!</definedName>
    <definedName name="fmirlv.2">#REF!</definedName>
    <definedName name="fmirlv.3">#REF!</definedName>
    <definedName name="fmirlv.4">#REF!</definedName>
    <definedName name="fmsd">#REF!</definedName>
    <definedName name="fmxr">#REF!</definedName>
    <definedName name="Fnos">#REF!</definedName>
    <definedName name="FOB">#REF!</definedName>
    <definedName name="FOB_10">"$#REF!.$C$16"</definedName>
    <definedName name="FOB_2">#REF!</definedName>
    <definedName name="FOB_9">"$#REF!.$C$16"</definedName>
    <definedName name="FOBFPL1">#REF!</definedName>
    <definedName name="fofcv100">#REF!</definedName>
    <definedName name="fofcv15">#REF!</definedName>
    <definedName name="fofcv150">[165]Factors!$F$110</definedName>
    <definedName name="fofcv152">#REF!</definedName>
    <definedName name="fofcv20">#REF!</definedName>
    <definedName name="fofcv200">#REF!</definedName>
    <definedName name="fofcv25">#REF!</definedName>
    <definedName name="fofcv250">#REF!</definedName>
    <definedName name="fofcv300">#REF!</definedName>
    <definedName name="fofcv32">#REF!</definedName>
    <definedName name="fofcv40">#REF!</definedName>
    <definedName name="fofcv50">#REF!</definedName>
    <definedName name="fofcv65">#REF!</definedName>
    <definedName name="fofcv80">#REF!</definedName>
    <definedName name="FOH">[49]Factors!$F$22</definedName>
    <definedName name="Fohinltp">[49]Factors!$F$24</definedName>
    <definedName name="FOHLights">'[76]Ra  stair'!#REF!</definedName>
    <definedName name="FOHlocal">[49]Factors!$F$23</definedName>
    <definedName name="FolderNo">[131]A!$A$15</definedName>
    <definedName name="foot">'[29]Raw Data'!#REF!</definedName>
    <definedName name="footing">[194]concrete!$L$65</definedName>
    <definedName name="Footing_Data">#REF!</definedName>
    <definedName name="Footings">#REF!</definedName>
    <definedName name="FORM">#REF!</definedName>
    <definedName name="format">#REF!</definedName>
    <definedName name="formk">#REF!</definedName>
    <definedName name="forml">#REF!</definedName>
    <definedName name="formm">#REF!</definedName>
    <definedName name="formre">#REF!</definedName>
    <definedName name="formtread">#REF!</definedName>
    <definedName name="Formula">#REF!</definedName>
    <definedName name="formula_5">#N/A</definedName>
    <definedName name="FORMULA_ELECT">#REF!</definedName>
    <definedName name="FORMULA19">#N/A</definedName>
    <definedName name="formwork_">'[71]Build Up rate'!$D$6</definedName>
    <definedName name="FOS">#REF!</definedName>
    <definedName name="four">[91]ANALISYS!$E$45</definedName>
    <definedName name="fourteen">#REF!</definedName>
    <definedName name="fourty">[91]ANALISYS!$E$485</definedName>
    <definedName name="fourtyfour">[91]ANALISYS!$E$529</definedName>
    <definedName name="fourtyone">[91]ANALISYS!$E$495</definedName>
    <definedName name="fourtythree">[91]ANALISYS!$E$518</definedName>
    <definedName name="fourtytwo">[91]ANALISYS!$E$507</definedName>
    <definedName name="foverhead">[169]Factors!#REF!</definedName>
    <definedName name="FP">"$#REF!.$#REF!$#REF!"</definedName>
    <definedName name="fpac1.1.i">[50]Factors!$G$441</definedName>
    <definedName name="fpac1.1.o">[50]Factors!$G$440</definedName>
    <definedName name="fpac1.10.i">[50]Factors!$G$459</definedName>
    <definedName name="fpac1.10.o">[50]Factors!$G$458</definedName>
    <definedName name="fpac1.11.i">[50]Factors!$G$461</definedName>
    <definedName name="fpac1.11.o">[50]Factors!$G$460</definedName>
    <definedName name="fpac1.12.i">[50]Factors!$G$463</definedName>
    <definedName name="fpac1.12.o">[50]Factors!$G$462</definedName>
    <definedName name="fpac1.13.i">[50]Factors!$G$465</definedName>
    <definedName name="fpac1.13.o">[50]Factors!$G$464</definedName>
    <definedName name="fpac1.15.i">[50]Factors!$G$469</definedName>
    <definedName name="fpac1.15.o">[50]Factors!$G$468</definedName>
    <definedName name="fpac1.16.i">[50]Factors!$G$471</definedName>
    <definedName name="fpac1.16.o">[50]Factors!$G$470</definedName>
    <definedName name="fpac1.17.i">[50]Factors!$G$473</definedName>
    <definedName name="fpac1.17.o">[50]Factors!$G$472</definedName>
    <definedName name="fpac1.18.i">[50]Factors!$G$475</definedName>
    <definedName name="fpac1.18.o">[50]Factors!$G$474</definedName>
    <definedName name="fpac1.19.i">[50]Factors!$G$477</definedName>
    <definedName name="fpac1.19.o">[50]Factors!$G$476</definedName>
    <definedName name="fpac1.20.i">[50]Factors!$G$479</definedName>
    <definedName name="fpac1.20.o">[50]Factors!$G$478</definedName>
    <definedName name="fpac1.21.i">[50]Factors!$G$481</definedName>
    <definedName name="fpac1.21.o">[50]Factors!$G$480</definedName>
    <definedName name="fpac1.22.i">[50]Factors!$G$483</definedName>
    <definedName name="fpac1.22.o">[50]Factors!$G$482</definedName>
    <definedName name="fpac1.23.i">[50]Factors!$G$485</definedName>
    <definedName name="fpac1.23.o">[50]Factors!$G$484</definedName>
    <definedName name="fpac1.24.i">[50]Factors!$G$487</definedName>
    <definedName name="fpac1.24.o">[50]Factors!$G$486</definedName>
    <definedName name="fpac1.25.i">[50]Factors!$G$489</definedName>
    <definedName name="fpac1.25.o">[50]Factors!$G$488</definedName>
    <definedName name="fpac1.26.i">[50]Factors!$G$491</definedName>
    <definedName name="fpac1.26.o">[50]Factors!$G$490</definedName>
    <definedName name="fpac1.27.i">[50]Factors!$G$493</definedName>
    <definedName name="fpac1.27.o">[50]Factors!$G$492</definedName>
    <definedName name="fpac1.28.i">[50]Factors!$G$495</definedName>
    <definedName name="fpac1.28.o">[50]Factors!$G$494</definedName>
    <definedName name="fpac1.29.i">[50]Factors!$G$497</definedName>
    <definedName name="fpac1.29.o">[50]Factors!$G$496</definedName>
    <definedName name="fpac1.3.i">[50]Factors!$G$445</definedName>
    <definedName name="fpac1.3.o">[50]Factors!$G$444</definedName>
    <definedName name="fpac1.4.i">[50]Factors!$G$447</definedName>
    <definedName name="fpac1.4.o">[50]Factors!$G$446</definedName>
    <definedName name="fpac1.5.i">[50]Factors!$G$449</definedName>
    <definedName name="fpac1.5.o">[50]Factors!$G$448</definedName>
    <definedName name="fpac1.6.i">[50]Factors!$G$451</definedName>
    <definedName name="fpac1.6.o">[50]Factors!$G$450</definedName>
    <definedName name="fpac1.7.i">[50]Factors!$G$453</definedName>
    <definedName name="fpac1.7.o">[50]Factors!$G$452</definedName>
    <definedName name="fpac1.8.i">[50]Factors!$G$455</definedName>
    <definedName name="fpac1.8.o">[50]Factors!$G$454</definedName>
    <definedName name="fpac1.9.i">[50]Factors!$G$457</definedName>
    <definedName name="fpac1.9.o">[50]Factors!$G$456</definedName>
    <definedName name="fpac2.1.i">[50]Factors!$G$499</definedName>
    <definedName name="fpac2.1.o">[50]Factors!$G$498</definedName>
    <definedName name="fpac2.10.i">[50]Factors!$G$517</definedName>
    <definedName name="fpac2.10.o">[50]Factors!$G$516</definedName>
    <definedName name="fpac2.11.i">[50]Factors!$G$519</definedName>
    <definedName name="fpac2.11.o">[50]Factors!$G$518</definedName>
    <definedName name="fpac2.12.i">[50]Factors!$G$521</definedName>
    <definedName name="fpac2.12.o">[50]Factors!$G$520</definedName>
    <definedName name="fpac2.2.i">[50]Factors!$G$501</definedName>
    <definedName name="fpac2.2.o">[50]Factors!$G$500</definedName>
    <definedName name="fpac2.3.i">[50]Factors!$G$503</definedName>
    <definedName name="fpac2.3.o">[50]Factors!$G$502</definedName>
    <definedName name="fpac2.4.i">[50]Factors!$G$505</definedName>
    <definedName name="fpac2.4.o">[50]Factors!$G$504</definedName>
    <definedName name="fpac2.5.i">[50]Factors!$G$507</definedName>
    <definedName name="fpac2.5.o">[50]Factors!$G$506</definedName>
    <definedName name="fpac2.6.i">[50]Factors!$G$509</definedName>
    <definedName name="fpac2.6.o">[50]Factors!$G$508</definedName>
    <definedName name="fpac2.7.i">[50]Factors!$G$511</definedName>
    <definedName name="fpac2.7.o">[50]Factors!$G$510</definedName>
    <definedName name="fpac2.8.i">[50]Factors!$G$513</definedName>
    <definedName name="fpac2.8.o">[50]Factors!$G$512</definedName>
    <definedName name="fpac2.9.i">[50]Factors!$G$515</definedName>
    <definedName name="fpac2.9.o">[50]Factors!$G$514</definedName>
    <definedName name="fpac3.1.i">[50]Factors!$G$523</definedName>
    <definedName name="fpac3.1.o">[50]Factors!$G$522</definedName>
    <definedName name="fpac3.2.i">[50]Factors!$G$525</definedName>
    <definedName name="fpac3.2.o">[50]Factors!$G$524</definedName>
    <definedName name="fpac3.3.i">[50]Factors!$G$527</definedName>
    <definedName name="fpac3.3.o">[50]Factors!$G$526</definedName>
    <definedName name="fpac3.4.i">[50]Factors!$G$529</definedName>
    <definedName name="fpac3.4.o">[50]Factors!$G$528</definedName>
    <definedName name="fpac3.5.i">[50]Factors!$G$531</definedName>
    <definedName name="fpac3.5.o">[50]Factors!$G$530</definedName>
    <definedName name="fpac3.6.i">[50]Factors!$G$533</definedName>
    <definedName name="fpac3.6.o">[50]Factors!$G$532</definedName>
    <definedName name="fpac3.7.i">[50]Factors!$G$535</definedName>
    <definedName name="fpac3.7.o">[50]Factors!$G$534</definedName>
    <definedName name="fpac3.8.i">[50]Factors!$G$537</definedName>
    <definedName name="fpac3.8.o">[50]Factors!$G$536</definedName>
    <definedName name="fpdf">[165]Factors!#REF!</definedName>
    <definedName name="fpe.100">#REF!</definedName>
    <definedName name="fpe.125">#REF!</definedName>
    <definedName name="fpe.15">#REF!</definedName>
    <definedName name="fpe.150">#REF!</definedName>
    <definedName name="fpe.20">#REF!</definedName>
    <definedName name="fpe.200">#REF!</definedName>
    <definedName name="fpe.25">#REF!</definedName>
    <definedName name="fpe.250">#REF!</definedName>
    <definedName name="fpe.32">#REF!</definedName>
    <definedName name="fpe.40">#REF!</definedName>
    <definedName name="fpe.50">#REF!</definedName>
    <definedName name="fpe.65">#REF!</definedName>
    <definedName name="fpe.80">#REF!</definedName>
    <definedName name="fph.1">[49]Factors!$K$126</definedName>
    <definedName name="fphd100">#REF!</definedName>
    <definedName name="fphd125">#REF!</definedName>
    <definedName name="fphd150">#REF!</definedName>
    <definedName name="fphd20">#REF!</definedName>
    <definedName name="fphd200">#REF!</definedName>
    <definedName name="fphd25">#REF!</definedName>
    <definedName name="fphd250">#REF!</definedName>
    <definedName name="fphd300">#REF!</definedName>
    <definedName name="fphd32">#REF!</definedName>
    <definedName name="fphd350">#REF!</definedName>
    <definedName name="fphd40">#REF!</definedName>
    <definedName name="fphd50">#REF!</definedName>
    <definedName name="fphd65">#REF!</definedName>
    <definedName name="fphd80">#REF!</definedName>
    <definedName name="fphd90">#REF!</definedName>
    <definedName name="fplinth">#REF!</definedName>
    <definedName name="fpp">#REF!</definedName>
    <definedName name="FPPR">#REF!</definedName>
    <definedName name="fppr10">#REF!</definedName>
    <definedName name="fppr100">#REF!</definedName>
    <definedName name="fppr100.20">#REF!</definedName>
    <definedName name="fppr125">#REF!</definedName>
    <definedName name="fppr15">#REF!</definedName>
    <definedName name="fppr15.20">#REF!</definedName>
    <definedName name="fppr150">#REF!</definedName>
    <definedName name="fppr150.20">#REF!</definedName>
    <definedName name="fppr20">#REF!</definedName>
    <definedName name="fppr20.20">#REF!</definedName>
    <definedName name="fppr200">#REF!</definedName>
    <definedName name="fppr25">#REF!</definedName>
    <definedName name="fppr25.20">#REF!</definedName>
    <definedName name="fppr250">#REF!</definedName>
    <definedName name="fppr300">#REF!</definedName>
    <definedName name="fppr32">#REF!</definedName>
    <definedName name="fppr32.20">#REF!</definedName>
    <definedName name="fppr40">#REF!</definedName>
    <definedName name="fppr40.20">#REF!</definedName>
    <definedName name="fppr50">#REF!</definedName>
    <definedName name="fppr50.20">#REF!</definedName>
    <definedName name="fppr65">#REF!</definedName>
    <definedName name="fppr65.20">#REF!</definedName>
    <definedName name="fppr80">#REF!</definedName>
    <definedName name="fppr80.20">#REF!</definedName>
    <definedName name="Fr.fac">#REF!</definedName>
    <definedName name="FR_10">"$#REF!.$C$17"</definedName>
    <definedName name="FR_9">"$#REF!.$C$17"</definedName>
    <definedName name="frag600">#REF!</definedName>
    <definedName name="frchina">"$#REF!.$#REF!$#REF!"</definedName>
    <definedName name="FRD_10">"$#REF!.$C$18"</definedName>
    <definedName name="FRD_9">"$#REF!.$C$18"</definedName>
    <definedName name="fred">#REF!</definedName>
    <definedName name="FREI">#REF!</definedName>
    <definedName name="frei.B">#REF!</definedName>
    <definedName name="FRF">#REF!</definedName>
    <definedName name="FRI">#REF!</definedName>
    <definedName name="FRI_10">"$#REF!.$C$19"</definedName>
    <definedName name="FRI_9">"$#REF!.$C$19"</definedName>
    <definedName name="frieprooftosteelstr">#REF!</definedName>
    <definedName name="frn">"$#REF!.$#REF!$#REF!"</definedName>
    <definedName name="From_page_Bill_No.05___5.2___Q___Page_5_of_63">#REF!</definedName>
    <definedName name="front">'[15]col-reinft1'!#REF!</definedName>
    <definedName name="front1">'[16]col-reinft1'!#REF!</definedName>
    <definedName name="FRONT11">'[16]col-reinft1'!#REF!</definedName>
    <definedName name="FRPI54.1">#REF!</definedName>
    <definedName name="frr">#N/A</definedName>
    <definedName name="frt">'[150]Factor Sheet'!$D$30</definedName>
    <definedName name="FRTCIF">#REF!</definedName>
    <definedName name="FRTFOB">#REF!</definedName>
    <definedName name="FRYJUNJ" hidden="1">{"PriceSheetNoMargins",#N/A,FALSE,"PriceSheet"}</definedName>
    <definedName name="FS">Arch-[32]Master01!$N$2:$N$65536</definedName>
    <definedName name="fsadasdf" hidden="1">[22]WB!#REF!</definedName>
    <definedName name="fsbsi">#REF!</definedName>
    <definedName name="FSDFSDF" hidden="1">{#N/A,#N/A,TRUE,"SUM";#N/A,#N/A,TRUE,"EE";#N/A,#N/A,TRUE,"AC";#N/A,#N/A,TRUE,"SN"}</definedName>
    <definedName name="FSDHBZSDF" hidden="1">{"PriceSheetNoMargins",#N/A,FALSE,"PriceSheet"}</definedName>
    <definedName name="fsfdsasafds">[28]!fsfdsasafds</definedName>
    <definedName name="fsfdsasafsd">[28]!fsfdsasafsd</definedName>
    <definedName name="fsg">#REF!</definedName>
    <definedName name="fsgasfg" hidden="1">{"PriceSheetNoMargins",#N/A,FALSE,"PriceSheet"}</definedName>
    <definedName name="fsgasfgfgfgfg" hidden="1">{"PriceSheetNoMargins",#N/A,FALSE,"PriceSheet"}</definedName>
    <definedName name="fsiso">#REF!</definedName>
    <definedName name="fsk.1">#REF!</definedName>
    <definedName name="fsk.2">#REF!</definedName>
    <definedName name="fslab">#REF!</definedName>
    <definedName name="FSLAB1">#REF!</definedName>
    <definedName name="fspd100">#REF!</definedName>
    <definedName name="fspd125">#REF!</definedName>
    <definedName name="fspd150">#REF!</definedName>
    <definedName name="fspd175">#REF!</definedName>
    <definedName name="fspd200">#REF!</definedName>
    <definedName name="fspd225">#REF!</definedName>
    <definedName name="fspd250">#REF!</definedName>
    <definedName name="fspd275">#REF!</definedName>
    <definedName name="fspd300">#REF!</definedName>
    <definedName name="fspd350">#REF!</definedName>
    <definedName name="fspd400">#REF!</definedName>
    <definedName name="fspd450">#REF!</definedName>
    <definedName name="fspd500">#REF!</definedName>
    <definedName name="fspd550">#REF!</definedName>
    <definedName name="fspd600">#REF!</definedName>
    <definedName name="fspd650">#REF!</definedName>
    <definedName name="fspi100">#REF!</definedName>
    <definedName name="fspi15">#REF!</definedName>
    <definedName name="fspi160">#REF!</definedName>
    <definedName name="fspi20">#REF!</definedName>
    <definedName name="fspi200">#REF!</definedName>
    <definedName name="fspi25">#REF!</definedName>
    <definedName name="fspi250">#REF!</definedName>
    <definedName name="fspi315">#REF!</definedName>
    <definedName name="fspi32">#REF!</definedName>
    <definedName name="fspi355">#REF!</definedName>
    <definedName name="fspi40">#REF!</definedName>
    <definedName name="fspi50">#REF!</definedName>
    <definedName name="fspi65">#REF!</definedName>
    <definedName name="fspi80">#REF!</definedName>
    <definedName name="fss.1">#REF!</definedName>
    <definedName name="fss.2">#REF!</definedName>
    <definedName name="fsss0.5">#REF!</definedName>
    <definedName name="FST_2">Arch-[32]Master01!$O$2:$O$65536</definedName>
    <definedName name="fstile">#REF!</definedName>
    <definedName name="ftile">#REF!</definedName>
    <definedName name="ftile2">#REF!</definedName>
    <definedName name="ftilew">#REF!</definedName>
    <definedName name="ftp">#REF!</definedName>
    <definedName name="ftppr20">#REF!</definedName>
    <definedName name="fuckit" hidden="1">{#N/A,#N/A,FALSE,"Cust.Disc.Profile";#N/A,#N/A,FALSE,"Referral 1";#N/A,#N/A,FALSE,"Referral 2";#N/A,#N/A,FALSE,"Referral 3";#N/A,#N/A,FALSE,"Approval+Reportback "}</definedName>
    <definedName name="FULL">#REF!</definedName>
    <definedName name="Full_Year">'[144]FY by Entity'!$G$17</definedName>
    <definedName name="fullbrick">#REF!</definedName>
    <definedName name="FUNCTION1">'[195]3A'!$E$133</definedName>
    <definedName name="FUNCTION2">#REF!</definedName>
    <definedName name="Funding">#REF!</definedName>
    <definedName name="Funding_XLD">#REF!</definedName>
    <definedName name="fup.1">#REF!</definedName>
    <definedName name="fur.1">#REF!</definedName>
    <definedName name="fur.2">#REF!</definedName>
    <definedName name="fur.3">#REF!</definedName>
    <definedName name="fur.4">#REF!</definedName>
    <definedName name="furn">#REF!</definedName>
    <definedName name="furniture">#REF!</definedName>
    <definedName name="Furniture_Charge_Rate">#REF!</definedName>
    <definedName name="fuse">#REF!</definedName>
    <definedName name="futdtr">#REF!</definedName>
    <definedName name="FV.100">#REF!</definedName>
    <definedName name="FV.UR">#REF!</definedName>
    <definedName name="FV.WC">#REF!</definedName>
    <definedName name="FVD">"$#REF!.$#REF!$#REF!"</definedName>
    <definedName name="fvd0.1">#REF!</definedName>
    <definedName name="fvd0.2">#REF!</definedName>
    <definedName name="fvd0.3">#REF!</definedName>
    <definedName name="fvd0.4">#REF!</definedName>
    <definedName name="fvd0.5">#REF!</definedName>
    <definedName name="fvd0.6">#REF!</definedName>
    <definedName name="fvd0.7">#REF!</definedName>
    <definedName name="fvd0.8">#REF!</definedName>
    <definedName name="fvd0.9">#REF!</definedName>
    <definedName name="fvd1.0">#REF!</definedName>
    <definedName name="fvd1.2">#REF!</definedName>
    <definedName name="fvd1.4">#REF!</definedName>
    <definedName name="fvd1.6">#REF!</definedName>
    <definedName name="fvd1.8">#REF!</definedName>
    <definedName name="fvd2.0">#REF!</definedName>
    <definedName name="fvd2.2">#REF!</definedName>
    <definedName name="fvd2.4">#REF!</definedName>
    <definedName name="fvdzv" hidden="1">[68]Cash2!$J$16:$J$36</definedName>
    <definedName name="FVGFVGFV" hidden="1">{"PriceSheetNoMargins",#N/A,FALSE,"PriceSheet"}</definedName>
    <definedName name="fviso.200">#REF!</definedName>
    <definedName name="fviso.50">#REF!</definedName>
    <definedName name="fvsffsfas">[196]Budget!$U$7</definedName>
    <definedName name="fw">#REF!</definedName>
    <definedName name="FWA">#REF!</definedName>
    <definedName name="fwc.1">#REF!</definedName>
    <definedName name="fwc.2">#REF!</definedName>
    <definedName name="fwc.3">#REF!</definedName>
    <definedName name="fwc.4">#REF!</definedName>
    <definedName name="fwc0.4">#REF!</definedName>
    <definedName name="fwc0.5">#REF!</definedName>
    <definedName name="fwc0.75">#REF!</definedName>
    <definedName name="fwc1.1">#REF!</definedName>
    <definedName name="fwc1.5">#REF!</definedName>
    <definedName name="fwc1.7">#REF!</definedName>
    <definedName name="fwc10.5">#REF!</definedName>
    <definedName name="fwc2.2">#REF!</definedName>
    <definedName name="fwc2.5">#REF!</definedName>
    <definedName name="fwc3.75">#REF!</definedName>
    <definedName name="fwc4.5">#REF!</definedName>
    <definedName name="fwc5.5">#REF!</definedName>
    <definedName name="fwc7.5">#REF!</definedName>
    <definedName name="fwfan1">#REF!</definedName>
    <definedName name="fwfan2">#REF!</definedName>
    <definedName name="fwfan3">#REF!</definedName>
    <definedName name="fwfan4">#REF!</definedName>
    <definedName name="fwfan6">#REF!</definedName>
    <definedName name="fwfgdf">#REF!</definedName>
    <definedName name="fWGFVGFwvswvgf" hidden="1">{"PriceSheetNoMargins",#N/A,FALSE,"PriceSheet"}</definedName>
    <definedName name="fwk">[77]BUR!$E$9</definedName>
    <definedName name="fwmac1.76">#REF!</definedName>
    <definedName name="fwmac2.36">#REF!</definedName>
    <definedName name="fwmac3.56">#REF!</definedName>
    <definedName name="fwmac4.35">#REF!</definedName>
    <definedName name="fwmac5.4">#REF!</definedName>
    <definedName name="fwmac6.15">#REF!</definedName>
    <definedName name="fwmac6.87">#REF!</definedName>
    <definedName name="fwmac7.93">#REF!</definedName>
    <definedName name="fwmac9.85">#REF!</definedName>
    <definedName name="FX_Index">#REF!</definedName>
    <definedName name="fx_list">'[170]NOV fx rates'!$D$9:$E$54</definedName>
    <definedName name="FXDBHZXDFBHFHFH" hidden="1">{"PriceSheetNoMargins",#N/A,FALSE,"PriceSheet"}</definedName>
    <definedName name="fxdgfdgh">[12]Plumbing!#REF!</definedName>
    <definedName name="FY">'[110]Dist Controls'!#REF!</definedName>
    <definedName name="FY_by_Entity">'[144]FY by Entity'!$G$17</definedName>
    <definedName name="FY04ActCk">#REF!</definedName>
    <definedName name="FY04Actuals">#REF!</definedName>
    <definedName name="FY05ActCk">#REF!</definedName>
    <definedName name="FY05Actuals">#REF!</definedName>
    <definedName name="fycAPEX1">#REF!</definedName>
    <definedName name="FZXGGHXFGHZXFGHZXF" hidden="1">{"PriceSheetNoMargins",#N/A,FALSE,"PriceSheet"}</definedName>
    <definedName name="g.bracket">#REF!</definedName>
    <definedName name="g.eight">[91]ANALISYS!$E$2533</definedName>
    <definedName name="g.eighteen">[91]ANALISYS!$E$2666</definedName>
    <definedName name="g.fifteen">[91]ANALISYS!$E$2626</definedName>
    <definedName name="g.five">[91]ANALISYS!$E$2494</definedName>
    <definedName name="g.four">[91]ANALISYS!$E$2479</definedName>
    <definedName name="g.fourteen">[91]ANALISYS!$E$2610</definedName>
    <definedName name="g.head">#REF!</definedName>
    <definedName name="g.joiner">#REF!</definedName>
    <definedName name="g.nine">[91]ANALISYS!$E$2544</definedName>
    <definedName name="g.nineteen">[91]ANALISYS!$E$2677</definedName>
    <definedName name="g.one">[91]ANALISYS!$E$2419</definedName>
    <definedName name="g.s.5">#REF!</definedName>
    <definedName name="g.s.5_10">"$#REF!.$H$34"</definedName>
    <definedName name="g.s.5_4">#REF!</definedName>
    <definedName name="g.s.5_5">#REF!</definedName>
    <definedName name="g.s.5_9">"$#REF!.$H$34"</definedName>
    <definedName name="g.s.75">#REF!</definedName>
    <definedName name="g.s.75_10">"$#REF!.$H$33"</definedName>
    <definedName name="g.s.75_4">#REF!</definedName>
    <definedName name="g.s.75_5">#REF!</definedName>
    <definedName name="g.s.75_9">"$#REF!.$H$33"</definedName>
    <definedName name="g.s1">#REF!</definedName>
    <definedName name="g.s1.5">#REF!</definedName>
    <definedName name="g.s1.5_10">"$#REF!.$H$31"</definedName>
    <definedName name="g.s1.5_4">#REF!</definedName>
    <definedName name="g.s1.5_5">#REF!</definedName>
    <definedName name="g.s1.5_9">"$#REF!.$H$31"</definedName>
    <definedName name="g.s1_10">"$#REF!.$H$32"</definedName>
    <definedName name="g.s1_4">#REF!</definedName>
    <definedName name="g.s1_5">#REF!</definedName>
    <definedName name="g.s1_9">"$#REF!.$H$32"</definedName>
    <definedName name="g.s2">#REF!</definedName>
    <definedName name="g.s2.5">#REF!</definedName>
    <definedName name="g.s2.5_10">"$#REF!.$H$29"</definedName>
    <definedName name="g.s2.5_4">#REF!</definedName>
    <definedName name="g.s2.5_5">#REF!</definedName>
    <definedName name="g.s2.5_9">"$#REF!.$H$29"</definedName>
    <definedName name="g.s2_10">"$#REF!.$H$30"</definedName>
    <definedName name="g.s2_4">#REF!</definedName>
    <definedName name="g.s2_5">#REF!</definedName>
    <definedName name="g.s2_9">"$#REF!.$H$30"</definedName>
    <definedName name="g.s3">#REF!</definedName>
    <definedName name="g.s3_10">"$#REF!.$H$28"</definedName>
    <definedName name="g.s3_4">#REF!</definedName>
    <definedName name="g.s3_5">#REF!</definedName>
    <definedName name="g.s3_9">"$#REF!.$H$28"</definedName>
    <definedName name="g.s4">#REF!</definedName>
    <definedName name="g.s4_10">"$#REF!.$H$27"</definedName>
    <definedName name="g.s4_4">#REF!</definedName>
    <definedName name="g.s4_5">#REF!</definedName>
    <definedName name="g.s4_9">"$#REF!.$H$27"</definedName>
    <definedName name="g.s6">#REF!</definedName>
    <definedName name="g.s6_10">"$#REF!.$H$26"</definedName>
    <definedName name="g.s6_4">#REF!</definedName>
    <definedName name="g.s6_5">#REF!</definedName>
    <definedName name="g.s6_9">"$#REF!.$H$26"</definedName>
    <definedName name="g.seven">[91]ANALISYS!$E$2521</definedName>
    <definedName name="g.seventeen">[91]ANALISYS!$E$2651</definedName>
    <definedName name="g.six">[91]ANALISYS!$E$2509</definedName>
    <definedName name="g.sixteen">[91]ANALISYS!$E$2638</definedName>
    <definedName name="g.ten">[91]ANALISYS!$E$2556</definedName>
    <definedName name="g.thirteen">[91]ANALISYS!$E$2594</definedName>
    <definedName name="g.thirty">[91]ANALISYS!$E$2796</definedName>
    <definedName name="g.thirtyfive">[91]ANALISYS!$E$2887</definedName>
    <definedName name="g.thirtyfour">[91]ANALISYS!$E$2866</definedName>
    <definedName name="g.thirtyone">[91]ANALISYS!$E$2816</definedName>
    <definedName name="g.thirtysix">[91]ANALISYS!$E$2901</definedName>
    <definedName name="g.thirtythree">[91]ANALISYS!$E$2849</definedName>
    <definedName name="g.thirtytwo">[91]ANALISYS!$E$2831</definedName>
    <definedName name="g.three">[91]ANALISYS!$E$2456</definedName>
    <definedName name="g.twelve">[91]ANALISYS!$E$2582</definedName>
    <definedName name="g.twenty">[91]ANALISYS!$E$2688</definedName>
    <definedName name="g.twentyeight">[91]ANALISYS!$E$2754</definedName>
    <definedName name="g.twentyfive">[91]ANALISYS!$E$2726</definedName>
    <definedName name="g.twentyfour">[91]ANALISYS!$E$2717</definedName>
    <definedName name="g.twentynine">[91]ANALISYS!$E$2776</definedName>
    <definedName name="g.twentyone">[91]ANALISYS!$E$2698</definedName>
    <definedName name="g.twentyseven">[91]ANALISYS!$E$2744</definedName>
    <definedName name="g.twentysix">[91]ANALISYS!$E$2735</definedName>
    <definedName name="g.twentythree">[91]ANALISYS!$E$2708</definedName>
    <definedName name="g.two">[91]ANALISYS!$E$2439</definedName>
    <definedName name="G_Tools_Tackle">#REF!</definedName>
    <definedName name="g0">#REF!</definedName>
    <definedName name="G15c">#REF!</definedName>
    <definedName name="G20c">#REF!</definedName>
    <definedName name="G30c">#REF!</definedName>
    <definedName name="gadGv" hidden="1">#REF!</definedName>
    <definedName name="GAEA" hidden="1">'[197]GAE8''97'!$H$9:$S$36</definedName>
    <definedName name="GAEAU" hidden="1">'[197]GAE8''97'!$E$10:$E$10</definedName>
    <definedName name="GAEAUG" hidden="1">'[197]GAE8''97'!$B$10:$B$10</definedName>
    <definedName name="gaeg" hidden="1">{"PriceSheetNoMargins",#N/A,FALSE,"PriceSheet"}</definedName>
    <definedName name="GAEU_LAB">'[29]Raw Data'!$D$6</definedName>
    <definedName name="GAGSGSFGSAFG" hidden="1">{"PriceSheetNoMargins",#N/A,FALSE,"PriceSheet"}</definedName>
    <definedName name="galv">#REF!</definedName>
    <definedName name="galvanisedgrating">#REF!</definedName>
    <definedName name="ganesh">#REF!</definedName>
    <definedName name="gas">'[169]BOQ PL'!#REF!</definedName>
    <definedName name="gasket">#REF!</definedName>
    <definedName name="gastank">'[169]BOQ PL'!#REF!</definedName>
    <definedName name="gate">#REF!</definedName>
    <definedName name="GB">"$#REF!.$#REF!$#REF!"</definedName>
    <definedName name="gblock">#REF!</definedName>
    <definedName name="Gbm">#REF!</definedName>
    <definedName name="GBP">[49]Factors!$D$8</definedName>
    <definedName name="GBP_2">#REF!</definedName>
    <definedName name="GBP2QAR">'[198]Section 2-SCHEDULE OF DAYWORK'!$N$2</definedName>
    <definedName name="GBSDGBSDGBSDG" hidden="1">{"PriceSheetNoMargins",#N/A,FALSE,"PriceSheet"}</definedName>
    <definedName name="GBUS">#REF!</definedName>
    <definedName name="GC9728SL">#REF!</definedName>
    <definedName name="GC9729SL">#REF!</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dfgdf" hidden="1">{"'Sheet1'!$L$16"}</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HZGHHB" hidden="1">{"PriceSheetNoMargins",#N/A,FALSE,"PriceSheet"}</definedName>
    <definedName name="gdshdghhgh" hidden="1">[199]Zones!#REF!</definedName>
    <definedName name="GE">#REF!</definedName>
    <definedName name="GEA">#REF!</definedName>
    <definedName name="gebc2">'[169]BOQ PL'!#REF!</definedName>
    <definedName name="GEMCO" hidden="1">#REF!</definedName>
    <definedName name="Gen_2">#REF!</definedName>
    <definedName name="GEN_VALVE">#REF!</definedName>
    <definedName name="gena">[103]Factors!$G$24</definedName>
    <definedName name="GENAL">[157]GEN!$A$1:$G$92,[157]GEN!$H$1:$J$92</definedName>
    <definedName name="gend">[103]Factors!$G$25</definedName>
    <definedName name="GENDX">[157]GEN!$A$1:$G$92,[157]GEN!$H$1:$J$92,[157]GEN!$K$1:$M$92</definedName>
    <definedName name="GENERAL_CONDITIONS">#REF!</definedName>
    <definedName name="General_No">#REF!</definedName>
    <definedName name="General_Notes">#REF!</definedName>
    <definedName name="GENSH">[157]GEN!$A$1:$G$92,[157]GEN!$H$1:$J$92,[157]GEN!$K$1:$M$92,[157]GEN!$N$1:$N$92</definedName>
    <definedName name="geo">#REF!</definedName>
    <definedName name="GeotextileA">#N/A</definedName>
    <definedName name="GERGRG" hidden="1">#REF!</definedName>
    <definedName name="gexc2">#REF!</definedName>
    <definedName name="gexc4">#REF!</definedName>
    <definedName name="gexc6">#REF!</definedName>
    <definedName name="gexc8">#REF!</definedName>
    <definedName name="GFA">#REF!</definedName>
    <definedName name="GFA_Area">#REF!</definedName>
    <definedName name="gfadds" hidden="1">#REF!</definedName>
    <definedName name="gfagqgr" hidden="1">{"'Sheet1'!$A$1:$R$58"}</definedName>
    <definedName name="GFASDFGASDFGA" hidden="1">{"PriceSheetNoMargins",#N/A,FALSE,"PriceSheet"}</definedName>
    <definedName name="gfbeams">'[200]beam-reinft'!#REF!</definedName>
    <definedName name="gfbngfn"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fd">#REF!</definedName>
    <definedName name="gfdagd" hidden="1">#REF!</definedName>
    <definedName name="gfdf" hidden="1">#REF!</definedName>
    <definedName name="gfdgfdg" hidden="1">{#N/A,#N/A,FALSE,"SumD";#N/A,#N/A,FALSE,"ElecD";#N/A,#N/A,FALSE,"MechD";#N/A,#N/A,FALSE,"GeotD";#N/A,#N/A,FALSE,"PrcsD";#N/A,#N/A,FALSE,"TunnD";#N/A,#N/A,FALSE,"CivlD";#N/A,#N/A,FALSE,"NtwkD";#N/A,#N/A,FALSE,"EstgD";#N/A,#N/A,FALSE,"PEngD"}</definedName>
    <definedName name="GFDS" hidden="1">{#N/A,#N/A,FALSE,"CCTV"}</definedName>
    <definedName name="GFDXS" hidden="1">{"PriceSheetNoMargins",#N/A,FALSE,"PriceSheet"}</definedName>
    <definedName name="gfdzaad" hidden="1">#REF!</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df" hidden="1">{#N/A,#N/A,FALSE,"Sub2.1";#N/A,#N/A,FALSE,"Conc2.2";#N/A,#N/A,FALSE,"Block2.3";#N/A,#N/A,FALSE,"Roof2.4";#N/A,#N/A,FALSE,"wood2.5";#N/A,#N/A,FALSE,"Door2.6";#N/A,#N/A,FALSE,"Finish2.7";#N/A,#N/A,FALSE,"Service2.8";#N/A,#N/A,FALSE,"Summary2"}</definedName>
    <definedName name="gfgdg">#REF!</definedName>
    <definedName name="gfgfgfgfg" hidden="1">{#N/A,#N/A,FALSE,"SumD";#N/A,#N/A,FALSE,"ElecD";#N/A,#N/A,FALSE,"MechD";#N/A,#N/A,FALSE,"GeotD";#N/A,#N/A,FALSE,"PrcsD";#N/A,#N/A,FALSE,"TunnD";#N/A,#N/A,FALSE,"CivlD";#N/A,#N/A,FALSE,"NtwkD";#N/A,#N/A,FALSE,"EstgD";#N/A,#N/A,FALSE,"PEngD"}</definedName>
    <definedName name="gfgfgfgss" hidden="1">{#N/A,#N/A,FALSE,"SumG";#N/A,#N/A,FALSE,"ElecG";#N/A,#N/A,FALSE,"MechG";#N/A,#N/A,FALSE,"GeotG";#N/A,#N/A,FALSE,"PrcsG";#N/A,#N/A,FALSE,"TunnG";#N/A,#N/A,FALSE,"CivlG";#N/A,#N/A,FALSE,"NtwkG";#N/A,#N/A,FALSE,"EstgG";#N/A,#N/A,FALSE,"PEngG"}</definedName>
    <definedName name="gfhdsjk">#REF!</definedName>
    <definedName name="gfhjhgjj">#REF!</definedName>
    <definedName name="gfjgfh" hidden="1">{#N/A,#N/A,FALSE,"CCTV"}</definedName>
    <definedName name="gfjgfhfg" hidden="1">{#N/A,#N/A,FALSE,"CCTV"}</definedName>
    <definedName name="gg24152.ljg" hidden="1">#REF!</definedName>
    <definedName name="ggd">[28]!ggd</definedName>
    <definedName name="ggfgfgfgf" hidden="1">#REF!</definedName>
    <definedName name="ggfgfgfgfgfgfgfgfgfg">#REF!</definedName>
    <definedName name="ggg">[28]!ggg</definedName>
    <definedName name="gggg" hidden="1">{#N/A,#N/A,FALSE,"SumD";#N/A,#N/A,FALSE,"ElecD";#N/A,#N/A,FALSE,"MechD";#N/A,#N/A,FALSE,"GeotD";#N/A,#N/A,FALSE,"PrcsD";#N/A,#N/A,FALSE,"TunnD";#N/A,#N/A,FALSE,"CivlD";#N/A,#N/A,FALSE,"NtwkD";#N/A,#N/A,FALSE,"EstgD";#N/A,#N/A,FALSE,"PEngD"}</definedName>
    <definedName name="GGGGG" hidden="1">{#N/A,#N/A,TRUE,"SUM";#N/A,#N/A,TRUE,"EE";#N/A,#N/A,TRUE,"AC";#N/A,#N/A,TRUE,"SN"}</definedName>
    <definedName name="GGGGGGG">#REF!</definedName>
    <definedName name="GGMNAME">#REF!</definedName>
    <definedName name="ggr">#REF!</definedName>
    <definedName name="GGSFAGASFGSFGSFG" hidden="1">{"PriceSheetNoMargins",#N/A,FALSE,"PriceSheet"}</definedName>
    <definedName name="ghf"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hggg" hidden="1">{#N/A,#N/A,FALSE,"SumG";#N/A,#N/A,FALSE,"ElecG";#N/A,#N/A,FALSE,"MechG";#N/A,#N/A,FALSE,"GeotG";#N/A,#N/A,FALSE,"PrcsG";#N/A,#N/A,FALSE,"TunnG";#N/A,#N/A,FALSE,"CivlG";#N/A,#N/A,FALSE,"NtwkG";#N/A,#N/A,FALSE,"EstgG";#N/A,#N/A,FALSE,"PEngG"}</definedName>
    <definedName name="ghgh">#REF!</definedName>
    <definedName name="ghghfvbvjhghfvghchg">#REF!</definedName>
    <definedName name="GHGHGH" hidden="1">{"PriceSheetNoMargins",#N/A,FALSE,"PriceSheet"}</definedName>
    <definedName name="ghghhhhsdfh" hidden="1">[199]Zones!#REF!</definedName>
    <definedName name="ghhgf">#REF!</definedName>
    <definedName name="GHHHHHHHHHHHHHH" hidden="1">{"PriceSheetNoMargins",#N/A,FALSE,"PriceSheet"}</definedName>
    <definedName name="GHJGJGFHUFHH">#REF!</definedName>
    <definedName name="GHSDGHSDGH" hidden="1">{"PriceSheetNoMargins",#N/A,FALSE,"PriceSheet"}</definedName>
    <definedName name="ght">#REF!</definedName>
    <definedName name="ghtr">#REF!</definedName>
    <definedName name="GHTRASDGHTRGH" hidden="1">{"PriceSheetNoMargins",#N/A,FALSE,"PriceSheet"}</definedName>
    <definedName name="ghwkd">#REF!</definedName>
    <definedName name="gi.300">#REF!</definedName>
    <definedName name="gi.sheet18">#REF!</definedName>
    <definedName name="gi_100">"$#REF!.$#REF!$#REF!"</definedName>
    <definedName name="gi_150">"$#REF!.$#REF!$#REF!"</definedName>
    <definedName name="gi_200">"$#REF!.$#REF!$#REF!"</definedName>
    <definedName name="gi_25">"$#REF!.$#REF!$#REF!"</definedName>
    <definedName name="gi_250">"$#REF!.$#REF!$#REF!"</definedName>
    <definedName name="gi_300">"$#REF!.$#REF!$#REF!"</definedName>
    <definedName name="gi_32">"$#REF!.$#REF!$#REF!"</definedName>
    <definedName name="gi_40">"$#REF!.$#REF!$#REF!"</definedName>
    <definedName name="gi_50">"$#REF!.$#REF!$#REF!"</definedName>
    <definedName name="gi_65">"$#REF!.$#REF!$#REF!"</definedName>
    <definedName name="gi_80">"$#REF!.$#REF!$#REF!"</definedName>
    <definedName name="GI_BUDGET">#REF!</definedName>
    <definedName name="GI_CUMUL">#REF!</definedName>
    <definedName name="GI_EOS">#REF!</definedName>
    <definedName name="GI_EOS_LAST">#REF!</definedName>
    <definedName name="GI_LAST">#REF!</definedName>
    <definedName name="gidis">"$#REF!.$#REF!$#REF!"</definedName>
    <definedName name="gif">#REF!</definedName>
    <definedName name="GIP">#REF!</definedName>
    <definedName name="gjhg">#REF!</definedName>
    <definedName name="GJJJ">#REF!</definedName>
    <definedName name="gl.300">#REF!</definedName>
    <definedName name="GL_XLD">#REF!</definedName>
    <definedName name="glass3">#REF!</definedName>
    <definedName name="glass5">#REF!</definedName>
    <definedName name="glassblk1">#REF!</definedName>
    <definedName name="glassblk2">#REF!</definedName>
    <definedName name="glassmirror">#REF!</definedName>
    <definedName name="glasspaver">#REF!</definedName>
    <definedName name="glassw50">#REF!</definedName>
    <definedName name="glasswb25">[50]Factors!$D$374</definedName>
    <definedName name="glb_100">"$#REF!.$#REF!$#REF!"</definedName>
    <definedName name="glb_150">"$#REF!.$#REF!$#REF!"</definedName>
    <definedName name="glb_200">"$#REF!.$#REF!$#REF!"</definedName>
    <definedName name="glb_25">"$#REF!.$#REF!$#REF!"</definedName>
    <definedName name="glb_250">"$#REF!.$#REF!$#REF!"</definedName>
    <definedName name="glb_300">"$#REF!.$#REF!$#REF!"</definedName>
    <definedName name="glb_32">"$#REF!.$#REF!$#REF!"</definedName>
    <definedName name="glb_40">"$#REF!.$#REF!$#REF!"</definedName>
    <definedName name="glb_50">"$#REF!.$#REF!$#REF!"</definedName>
    <definedName name="glb_65">"$#REF!.$#REF!$#REF!"</definedName>
    <definedName name="glb_80">"$#REF!.$#REF!$#REF!"</definedName>
    <definedName name="glines">#REF!</definedName>
    <definedName name="globe">#REF!</definedName>
    <definedName name="globref">INDIRECT("rc",FALSE)</definedName>
    <definedName name="globref_1">INDIRECT("rc")</definedName>
    <definedName name="globref_2">INDIRECT("rc")</definedName>
    <definedName name="globref_8">INDIRECT("rc")</definedName>
    <definedName name="GLs">#REF!</definedName>
    <definedName name="glue">[49]Factors!$R$310</definedName>
    <definedName name="gluehpi">#REF!</definedName>
    <definedName name="gluinsu">#REF!</definedName>
    <definedName name="gluinsustm">#REF!</definedName>
    <definedName name="GM_tot">#REF!</definedName>
    <definedName name="gm50105ct">#REF!</definedName>
    <definedName name="gm50105s">#REF!</definedName>
    <definedName name="GMM">'[16]col-reinft1'!#REF!</definedName>
    <definedName name="go">[53]GIAVLIEU!$M$70</definedName>
    <definedName name="GoBack">[153]Sheet1!GoBack</definedName>
    <definedName name="goi">[53]GIAVLIEU!$M$67</definedName>
    <definedName name="Goodwill_growth_fore">#REF!</definedName>
    <definedName name="GovOSMgn">#REF!</definedName>
    <definedName name="Grade_Beam_Data">#REF!</definedName>
    <definedName name="GRADE_BEAMS">#REF!</definedName>
    <definedName name="GRAF">[77]BUR!$E$17</definedName>
    <definedName name="granirapid">#REF!</definedName>
    <definedName name="grano">#REF!</definedName>
    <definedName name="GranoF">[77]BUR!$E$18</definedName>
    <definedName name="GRANULAR">'[46]BUR3-DrnRC'!$K$652</definedName>
    <definedName name="Graph">#REF!</definedName>
    <definedName name="gravel">#REF!</definedName>
    <definedName name="GRBB">'[169]BOQ PL'!#REF!</definedName>
    <definedName name="GRBC1">'[169]BOQ PL'!#REF!</definedName>
    <definedName name="GRBC2">'[49]BOQ PL'!#REF!</definedName>
    <definedName name="GRBE1">'[49]BOQ PL'!#REF!</definedName>
    <definedName name="GRBE2">'[49]BOQ PL'!#REF!</definedName>
    <definedName name="grbmb">'[49]BOQ PL'!#REF!</definedName>
    <definedName name="gre"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Green">'[29]Raw Data'!$C$24:$D$25</definedName>
    <definedName name="GREENSGD.PTADJ">[69]Summary!$HC$187:$HC$188</definedName>
    <definedName name="grfawr" hidden="1">{"PriceSheetNoMargins",#N/A,FALSE,"PriceSheet"}</definedName>
    <definedName name="grgreg" hidden="1">{#N/A,#N/A,FALSE,"SumD";#N/A,#N/A,FALSE,"ElecD";#N/A,#N/A,FALSE,"MechD";#N/A,#N/A,FALSE,"GeotD";#N/A,#N/A,FALSE,"PrcsD";#N/A,#N/A,FALSE,"TunnD";#N/A,#N/A,FALSE,"CivlD";#N/A,#N/A,FALSE,"NtwkD";#N/A,#N/A,FALSE,"EstgD";#N/A,#N/A,FALSE,"PEngD"}</definedName>
    <definedName name="GRGRG" hidden="1">#REF!</definedName>
    <definedName name="Grinnell_Fire_Protection">#REF!</definedName>
    <definedName name="groove">#REF!</definedName>
    <definedName name="grooveline10mmUpvcstrip">'[71]Build Up rate'!$D$46</definedName>
    <definedName name="Gross_income_fore">#REF!</definedName>
    <definedName name="Gross_income_growth_avg">#REF!</definedName>
    <definedName name="Gross_margin_fore">#REF!</definedName>
    <definedName name="gross_multiple">#REF!</definedName>
    <definedName name="Gross_valuation1_RM">#REF!</definedName>
    <definedName name="Gross_valuation2_RM">#REF!</definedName>
    <definedName name="Grounc">#REF!</definedName>
    <definedName name="GROUND_COVER">#N/A</definedName>
    <definedName name="GROUND_WIRE">#REF!</definedName>
    <definedName name="GROUNDING">#REF!</definedName>
    <definedName name="group">#REF!</definedName>
    <definedName name="Group10">#REF!</definedName>
    <definedName name="Group20">#REF!</definedName>
    <definedName name="Group3">#REF!</definedName>
    <definedName name="Group30">#REF!</definedName>
    <definedName name="Group4">#REF!</definedName>
    <definedName name="Group60">#REF!</definedName>
    <definedName name="Group70">#REF!</definedName>
    <definedName name="Group98">#REF!</definedName>
    <definedName name="GroupNameTable">#REF!</definedName>
    <definedName name="GroupNo.">[147]Database!#REF!</definedName>
    <definedName name="gs">#REF!</definedName>
    <definedName name="GS.1">#REF!</definedName>
    <definedName name="GS.2">#REF!</definedName>
    <definedName name="gsdf">#REF!</definedName>
    <definedName name="GSFG" hidden="1">{"PriceSheetNoMargins",#N/A,FALSE,"PriceSheet"}</definedName>
    <definedName name="GSFGSAFG" hidden="1">{"PriceSheetNoMargins",#N/A,FALSE,"PriceSheet"}</definedName>
    <definedName name="gsktxd">[143]!gsktxd</definedName>
    <definedName name="GSRG" hidden="1">{"PriceSheetNoMargins",#N/A,FALSE,"PriceSheet"}</definedName>
    <definedName name="gt">#REF!</definedName>
    <definedName name="gt.150">[165]Factors!#REF!</definedName>
    <definedName name="GT_ELECT">#REF!</definedName>
    <definedName name="GTOT">#REF!</definedName>
    <definedName name="gtrap">'[169]BOQ PL'!#REF!</definedName>
    <definedName name="gtryewqbhtg4bnq3b">#REF!</definedName>
    <definedName name="guang">Arch-[32]Master01!$L$2:$L$65536</definedName>
    <definedName name="GuardHouse">#REF!</definedName>
    <definedName name="Guardrail">#N/A</definedName>
    <definedName name="GUATEMALA">#REF!</definedName>
    <definedName name="gulley6">#REF!</definedName>
    <definedName name="Gully">'[201]Unit Rates-Duty Free'!$Y$235</definedName>
    <definedName name="gutter">#REF!</definedName>
    <definedName name="guy">#REF!</definedName>
    <definedName name="GV">#REF!</definedName>
    <definedName name="GV.300">#REF!</definedName>
    <definedName name="gv.325">#REF!</definedName>
    <definedName name="GV.350">[66]Price!$J$7</definedName>
    <definedName name="GV.400">[66]Price!$J$6</definedName>
    <definedName name="gv_100">"$#REF!.$#REF!$#REF!"</definedName>
    <definedName name="gv_150">"$#REF!.$#REF!$#REF!"</definedName>
    <definedName name="gv_200">"$#REF!.$#REF!$#REF!"</definedName>
    <definedName name="gv_25">"$#REF!.$#REF!$#REF!"</definedName>
    <definedName name="gv_250">"$#REF!.$#REF!$#REF!"</definedName>
    <definedName name="gv_300">"$#REF!.$#REF!$#REF!"</definedName>
    <definedName name="gv_32">"$#REF!.$#REF!$#REF!"</definedName>
    <definedName name="gv_40">"$#REF!.$#REF!$#REF!"</definedName>
    <definedName name="gv_50">"$#REF!.$#REF!$#REF!"</definedName>
    <definedName name="gv_65">"$#REF!.$#REF!$#REF!"</definedName>
    <definedName name="gv_80">"$#REF!.$#REF!$#REF!"</definedName>
    <definedName name="gvrehtbvgfdc">#REF!</definedName>
    <definedName name="gwkd">#REF!</definedName>
    <definedName name="Gyp9mm">'[71]Build Up rate'!$D$49</definedName>
    <definedName name="Gypceilingwithconcealed">#REF!</definedName>
    <definedName name="GypceilingwithTbar">#REF!</definedName>
    <definedName name="Gypsum">#REF!</definedName>
    <definedName name="GZBHXCGGHGH" hidden="1">{"PriceSheetNoMargins",#N/A,FALSE,"PriceSheet"}</definedName>
    <definedName name="GZXCGCGHGFH" hidden="1">{"PriceSheetNoMargins",#N/A,FALSE,"PriceSheet"}</definedName>
    <definedName name="h.bolt">#REF!</definedName>
    <definedName name="h.eighteen">[91]ANALISYS!$E$3187</definedName>
    <definedName name="h.eleven">[91]ANALISYS!$E$3088</definedName>
    <definedName name="h.fifteen">[91]ANALISYS!$E$3144</definedName>
    <definedName name="h.fifty">[91]ANALISYS!$E$3755</definedName>
    <definedName name="h.fiftyeight">[91]ANALISYS!$E$3880</definedName>
    <definedName name="h.fiftyfive">[91]ANALISYS!$E$3832</definedName>
    <definedName name="h.fiftyfour">[91]ANALISYS!$E$3808</definedName>
    <definedName name="h.fiftynine">[91]ANALISYS!$E$3894</definedName>
    <definedName name="h.fiftyone">[91]ANALISYS!$E$3768</definedName>
    <definedName name="h.fiftyseven">[91]ANALISYS!$E$3867</definedName>
    <definedName name="h.fiftysix">[91]ANALISYS!$E$3855</definedName>
    <definedName name="h.fiftythree">[91]ANALISYS!$E$3796</definedName>
    <definedName name="h.fiftytwo">[91]ANALISYS!$E$3782</definedName>
    <definedName name="h.five">[91]ANALISYS!$E$2986</definedName>
    <definedName name="h.fourteen">[91]ANALISYS!$E$3131</definedName>
    <definedName name="h.fourty">[91]ANALISYS!$E$3609</definedName>
    <definedName name="h.fourtyeight">[91]ANALISYS!$E$3730</definedName>
    <definedName name="h.fourtyfive">[91]ANALISYS!$E$3680</definedName>
    <definedName name="h.fourtyfour">[91]ANALISYS!$E$3670</definedName>
    <definedName name="h.fourtynine">[91]ANALISYS!$E$3742</definedName>
    <definedName name="h.fourtyone">[91]ANALISYS!$E$3619</definedName>
    <definedName name="h.fourtyseven">[91]ANALISYS!$E$3718</definedName>
    <definedName name="h.fourtysix">[91]ANALISYS!$E$3694</definedName>
    <definedName name="h.fourtythree">[91]ANALISYS!$E$3658</definedName>
    <definedName name="h.fourtytwo">[91]ANALISYS!$E$3639</definedName>
    <definedName name="h.nine">[91]ANALISYS!$E$3046</definedName>
    <definedName name="h.nineteen">[91]ANALISYS!$E$3201</definedName>
    <definedName name="h.one">[91]ANALISYS!$E$2933</definedName>
    <definedName name="h.seven">[91]ANALISYS!$E$3016</definedName>
    <definedName name="h.seventeen">[91]ANALISYS!$E$3172</definedName>
    <definedName name="h.seventy">[91]ANALISYS!$E$4097</definedName>
    <definedName name="h.six">[91]ANALISYS!$E$3001</definedName>
    <definedName name="h.sixteen">[91]ANALISYS!$E$3158</definedName>
    <definedName name="h.sixty">[91]ANALISYS!$E$3906</definedName>
    <definedName name="h.sixtyeight">[91]ANALISYS!$E$4055</definedName>
    <definedName name="h.sixtyfive">[91]ANALISYS!$E$3992</definedName>
    <definedName name="h.sixtyfour">[91]ANALISYS!$E$3965</definedName>
    <definedName name="h.sixtynine">[91]ANALISYS!$E$4077</definedName>
    <definedName name="h.sixtyone">[91]ANALISYS!$E$3919</definedName>
    <definedName name="h.sixtyseven">[91]ANALISYS!$E$4040</definedName>
    <definedName name="h.sixtysix">[91]ANALISYS!$E$4019</definedName>
    <definedName name="h.sixtythree">[91]ANALISYS!$E$3948</definedName>
    <definedName name="h.sixtytwo">[91]ANALISYS!$E$3930</definedName>
    <definedName name="h.thirteen">[91]ANALISYS!$E$3117</definedName>
    <definedName name="h.thirty">[91]ANALISYS!$E$3442</definedName>
    <definedName name="h.thirtyeight">[91]ANALISYS!$E$3581</definedName>
    <definedName name="h.thirtyfive">[91]ANALISYS!$E$3541</definedName>
    <definedName name="h.thirtyfour">[91]ANALISYS!$E$3531</definedName>
    <definedName name="h.thirtynine">[91]ANALISYS!$E$3597</definedName>
    <definedName name="h.thirtyone">[91]ANALISYS!$E$3471</definedName>
    <definedName name="h.thirtyseven">[91]ANALISYS!$E$3568</definedName>
    <definedName name="h.thirtysix">[91]ANALISYS!$E$3552</definedName>
    <definedName name="h.thirtythree">[91]ANALISYS!$E$3520</definedName>
    <definedName name="h.thirtytwo">[91]ANALISYS!$E$3495</definedName>
    <definedName name="h.three">[91]ANALISYS!$E$2961</definedName>
    <definedName name="h.twelve">[91]ANALISYS!$E$3102</definedName>
    <definedName name="h.twenty">[91]ANALISYS!$E$3211</definedName>
    <definedName name="h.twentyeight">[91]ANALISYS!$E$3393</definedName>
    <definedName name="h.twentyfive">[91]ANALISYS!$E$3318</definedName>
    <definedName name="h.twentyfour">[91]ANALISYS!$E$3300</definedName>
    <definedName name="h.twentyone">[91]ANALISYS!$E$3228</definedName>
    <definedName name="h.twentyseven">[91]ANALISYS!$E$3373</definedName>
    <definedName name="h.twentysix">[91]ANALISYS!$E$3345</definedName>
    <definedName name="h.twentythree">[91]ANALISYS!$E$3281</definedName>
    <definedName name="h.twentytwo">[91]ANALISYS!$E$3254</definedName>
    <definedName name="h.two">[91]ANALISYS!$E$2948</definedName>
    <definedName name="H_1">NA()</definedName>
    <definedName name="H_1_1">NA()</definedName>
    <definedName name="H_1_2">NA()</definedName>
    <definedName name="H_2">NA()</definedName>
    <definedName name="H_2_1">NA()</definedName>
    <definedName name="H_2_2">NA()</definedName>
    <definedName name="H_3">NA()</definedName>
    <definedName name="H_3_1">NA()</definedName>
    <definedName name="H_3_2">NA()</definedName>
    <definedName name="H_4">NA()</definedName>
    <definedName name="H_4_1">NA()</definedName>
    <definedName name="H_4_2">NA()</definedName>
    <definedName name="H_6">NA()</definedName>
    <definedName name="H_6_1">NA()</definedName>
    <definedName name="H_6_2">NA()</definedName>
    <definedName name="H_7">NA()</definedName>
    <definedName name="H_7_1">NA()</definedName>
    <definedName name="H_7_2">NA()</definedName>
    <definedName name="H_Client_Facility">#REF!</definedName>
    <definedName name="h2o">#REF!</definedName>
    <definedName name="halfbrick">#REF!</definedName>
    <definedName name="halfbrickwall">'[134]SCH3'!$H$2</definedName>
    <definedName name="halfdr">#REF!</definedName>
    <definedName name="halfdr2">#REF!</definedName>
    <definedName name="halfmdr">#REF!</definedName>
    <definedName name="HAND_VLV_MANIF">#REF!</definedName>
    <definedName name="hardcore">#REF!</definedName>
    <definedName name="hardcore150">#REF!</definedName>
    <definedName name="hardener">#REF!</definedName>
    <definedName name="HARDSCAPE">#N/A</definedName>
    <definedName name="hardwar" hidden="1">#REF!</definedName>
    <definedName name="hat">[28]!hat</definedName>
    <definedName name="Hazardous">[102]Sheet2!$B$1:$B$2</definedName>
    <definedName name="HB.1">#REF!</definedName>
    <definedName name="HBDGSBHSDGBHSDG" hidden="1">{"PriceSheetNoMargins",#N/A,FALSE,"PriceSheet"}</definedName>
    <definedName name="HBSDGHBSDGH" hidden="1">{"PriceSheetNoMargins",#N/A,FALSE,"PriceSheet"}</definedName>
    <definedName name="HCD_ALSLIGHTCOND_QTY">#REF!</definedName>
    <definedName name="HCD_BUS_HRS">#REF!</definedName>
    <definedName name="HCD_BUS_LAB">#REF!</definedName>
    <definedName name="HCD_BUS_MAT">#REF!</definedName>
    <definedName name="HCD_BUS_QTY">#REF!</definedName>
    <definedName name="HCD_BUS_SC">#REF!</definedName>
    <definedName name="HCD_BUS_SCHRS">#REF!</definedName>
    <definedName name="HCD_CBL_HRS">#REF!</definedName>
    <definedName name="HCD_CBL_LAB">#REF!</definedName>
    <definedName name="HCD_CBL_MAT">#REF!</definedName>
    <definedName name="HCD_CBL_QTY">#REF!</definedName>
    <definedName name="HCD_CBL_SC">#REF!</definedName>
    <definedName name="HCD_CBL_SCHRS">#REF!</definedName>
    <definedName name="HCD_CKT_QTY">#REF!</definedName>
    <definedName name="HCD_CONNECT_HRS">#REF!</definedName>
    <definedName name="HCD_CONNECT_LAB">#REF!</definedName>
    <definedName name="HCD_CONNECT_MAT">#REF!</definedName>
    <definedName name="HCD_CONNECT_QTY">#REF!</definedName>
    <definedName name="HCD_CONNECT_SC">#REF!</definedName>
    <definedName name="HCD_CONNECT_SCHRS">#REF!</definedName>
    <definedName name="HCD_CSCBL_QTY">#REF!</definedName>
    <definedName name="HCD_CSCOND_QTY">#REF!</definedName>
    <definedName name="HCD_DBLGTCBL_QTY">#REF!</definedName>
    <definedName name="HCD_DCUPS_HRS">#REF!</definedName>
    <definedName name="HCD_DCUPS_LAB">#REF!</definedName>
    <definedName name="HCD_DCUPS_MAT">#REF!</definedName>
    <definedName name="HCD_DCUPS_QTY">#REF!</definedName>
    <definedName name="HCD_DCUPS_SC">#REF!</definedName>
    <definedName name="HCD_DCUPS_SCHRS">#REF!</definedName>
    <definedName name="HCD_DEMO_HRS">#REF!</definedName>
    <definedName name="HCD_DEMO_LAB">#REF!</definedName>
    <definedName name="HCD_DEMO_MAT">#REF!</definedName>
    <definedName name="HCD_DEMO_QTY">#REF!</definedName>
    <definedName name="HCD_DEMO_SC">#REF!</definedName>
    <definedName name="HCD_DEMO_SCHRS">#REF!</definedName>
    <definedName name="HCD_FIXT_QTY">#REF!</definedName>
    <definedName name="HCD_GNDCBL_QTY">#REF!</definedName>
    <definedName name="HCD_INDRFIXT_QTY">#REF!</definedName>
    <definedName name="HCD_INSTRAUXPNL_HRS">#REF!</definedName>
    <definedName name="HCD_INSTRAUXPNL_LAB">#REF!</definedName>
    <definedName name="HCD_INSTRAUXPNL_MAT">#REF!</definedName>
    <definedName name="HCD_INSTRAUXPNL_QTY">#REF!</definedName>
    <definedName name="HCD_INSTRAUXPNL_SC">#REF!</definedName>
    <definedName name="HCD_INSTRAUXPNL_SCHRS">#REF!</definedName>
    <definedName name="HCD_INSTRCEMS_HRS">#REF!</definedName>
    <definedName name="HCD_INSTRCEMS_LAB">#REF!</definedName>
    <definedName name="HCD_INSTRCEMS_MAT">#REF!</definedName>
    <definedName name="HCD_INSTRCEMS_QTY">#REF!</definedName>
    <definedName name="HCD_INSTRCEMS_SC">#REF!</definedName>
    <definedName name="HCD_INSTRCEMS_SCHRS">#REF!</definedName>
    <definedName name="HCD_INSTRDCS_HRS">#REF!</definedName>
    <definedName name="HCD_INSTRDCS_LAB">#REF!</definedName>
    <definedName name="HCD_INSTRDCS_MAT">#REF!</definedName>
    <definedName name="HCD_INSTRDCS_QTY">#REF!</definedName>
    <definedName name="HCD_INSTRDCS_SC">#REF!</definedName>
    <definedName name="HCD_INSTRDCS_SCHRS">#REF!</definedName>
    <definedName name="HCD_INSTRELEC_HRS">#REF!</definedName>
    <definedName name="HCD_INSTRELEC_LAB">#REF!</definedName>
    <definedName name="HCD_INSTRELEC_MAT">#REF!</definedName>
    <definedName name="HCD_INSTRELEC_QTY">#REF!</definedName>
    <definedName name="HCD_INSTRELEC_SC">#REF!</definedName>
    <definedName name="HCD_INSTRELEC_SCHRS">#REF!</definedName>
    <definedName name="HCD_INSTRMECH_HRS">#REF!</definedName>
    <definedName name="HCD_INSTRMECH_LAB">#REF!</definedName>
    <definedName name="HCD_INSTRMECH_MAT">#REF!</definedName>
    <definedName name="HCD_INSTRMECH_QTY">#REF!</definedName>
    <definedName name="HCD_INSTRMECH_SC">#REF!</definedName>
    <definedName name="HCD_INSTRMECH_SCHRS">#REF!</definedName>
    <definedName name="HCD_INSTRMECHMISC_HRS">#REF!</definedName>
    <definedName name="HCD_INSTRMECHMISC_LAB">#REF!</definedName>
    <definedName name="HCD_INSTRMECHMISC_MAT">#REF!</definedName>
    <definedName name="HCD_INSTRMECHMISC_QTY">#REF!</definedName>
    <definedName name="HCD_INSTRMECHMISC_SC">#REF!</definedName>
    <definedName name="HCD_INSTRMECHMISC_SCHRS">#REF!</definedName>
    <definedName name="HCD_INSTRMISC_HRS">#REF!</definedName>
    <definedName name="HCD_INSTRMISC_LAB">#REF!</definedName>
    <definedName name="HCD_INSTRMISC_MAT">#REF!</definedName>
    <definedName name="HCD_INSTRMISC_QTY">#REF!</definedName>
    <definedName name="HCD_INSTRMISC_SC">#REF!</definedName>
    <definedName name="HCD_INSTRMISC_SCHRS">#REF!</definedName>
    <definedName name="HCD_INSTRMODSTND_HRS">#REF!</definedName>
    <definedName name="HCD_INSTRMODSTND_LAB">#REF!</definedName>
    <definedName name="HCD_INSTRMODSTND_MAT">#REF!</definedName>
    <definedName name="HCD_INSTRMODSTND_QTY">#REF!</definedName>
    <definedName name="HCD_INSTRMODSTND_SC">#REF!</definedName>
    <definedName name="HCD_INSTRMODSTND_SCHRS">#REF!</definedName>
    <definedName name="HCD_INSTRTUBE_HRS">#REF!</definedName>
    <definedName name="HCD_INSTRTUBE_LAB">#REF!</definedName>
    <definedName name="HCD_INSTRTUBE_MAT">#REF!</definedName>
    <definedName name="HCD_INSTRTUBE_QTY">#REF!</definedName>
    <definedName name="HCD_INSTRTUBE_SC">#REF!</definedName>
    <definedName name="HCD_INSTRTUBE_SCHRS">#REF!</definedName>
    <definedName name="HCD_INSTRVLVS_HRS">#REF!</definedName>
    <definedName name="HCD_INSTRVLVS_LAB">#REF!</definedName>
    <definedName name="HCD_INSTRVLVS_MAT">#REF!</definedName>
    <definedName name="HCD_INSTRVLVS_QTY">#REF!</definedName>
    <definedName name="HCD_INSTRVLVS_SC">#REF!</definedName>
    <definedName name="HCD_INSTRVLVS_SCHRS">#REF!</definedName>
    <definedName name="HCD_INSTRWRTAN_HRS">#REF!</definedName>
    <definedName name="HCD_INSTRWRTAN_LAB">#REF!</definedName>
    <definedName name="HCD_INSTRWRTAN_MAT">#REF!</definedName>
    <definedName name="HCD_INSTRWRTAN_QTY">#REF!</definedName>
    <definedName name="HCD_INSTRWRTAN_SC">#REF!</definedName>
    <definedName name="HCD_INSTRWRTAN_SCHRS">#REF!</definedName>
    <definedName name="HCD_LGTCBL_QTY">#REF!</definedName>
    <definedName name="HCD_LGTCOND_QTY">#REF!</definedName>
    <definedName name="HCD_LIGHTCOND_QTY">#REF!</definedName>
    <definedName name="HCD_MCC480_HRS">#REF!</definedName>
    <definedName name="HCD_MCC480_LAB">#REF!</definedName>
    <definedName name="HCD_MCC480_MAT">#REF!</definedName>
    <definedName name="HCD_MCC480_QTY">#REF!</definedName>
    <definedName name="HCD_MCC480_SC">#REF!</definedName>
    <definedName name="HCD_MCC480_SCHRS">#REF!</definedName>
    <definedName name="HCD_METCOND_HRS">#REF!</definedName>
    <definedName name="HCD_METCOND_LAB">#REF!</definedName>
    <definedName name="HCD_METCOND_MAT">#REF!</definedName>
    <definedName name="HCD_METCOND_QTY">#REF!</definedName>
    <definedName name="HCD_METCOND_SC">#REF!</definedName>
    <definedName name="HCD_METCOND_SCHRS">#REF!</definedName>
    <definedName name="HCD_METEMBCOND_HRS">#REF!</definedName>
    <definedName name="HCD_METEMBCOND_LAB">#REF!</definedName>
    <definedName name="HCD_METEMBCOND_MAT">#REF!</definedName>
    <definedName name="HCD_METEMBCOND_QTY">#REF!</definedName>
    <definedName name="HCD_METEMBCOND_SC">#REF!</definedName>
    <definedName name="HCD_METEMBCOND_SCHRS">#REF!</definedName>
    <definedName name="HCD_MISCPNLS_HRS">#REF!</definedName>
    <definedName name="HCD_MISCPNLS_LAB">#REF!</definedName>
    <definedName name="HCD_MISCPNLS_MAT">#REF!</definedName>
    <definedName name="HCD_MISCPNLS_QTY">#REF!</definedName>
    <definedName name="HCD_MISCPNLS_SC">#REF!</definedName>
    <definedName name="HCD_MISCPNLS_SCHRS">#REF!</definedName>
    <definedName name="HCD_NMETCOND_HRS">#REF!</definedName>
    <definedName name="HCD_NMETCOND_LAB">#REF!</definedName>
    <definedName name="HCD_NMETCOND_MAT">#REF!</definedName>
    <definedName name="HCD_NMETCOND_QTY">#REF!</definedName>
    <definedName name="HCD_NMETCOND_SC">#REF!</definedName>
    <definedName name="HCD_NMETCOND_SCHRS">#REF!</definedName>
    <definedName name="HCD_OTDRFIXT_QTY">#REF!</definedName>
    <definedName name="HCD_OTHEREQ_HRS">#REF!</definedName>
    <definedName name="HCD_OTHEREQ_LAB">#REF!</definedName>
    <definedName name="HCD_OTHEREQ_MAT">#REF!</definedName>
    <definedName name="HCD_OTHEREQ_QTY">#REF!</definedName>
    <definedName name="HCD_OTHEREQ_SC">#REF!</definedName>
    <definedName name="HCD_OTHEREQ_SCHRS">#REF!</definedName>
    <definedName name="HCD_PNLS_QTY">#REF!</definedName>
    <definedName name="HCD_POLEFIXT_QTY">#REF!</definedName>
    <definedName name="HCD_RACKTRAY_QTY">#REF!</definedName>
    <definedName name="HCD_RECEPT_QTY">#REF!</definedName>
    <definedName name="HCD_SCHCOND_HRS">#REF!</definedName>
    <definedName name="HCD_SCHCOND_LAB">#REF!</definedName>
    <definedName name="HCD_SCHCOND_MAT">#REF!</definedName>
    <definedName name="HCD_SCHCOND_SC">#REF!</definedName>
    <definedName name="HCD_SCHCOND_SCHRS">#REF!</definedName>
    <definedName name="HCD_SWGR_HRS">#REF!</definedName>
    <definedName name="HCD_SWGR_LAB">#REF!</definedName>
    <definedName name="HCD_SWGR_MAT">#REF!</definedName>
    <definedName name="HCD_SWGR_QTY">#REF!</definedName>
    <definedName name="HCD_SWGR_SC">#REF!</definedName>
    <definedName name="HCD_SWGR_SCHRS">#REF!</definedName>
    <definedName name="HCD_SWYD_HRS">#REF!</definedName>
    <definedName name="HCD_SWYD_LAB">#REF!</definedName>
    <definedName name="HCD_SWYD_MAT">#REF!</definedName>
    <definedName name="HCD_SWYD_QTY">#REF!</definedName>
    <definedName name="HCD_SWYD_SC">#REF!</definedName>
    <definedName name="HCD_SWYD_SCHRS">#REF!</definedName>
    <definedName name="HCD_TL_HRS">#REF!</definedName>
    <definedName name="HCD_TL_LAB">#REF!</definedName>
    <definedName name="HCD_TL_MAT">#REF!</definedName>
    <definedName name="HCD_TL_QTY">#REF!</definedName>
    <definedName name="HCD_TL_SC">#REF!</definedName>
    <definedName name="HCD_TL_SCHRS">#REF!</definedName>
    <definedName name="HCD_TRAY_HRS">#REF!</definedName>
    <definedName name="HCD_TRAY_LAB">#REF!</definedName>
    <definedName name="HCD_TRAY_MAT">#REF!</definedName>
    <definedName name="HCD_TRAY_QTY">#REF!</definedName>
    <definedName name="HCD_TRAY_SC">#REF!</definedName>
    <definedName name="HCD_TRAY_SCHRS">#REF!</definedName>
    <definedName name="HCD_UNSCHCBL_HRS">#REF!</definedName>
    <definedName name="HCD_UNSCHCBL_LAB">#REF!</definedName>
    <definedName name="HCD_UNSCHCBL_MAT">#REF!</definedName>
    <definedName name="HCD_UNSCHCBL_QTY">#REF!</definedName>
    <definedName name="HCD_UNSCHCBL_SC">#REF!</definedName>
    <definedName name="HCD_UNSCHCBL_SCHRS">#REF!</definedName>
    <definedName name="HCD_UNSCHCOND_HRS">#REF!</definedName>
    <definedName name="HCD_UNSCHCOND_LAB">#REF!</definedName>
    <definedName name="HCD_UNSCHCOND_MAT">#REF!</definedName>
    <definedName name="HCD_UNSCHCOND_QTY">#REF!</definedName>
    <definedName name="HCD_UNSCHCOND_SC">#REF!</definedName>
    <definedName name="HCD_UNSCHCOND_SCHRS">#REF!</definedName>
    <definedName name="HCD_XFMR_HRS">#REF!</definedName>
    <definedName name="HCD_XFMR_LAB">#REF!</definedName>
    <definedName name="HCD_XFMR_MAT">#REF!</definedName>
    <definedName name="HCD_XFMR_QTY">#REF!</definedName>
    <definedName name="HCD_XFMR_SC">#REF!</definedName>
    <definedName name="HCD_XFMR_SCHRS">#REF!</definedName>
    <definedName name="HCDNMETCOND_HRS">#REF!</definedName>
    <definedName name="HCDNMETCOND_LAB">#REF!</definedName>
    <definedName name="HCDNMETCOND_MAT">#REF!</definedName>
    <definedName name="HCDNMETCOND_SC">#REF!</definedName>
    <definedName name="hcore2">#REF!</definedName>
    <definedName name="hcore3">#REF!</definedName>
    <definedName name="HD">'[87]Equipment Schedule'!$L$11</definedName>
    <definedName name="HD.1">#REF!</definedName>
    <definedName name="hdgrating">#REF!</definedName>
    <definedName name="hdhdhdh">'[65]BASIC RATES'!#REF!</definedName>
    <definedName name="hdhgfsrtgf">#REF!</definedName>
    <definedName name="HDPE">[141]BOM!#REF!</definedName>
    <definedName name="he">#REF!</definedName>
    <definedName name="Heä_soá_laép_xaø_H">1.7</definedName>
    <definedName name="head1">'[29]Raw Data'!$A$1:$H$1</definedName>
    <definedName name="headcut">#REF!</definedName>
    <definedName name="heat">"$#REF!.$AC$24"</definedName>
    <definedName name="HEAT_TRACE">#REF!</definedName>
    <definedName name="HEAT_TRACE_PROT">#REF!</definedName>
    <definedName name="heatde">"$#REF!.$#REF!$#REF!"</definedName>
    <definedName name="heatde_10">"$#REF!.$#REF!$#REF!"</definedName>
    <definedName name="heatde_9">"$#REF!.$#REF!$#REF!"</definedName>
    <definedName name="heatlab">"$#REF!.$AC$24"</definedName>
    <definedName name="heatmat">"$#REF!.$AC$22"</definedName>
    <definedName name="heelstone">#REF!</definedName>
    <definedName name="Height">#REF!</definedName>
    <definedName name="HEIGTH">#REF!</definedName>
    <definedName name="Heli">#REF!</definedName>
    <definedName name="helipad">#REF!</definedName>
    <definedName name="Helipad1">#REF!</definedName>
    <definedName name="hello">#REF!</definedName>
    <definedName name="hf">#REF!</definedName>
    <definedName name="hfdgfdg" hidden="1">{#N/A,#N/A,FALSE,"CCTV"}</definedName>
    <definedName name="hfdgsfz" hidden="1">#REF!</definedName>
    <definedName name="HFGBFBB" hidden="1">#REF!</definedName>
    <definedName name="hfgi350">#REF!</definedName>
    <definedName name="hfgi400">#REF!</definedName>
    <definedName name="hfgi450">#REF!</definedName>
    <definedName name="hfgi500">[50]Factors!$I$194</definedName>
    <definedName name="hfjhhjj" hidden="1">{#N/A,#N/A,FALSE,"CCTV"}</definedName>
    <definedName name="hgd">#REF!</definedName>
    <definedName name="hgdtrs">#REF!</definedName>
    <definedName name="HGFDS" hidden="1">{"PriceSheetNoMargins",#N/A,FALSE,"PriceSheet"}</definedName>
    <definedName name="hggk">#REF!</definedName>
    <definedName name="hghfj">#REF!</definedName>
    <definedName name="HGI.300">#REF!</definedName>
    <definedName name="hgi.350">#REF!</definedName>
    <definedName name="hgi.400">#REF!</definedName>
    <definedName name="hgi.450">#REF!</definedName>
    <definedName name="HGI.500">[50]Factors!$D$194</definedName>
    <definedName name="hgjfgh" hidden="1">{#N/A,#N/A,FALSE,"CCTV"}</definedName>
    <definedName name="hgjgfhgh" hidden="1">{#N/A,#N/A,FALSE,"CCTV"}</definedName>
    <definedName name="HGTHJT" hidden="1">{"PriceSheetNoMargins",#N/A,FALSE,"PriceSheet"}</definedName>
    <definedName name="hgu">#REF!</definedName>
    <definedName name="hhfss">[28]!hhfss</definedName>
    <definedName name="HHHHHH" hidden="1">{#N/A,#N/A,TRUE,"SUM";#N/A,#N/A,TRUE,"EE";#N/A,#N/A,TRUE,"AC";#N/A,#N/A,TRUE,"SN"}</definedName>
    <definedName name="HHHRTHYDGBHDGBH" hidden="1">{"PriceSheetNoMargins",#N/A,FALSE,"PriceSheet"}</definedName>
    <definedName name="hhl">#REF!</definedName>
    <definedName name="hi">'[202]Material Prices'!$A$5:'[202]Material Prices'!$A$5:$F$65536</definedName>
    <definedName name="HiddenRows" hidden="1">#REF!</definedName>
    <definedName name="hing.t">#REF!</definedName>
    <definedName name="hing3b">#REF!</definedName>
    <definedName name="hing4b">#REF!</definedName>
    <definedName name="hing5.b">#REF!</definedName>
    <definedName name="HJ">#REF!</definedName>
    <definedName name="hjdfhjdfjj" hidden="1">#REF!</definedName>
    <definedName name="hjdielepo">#REF!</definedName>
    <definedName name="HJGH">[28]!HJGH</definedName>
    <definedName name="HJKL" hidden="1">{#N/A,#N/A,FALSE,"Sub2.1";#N/A,#N/A,FALSE,"Conc2.2";#N/A,#N/A,FALSE,"Block2.3";#N/A,#N/A,FALSE,"Roof2.4";#N/A,#N/A,FALSE,"wood2.5";#N/A,#N/A,FALSE,"Door2.6";#N/A,#N/A,FALSE,"Finish2.7";#N/A,#N/A,FALSE,"Service2.8";#N/A,#N/A,FALSE,"Summary2"}</definedName>
    <definedName name="hjnbgtyujhggfcvd">#REF!</definedName>
    <definedName name="hju">#REF!</definedName>
    <definedName name="HJXFFFJJ" hidden="1">{"PriceSheetNoMargins",#N/A,FALSE,"PriceSheet"}</definedName>
    <definedName name="HK">#REF!</definedName>
    <definedName name="hkd">[49]Factors!$D$10</definedName>
    <definedName name="HL">#REF!</definedName>
    <definedName name="HLAJKSDFHL">#REF!</definedName>
    <definedName name="hlgl200">[203]Factors!$E$153</definedName>
    <definedName name="hlkjhlkjñklj">[28]!hlkjhlkjñklj</definedName>
    <definedName name="hltgi350">#REF!</definedName>
    <definedName name="hltgi400">#REF!</definedName>
    <definedName name="hltgi450">#REF!</definedName>
    <definedName name="hltgi500">[50]Factors!$F$194</definedName>
    <definedName name="hmks31">#REF!</definedName>
    <definedName name="hmks34">#REF!</definedName>
    <definedName name="hmks43">#REF!</definedName>
    <definedName name="hmks45">#REF!</definedName>
    <definedName name="hmsd">#REF!</definedName>
    <definedName name="HNVN">#REF!</definedName>
    <definedName name="Ho">#REF!</definedName>
    <definedName name="Home_Ofc_OT">'[29]Raw Data'!$A$1:$M$32</definedName>
    <definedName name="homo40mm">'[71]Build Up rate'!$D$36</definedName>
    <definedName name="homo40thkcementbed">#REF!</definedName>
    <definedName name="homoskirting">'[71]Build Up rate'!$D$37</definedName>
    <definedName name="homoskirting100">#REF!</definedName>
    <definedName name="homoskirting150">#REF!</definedName>
    <definedName name="Horn_Speaker">#REF!</definedName>
    <definedName name="hostel">#REF!</definedName>
    <definedName name="hourdi">#REF!</definedName>
    <definedName name="HOURS_A">'[29]Raw Data'!$A$7:$O$227</definedName>
    <definedName name="HOURS_C">'[29]Raw Data'!$A$261:$O$274</definedName>
    <definedName name="Hours_Per_Month_For_Recitals">#REF!</definedName>
    <definedName name="Hours_Per_Month_For_Ss_And_FCs">#REF!</definedName>
    <definedName name="Housing_Accessories">'[155]CCTV(old)'!#REF!</definedName>
    <definedName name="Housing_Prepacs">'[155]CCTV(old)'!#REF!</definedName>
    <definedName name="HOVAP.PTADJ">[69]Summary!$HC$189:$HC$190</definedName>
    <definedName name="how" hidden="1">[204]Zones!#REF!</definedName>
    <definedName name="HPE_USA.PTADJ">[69]Summary!$HC$191:$HC$192</definedName>
    <definedName name="HpGPMFth">IF(#REF!&lt;&gt;0,(ROUND(#REF!*#REF!/3364*1.33,0)),0)</definedName>
    <definedName name="HRD.1">#REF!</definedName>
    <definedName name="HRSG_Boiler_Conc">#REF!</definedName>
    <definedName name="HS">#REF!</definedName>
    <definedName name="HSCT3">0.1</definedName>
    <definedName name="hsdcsjdjskfkjsdf">#REF!</definedName>
    <definedName name="HSDN">2.5</definedName>
    <definedName name="hsection">#REF!</definedName>
    <definedName name="hsection2">#REF!</definedName>
    <definedName name="hsection3">#REF!</definedName>
    <definedName name="hspb">#REF!</definedName>
    <definedName name="hta">[103]Factors!$G$43</definedName>
    <definedName name="htd">[103]Factors!$G$44</definedName>
    <definedName name="htfrd1">#REF!</definedName>
    <definedName name="htfrd2">#REF!</definedName>
    <definedName name="hththuwu5">[28]!hththuwu5</definedName>
    <definedName name="HTML_AAA" hidden="1">{"'Sheet1'!$L$16"}</definedName>
    <definedName name="HTML_Control_1">{"'Sheet1'!$L$16"}</definedName>
    <definedName name="HTML_Control_2">{"'Sheet1'!$L$16"}</definedName>
    <definedName name="HTML_Control_3">{"'Sheet1'!$L$16"}</definedName>
    <definedName name="HTML_Control_4">{"'Sheet1'!$L$16"}</definedName>
    <definedName name="HTML_Control_5">{"'Sheet1'!$L$16"}</definedName>
    <definedName name="HTML_Control_6">{"'Sheet1'!$L$16"}</definedName>
    <definedName name="HTML_Description" hidden="1">""</definedName>
    <definedName name="HTML_Email" hidden="1">""</definedName>
    <definedName name="HTML_LineAfter" hidden="1">FALSE</definedName>
    <definedName name="HTML_LineBefore" hidden="1">FALSE</definedName>
    <definedName name="HTML_OBDlg2" hidden="1">TRUE</definedName>
    <definedName name="HTML_OBDlg3" hidden="1">TRUE</definedName>
    <definedName name="HTML_OBDlg4" hidden="1">TRUE</definedName>
    <definedName name="HTML_OS" hidden="1">0</definedName>
    <definedName name="HTML_PathTemplate" hidden="1">"C:\infac\pricewth\Aug99\Page06e.htm"</definedName>
    <definedName name="HTMLcpnmtrol" hidden="1">{"'Sheet1'!$L$16"}</definedName>
    <definedName name="HTNNY">#REF!</definedName>
    <definedName name="HTR_COUNT">#REF!</definedName>
    <definedName name="htsaz" hidden="1">{#VALUE!,#N/A,FALSE,0}</definedName>
    <definedName name="hu" hidden="1">{"'Sheet1'!$L$16"}</definedName>
    <definedName name="hui" hidden="1">{"'Sheet1'!$L$16"}</definedName>
    <definedName name="HUMANRESOURCES">#REF!</definedName>
    <definedName name="huy" hidden="1">{"'Sheet1'!$L$16"}</definedName>
    <definedName name="huy_1">{"'Sheet1'!$L$16"}</definedName>
    <definedName name="huy_2">{"'Sheet1'!$L$16"}</definedName>
    <definedName name="huy_3">{"'Sheet1'!$L$16"}</definedName>
    <definedName name="huy_4">{"'Sheet1'!$L$16"}</definedName>
    <definedName name="huy_5">{"'Sheet1'!$L$16"}</definedName>
    <definedName name="huy_6">{"'Sheet1'!$L$16"}</definedName>
    <definedName name="hvacfi">#REF!</definedName>
    <definedName name="HVACFINAL">#REF!</definedName>
    <definedName name="hvacrates">#REF!</definedName>
    <definedName name="HVJNVKB">'[76]Ra  stair'!#REF!</definedName>
    <definedName name="HWCODE">#REF!</definedName>
    <definedName name="HWELL" hidden="1">{#N/A,#N/A,FALSE,"BOX RFQ SHEET"}</definedName>
    <definedName name="hwmf">#REF!</definedName>
    <definedName name="hydratite">#REF!</definedName>
    <definedName name="HYETHJGJD" hidden="1">{"PriceSheetNoMargins",#N/A,FALSE,"PriceSheet"}</definedName>
    <definedName name="hykl">#REF!</definedName>
    <definedName name="hyyy">[28]!hyyy</definedName>
    <definedName name="HZSDHZSDG" hidden="1">{"PriceSheetNoMargins",#N/A,FALSE,"PriceSheet"}</definedName>
    <definedName name="i.eight">[91]ANALISYS!$E$4192</definedName>
    <definedName name="i.five">[91]ANALISYS!$E$4161</definedName>
    <definedName name="i.four">[91]ANALISYS!$E$4152</definedName>
    <definedName name="i.nine">[91]ANALISYS!$E$4204</definedName>
    <definedName name="i.one">[91]ANALISYS!$E$4110</definedName>
    <definedName name="i.seven">[91]ANALISYS!$E$4181</definedName>
    <definedName name="i.six">[91]ANALISYS!$E$4170</definedName>
    <definedName name="i.ten">[91]ANALISYS!$E$4222</definedName>
    <definedName name="i.thirteen">[91]ANALISYS!$E$4255</definedName>
    <definedName name="i.thirty">[91]ANALISYS!$E$4452</definedName>
    <definedName name="i.three">[91]ANALISYS!$E$4133</definedName>
    <definedName name="i.twelve">[91]ANALISYS!$E$4245</definedName>
    <definedName name="i.twentyeight">[91]ANALISYS!$E$4431</definedName>
    <definedName name="i.twentyfive">[91]ANALISYS!$E$4393</definedName>
    <definedName name="i.twentyfour">[91]ANALISYS!$E$4383</definedName>
    <definedName name="i.twentynine">[91]ANALISYS!$E$4441</definedName>
    <definedName name="i.twentyone">[91]ANALISYS!$E$4352</definedName>
    <definedName name="i.twentyseven">[91]ANALISYS!$E$4417</definedName>
    <definedName name="i.twentythree">[91]ANALISYS!$E$4403</definedName>
    <definedName name="i.two">[91]ANALISYS!$E$4120</definedName>
    <definedName name="I_1">NA()</definedName>
    <definedName name="I_1_1">NA()</definedName>
    <definedName name="I_1_2">NA()</definedName>
    <definedName name="I_2">NA()</definedName>
    <definedName name="I_2_1">NA()</definedName>
    <definedName name="I_2_2">NA()</definedName>
    <definedName name="I_3">NA()</definedName>
    <definedName name="I_3_1">NA()</definedName>
    <definedName name="I_3_2">NA()</definedName>
    <definedName name="I_4">NA()</definedName>
    <definedName name="I_4_1">NA()</definedName>
    <definedName name="I_4_2">NA()</definedName>
    <definedName name="I_6">NA()</definedName>
    <definedName name="I_6_1">NA()</definedName>
    <definedName name="I_6_2">NA()</definedName>
    <definedName name="I_7">NA()</definedName>
    <definedName name="I_7_1">NA()</definedName>
    <definedName name="I_7_2">NA()</definedName>
    <definedName name="I_EHS_Exp.">#REF!</definedName>
    <definedName name="i7y">#REF!</definedName>
    <definedName name="iac">#REF!</definedName>
    <definedName name="ICAM_Prices">[205]ICAM_Prices_Raw!$A$2:$N$119</definedName>
    <definedName name="ICRAFT_rate">[90]Inputs!$G$13</definedName>
    <definedName name="ICV.15">#REF!</definedName>
    <definedName name="ICV.25">#REF!</definedName>
    <definedName name="ICV.32">#REF!</definedName>
    <definedName name="ICV.50">#REF!</definedName>
    <definedName name="ICV.65">#REF!</definedName>
    <definedName name="id">#REF!</definedName>
    <definedName name="ID_3">[206]estimate!#REF!</definedName>
    <definedName name="ID_4">[206]estimate!#REF!</definedName>
    <definedName name="IDRAFT_rate">[90]Inputs!$G$11</definedName>
    <definedName name="IDReference" hidden="1">"A1"</definedName>
    <definedName name="idrosilex">#REF!</definedName>
    <definedName name="ie___0">#REF!</definedName>
    <definedName name="IENG_rate">[90]Inputs!$G$10</definedName>
    <definedName name="IG_Loan_Non_Cash">#REF!</definedName>
    <definedName name="ii">#REF!</definedName>
    <definedName name="II01_Configured_Price_Book">#REF!</definedName>
    <definedName name="II01_Standard_Price_Book">#REF!</definedName>
    <definedName name="iiouolkll" hidden="1">{#N/A,#N/A,FALSE,"CCTV"}</definedName>
    <definedName name="IJ">#REF!</definedName>
    <definedName name="IJUNHBVGF" hidden="1">{"PriceSheetNoMargins",#N/A,FALSE,"PriceSheet"}</definedName>
    <definedName name="IK">#REF!</definedName>
    <definedName name="IMP">#REF!</definedName>
    <definedName name="ImportFileName">#REF!</definedName>
    <definedName name="impt">[207]EST!$AE$15</definedName>
    <definedName name="in_100">"$#REF!.$#REF!$#REF!"</definedName>
    <definedName name="in_150">"$#REF!.$#REF!$#REF!"</definedName>
    <definedName name="in_200">"$#REF!.$#REF!$#REF!"</definedName>
    <definedName name="in_25">"$#REF!.$#REF!$#REF!"</definedName>
    <definedName name="in_250">"$#REF!.$#REF!$#REF!"</definedName>
    <definedName name="in_300">"$#REF!.$#REF!$#REF!"</definedName>
    <definedName name="in_32">"$#REF!.$#REF!$#REF!"</definedName>
    <definedName name="in_40">"$#REF!.$#REF!$#REF!"</definedName>
    <definedName name="in_50">"$#REF!.$#REF!$#REF!"</definedName>
    <definedName name="in_65">"$#REF!.$#REF!$#REF!"</definedName>
    <definedName name="in_80">"$#REF!.$#REF!$#REF!"</definedName>
    <definedName name="Inc.Tax_Korean">#REF!</definedName>
    <definedName name="Inc.Tax_Local.Reg">#REF!</definedName>
    <definedName name="Inc.Tax_Third.N">#REF!</definedName>
    <definedName name="Inc_cap_RnD_fore">#REF!</definedName>
    <definedName name="Income_equivalents_fore">#REF!</definedName>
    <definedName name="Income_form_uncons_subs_fore">#REF!</definedName>
    <definedName name="Income_Statement">#REF!</definedName>
    <definedName name="Income_tax_fore">#REF!</definedName>
    <definedName name="Income_tax_growth_fore">#REF!</definedName>
    <definedName name="Income_taxes_payable_growth_fore">#REF!</definedName>
    <definedName name="Income22" hidden="1">#REF!</definedName>
    <definedName name="Increase_cap_RnD_fore">#REF!</definedName>
    <definedName name="ind">#REF!</definedName>
    <definedName name="INDEX">[144]INDEX!$D$4</definedName>
    <definedName name="INDEX_1">#REF!</definedName>
    <definedName name="INDEX_2">#REF!</definedName>
    <definedName name="INDIAVC">#REF!</definedName>
    <definedName name="Indirect" hidden="1">{"Total Indirect Manpower",#N/A,FALSE,"J";"Total Direct Manpower",#N/A,FALSE,"J";"Direct Structural Manpower",#N/A,FALSE,"J";"Direct Mechanical Manpower",#N/A,FALSE,"J";"Direct Piping Manpower",#N/A,FALSE,"J";"Direct Tanks Manpower",#N/A,FALSE,"J";"Direct ElecInstrSS Manpower",#N/A,FALSE,"J"}</definedName>
    <definedName name="INDIRECT_CITY">#REF!</definedName>
    <definedName name="INDIRECT_ESC">#REF!</definedName>
    <definedName name="INDIRECT_OLD_CITY">#REF!</definedName>
    <definedName name="INDIRECT_OLD_ESC">#REF!</definedName>
    <definedName name="INDIRECT_OLD_PROD">#REF!</definedName>
    <definedName name="INDIRECT_OLD_WAGE">#REF!</definedName>
    <definedName name="INDIRECT_PCT_LABOR_COST">'[29]Raw Data'!$G$12:$G$16,'[29]Raw Data'!$G$19:$G$30,'[29]Raw Data'!$G$33:$G$36,'[29]Raw Data'!$G$39:$G$40,'[29]Raw Data'!$G$42:$G$48,'[29]Raw Data'!$G$51:$G$55,'[29]Raw Data'!$G$66</definedName>
    <definedName name="INDIRECT_PROD">#REF!</definedName>
    <definedName name="INDIRECT_WAGE">#REF!</definedName>
    <definedName name="INDOOR_COND">#REF!</definedName>
    <definedName name="indu">[208]Indices!#REF!</definedName>
    <definedName name="industry">#REF!</definedName>
    <definedName name="Inflation_rate">#REF!</definedName>
    <definedName name="INFORMATIONSYSTEMS">#REF!</definedName>
    <definedName name="Infra">'[209]CPA33-34'!$F$62</definedName>
    <definedName name="INFRASTRUCTURE_ENTRY">#REF!</definedName>
    <definedName name="Inhouse_Response_Cost">#REF!</definedName>
    <definedName name="ininsu25">#REF!</definedName>
    <definedName name="ininsu50">#REF!</definedName>
    <definedName name="INLANDPL1">#REF!</definedName>
    <definedName name="inplast">#REF!</definedName>
    <definedName name="INPUT">#REF!</definedName>
    <definedName name="Input_Data">#REF!</definedName>
    <definedName name="input_index">#REF!</definedName>
    <definedName name="InputData">[210]Testing!$E$8:$E$12,[210]Testing!$E$15:$E$18,[210]Testing!$E$21:$E$23,[210]Testing!$E$26:$E$27,[210]Testing!$E$30:$E$33,[210]Testing!$E$35:$E$37,[210]Testing!$D$43:$F$47</definedName>
    <definedName name="Insert_Data">#REF!</definedName>
    <definedName name="Insert_New_Quote_Line">[28]!Insert_New_Quote_Line</definedName>
    <definedName name="Inst.">#REF!</definedName>
    <definedName name="INST60_OLD_CITY">#REF!</definedName>
    <definedName name="INST60_OLD_ESC">#REF!</definedName>
    <definedName name="INST60_OLD_PROD">#REF!</definedName>
    <definedName name="INST60_OLD_WAGE">#REF!</definedName>
    <definedName name="install">'[132]NEW PRODUCT SALES FORCE'!$C$17</definedName>
    <definedName name="install.B">#REF!</definedName>
    <definedName name="installation">#REF!</definedName>
    <definedName name="INSTR">#REF!</definedName>
    <definedName name="INSTR_REMARKS">#REF!</definedName>
    <definedName name="INSTR_STANDS">#REF!</definedName>
    <definedName name="INSTR_TUBING">#REF!</definedName>
    <definedName name="INSTR60_CITY">#REF!</definedName>
    <definedName name="INSTR60_ESC">#REF!</definedName>
    <definedName name="INSTR60_HRS">#REF!</definedName>
    <definedName name="INSTR60_LAB">#REF!</definedName>
    <definedName name="INSTR60_MAT">#REF!</definedName>
    <definedName name="INSTR60_PROD">#REF!</definedName>
    <definedName name="INSTR60_SC">#REF!</definedName>
    <definedName name="INSTR60_SCHRS">#REF!</definedName>
    <definedName name="INSTR60_TOT">#REF!</definedName>
    <definedName name="INSTR60_WAGE">#REF!</definedName>
    <definedName name="instru">#REF!</definedName>
    <definedName name="insuf">#REF!</definedName>
    <definedName name="insul">#REF!</definedName>
    <definedName name="INSULATION">#REF!</definedName>
    <definedName name="insurance">[145]Factors!$C$29</definedName>
    <definedName name="Insurence">[103]Factors!$B$24</definedName>
    <definedName name="Int_US_Forecast">[147]Database!#REF!</definedName>
    <definedName name="Int_US_Total">[147]Database!#REF!</definedName>
    <definedName name="Int_US_YTD">[147]Database!#REF!</definedName>
    <definedName name="INTALL">#REF!</definedName>
    <definedName name="Interest_exp_growth_fore">#REF!</definedName>
    <definedName name="Interest_exp_inc_fore">#REF!</definedName>
    <definedName name="Internal">#REF!</definedName>
    <definedName name="intpaint">#REF!</definedName>
    <definedName name="IntroPrintArea" hidden="1">#REF!</definedName>
    <definedName name="intumescent">#REF!</definedName>
    <definedName name="Inv_check">#REF!</definedName>
    <definedName name="INV_SCH">#REF!</definedName>
    <definedName name="InvBal">[211]Total!$B:$W</definedName>
    <definedName name="Inventory_growth_fore">#REF!</definedName>
    <definedName name="Invested_capital_growth_fore">#REF!</definedName>
    <definedName name="Invested_capital_turns_fore">#REF!</definedName>
    <definedName name="InvstRate">[156]Title!$G$16</definedName>
    <definedName name="inwords">[212]Wordsdata!#REF!</definedName>
    <definedName name="INXS">#REF!</definedName>
    <definedName name="io">'[202]Material Prices'!$A$5:'[202]Material Prices'!$A$5:$F$65536</definedName>
    <definedName name="Ionics" hidden="1">{"'Sheet1'!$A$1:$R$58"}</definedName>
    <definedName name="iou">#REF!</definedName>
    <definedName name="ipe">#REF!</definedName>
    <definedName name="IPI">#REF!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INDUSTRY_REC" hidden="1">"c4455"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FLOW_ACT_OR_EST" hidden="1">"c4154"</definedName>
    <definedName name="IQ_CASH_INTEREST" hidden="1">"c120"</definedName>
    <definedName name="IQ_CASH_INVEST" hidden="1">"c121"</definedName>
    <definedName name="IQ_CASH_OPER" hidden="1">"c122"</definedName>
    <definedName name="IQ_CASH_OPER_ACT_OR_EST" hidden="1">"c4164"</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OSITS_INTEREST_SECURITIES" hidden="1">"c5509"</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PAYOUT" hidden="1">"c3005"</definedName>
    <definedName name="IQ_DISTRIBUTABLE_CASH_SHARE" hidden="1">"c3003"</definedName>
    <definedName name="IQ_DISTRIBUTABLE_CASH_SHARE_ACT_OR_EST" hidden="1">"c4286"</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EQ_INC" hidden="1">"c3498"</definedName>
    <definedName name="IQ_EBIT_EQ_INC_EXCL_SBC" hidden="1">"c3502"</definedName>
    <definedName name="IQ_EBIT_EXCL_SBC" hidden="1">"c3082"</definedName>
    <definedName name="IQ_EBIT_GW_ACT_OR_EST" hidden="1">"c4306"</definedName>
    <definedName name="IQ_EBIT_INT" hidden="1">"c360"</definedName>
    <definedName name="IQ_EBIT_MARGIN" hidden="1">"c359"</definedName>
    <definedName name="IQ_EBIT_OVER_IE" hidden="1">"c1369"</definedName>
    <definedName name="IQ_EBIT_SBC_ACT_OR_EST" hidden="1">"c4316"</definedName>
    <definedName name="IQ_EBIT_SBC_GW_ACT_OR_EST" hidden="1">"c4320"</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SBC_ACT_OR_EST" hidden="1">"c4350"</definedName>
    <definedName name="IQ_EBT_SBC_GW_ACT_OR_EST" hidden="1">"c4354"</definedName>
    <definedName name="IQ_EBT_UTI" hidden="1">"c390"</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EST_REUT" hidden="1">"c5453"</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UM_EST" hidden="1">"c402"</definedName>
    <definedName name="IQ_EPS_NUM_EST_REUT" hidden="1">"c5451"</definedName>
    <definedName name="IQ_EPS_SBC_ACT_OR_EST" hidden="1">"c4376"</definedName>
    <definedName name="IQ_EPS_SBC_GW_ACT_OR_EST" hidden="1">"c4380"</definedName>
    <definedName name="IQ_EPS_STDDEV_EST" hidden="1">"c403"</definedName>
    <definedName name="IQ_EPS_STDDEV_EST_REUT" hidden="1">"c5452"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CURRENCY_REUT" hidden="1">"c5437"</definedName>
    <definedName name="IQ_EST_DATE" hidden="1">"c1634"</definedName>
    <definedName name="IQ_EST_DATE_REUT" hidden="1">"c5438"</definedName>
    <definedName name="IQ_EST_EPS_DIFF" hidden="1">"c1864"</definedName>
    <definedName name="IQ_EST_EPS_GROWTH_1YR" hidden="1">"c1636"</definedName>
    <definedName name="IQ_EST_EPS_GROWTH_1YR_REUT" hidden="1">"c3646"</definedName>
    <definedName name="IQ_EST_EPS_GROWTH_5YR" hidden="1">"c1655"</definedName>
    <definedName name="IQ_EST_EPS_GROWTH_5YR_REUT" hidden="1">"c3633"</definedName>
    <definedName name="IQ_EST_EPS_GROWTH_Q_1YR" hidden="1">"c1641"</definedName>
    <definedName name="IQ_EST_EPS_GROWTH_Q_1YR_REUT" hidden="1">"c5410"</definedName>
    <definedName name="IQ_EST_VENDOR" hidden="1">"c5564"</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DJ_ACT_OR_EST" hidden="1">"c4435"</definedName>
    <definedName name="IQ_FFO_PAYOUT_RATIO" hidden="1">"c3492"</definedName>
    <definedName name="IQ_FFO_SHARE_ACT_OR_EST" hidden="1">"c4446"</definedName>
    <definedName name="IQ_FH">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_TARGET_PRICE_REUT" hidden="1">"c5317"</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_SECURITY_SUPPL" hidden="1">"c5511"</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120000</definedName>
    <definedName name="IQ_MACHINERY" hidden="1">"c711"</definedName>
    <definedName name="IQ_MAINT_CAPEX" hidden="1">"c2947"</definedName>
    <definedName name="IQ_MAINT_CAPEX_ACT_OR_EST" hidden="1">"c4458"</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TH">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AMES_REVISION_DATE_">40730.3910069444</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BC_ACT_OR_EST" hidden="1">"c4474"</definedName>
    <definedName name="IQ_NI_SBC_GW_ACT_OR_EST" hidden="1">"c4478"</definedName>
    <definedName name="IQ_NI_SFAS" hidden="1">"c795"</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_TARGET_REUT" hidden="1">"c3631"</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CURRING_PROFIT_ACT_OR_EST" hidden="1">"c4507"</definedName>
    <definedName name="IQ_RECURRING_PROFIT_SHARE_ACT_OR_EST" hidden="1">"c4508"</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ENUE" hidden="1">"c1422"</definedName>
    <definedName name="IQ_REVENUE_EST" hidden="1">"c1126"</definedName>
    <definedName name="IQ_REVENUE_EST_REUT" hidden="1">"c3634"</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38968.4435416667</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130000</definedName>
    <definedName name="IQ_YTW" hidden="1">"c2163"</definedName>
    <definedName name="IQ_YTW_DATE" hidden="1">"c2164"</definedName>
    <definedName name="IQ_YTW_DATE_TYPE" hidden="1">"c2165"</definedName>
    <definedName name="IQ_Z_SCORE" hidden="1">"c1339"</definedName>
    <definedName name="irigation">#REF!</definedName>
    <definedName name="irmf">#REF!</definedName>
    <definedName name="ironm">#REF!</definedName>
    <definedName name="ironm1">#REF!</definedName>
    <definedName name="ironm2">#REF!</definedName>
    <definedName name="Irrigation_system">#REF!</definedName>
    <definedName name="ISEC77">#REF!</definedName>
    <definedName name="ISP">#REF!</definedName>
    <definedName name="Issu_Date">#REF!</definedName>
    <definedName name="ITECH_rate">[90]Inputs!$G$12</definedName>
    <definedName name="item344">#REF!</definedName>
    <definedName name="item347">#REF!</definedName>
    <definedName name="items">'[18]Material&amp;equipment'!$1:$1048576</definedName>
    <definedName name="iteration">[213]!iteration</definedName>
    <definedName name="ITL">'[29]Raw Data'!$C$59</definedName>
    <definedName name="IUYTRE" hidden="1">{"PriceSheetNoMargins",#N/A,FALSE,"PriceSheet"}</definedName>
    <definedName name="j.eight">[91]ANALISYS!$E$4540</definedName>
    <definedName name="j.eleven">[91]ANALISYS!$E$4572</definedName>
    <definedName name="j.fifteen">[91]ANALISYS!$E$4616</definedName>
    <definedName name="j.five">[91]ANALISYS!$E$4508</definedName>
    <definedName name="j.four">[91]ANALISYS!$E$4497</definedName>
    <definedName name="j.one">[91]ANALISYS!$E$4464</definedName>
    <definedName name="j.seven">[91]ANALISYS!$E$4529</definedName>
    <definedName name="j.six">[91]ANALISYS!$E$4519</definedName>
    <definedName name="j.ten">[91]ANALISYS!$E$4561</definedName>
    <definedName name="j.three">[91]ANALISYS!$E$4486</definedName>
    <definedName name="j.twelve">[91]ANALISYS!$E$4582</definedName>
    <definedName name="j.twenty">[91]ANALISYS!$E$4669</definedName>
    <definedName name="j.two">[91]ANALISYS!$E$4475</definedName>
    <definedName name="J_Electricity">#REF!</definedName>
    <definedName name="JAPANGPVC">#REF!</definedName>
    <definedName name="jay">#REF!</definedName>
    <definedName name="jb">#REF!</definedName>
    <definedName name="JCJG">#REF!</definedName>
    <definedName name="JDTYJDFDF" hidden="1">{"PriceSheetNoMargins",#N/A,FALSE,"PriceSheet"}</definedName>
    <definedName name="jdynmtrsyaer">#REF!</definedName>
    <definedName name="jen">[135]Factors!$C$5</definedName>
    <definedName name="jetcgrout">#REF!</definedName>
    <definedName name="jfajdsfjsafljasjfq">#REF!</definedName>
    <definedName name="jfalksjfs">#REF!</definedName>
    <definedName name="jfhhjf" hidden="1">[22]WB!#REF!</definedName>
    <definedName name="JGFHJGHJ">#REF!</definedName>
    <definedName name="jh" hidden="1">{#N/A,#N/A,FALSE,"SumG";#N/A,#N/A,FALSE,"ElecG";#N/A,#N/A,FALSE,"MechG";#N/A,#N/A,FALSE,"GeotG";#N/A,#N/A,FALSE,"PrcsG";#N/A,#N/A,FALSE,"TunnG";#N/A,#N/A,FALSE,"CivlG";#N/A,#N/A,FALSE,"NtwkG";#N/A,#N/A,FALSE,"EstgG";#N/A,#N/A,FALSE,"PEngG"}</definedName>
    <definedName name="jhfuh">#REF!</definedName>
    <definedName name="jhgf">#REF!</definedName>
    <definedName name="JHGFD" hidden="1">{"PriceSheetNoMargins",#N/A,FALSE,"PriceSheet"}</definedName>
    <definedName name="JHGFDS" hidden="1">{"PriceSheetNoMargins",#N/A,FALSE,"PriceSheet"}</definedName>
    <definedName name="JHGFDSA" hidden="1">{"PriceSheetNoMargins",#N/A,FALSE,"PriceSheet"}</definedName>
    <definedName name="jhhhh" hidden="1">{#N/A,#N/A,FALSE,"CCTV"}</definedName>
    <definedName name="jhjhjjhjhjhjhjhjhjhjhjhjhjhjhj">#REF!</definedName>
    <definedName name="ji">'[214]Material Prices'!$A$5:'[214]Material Prices'!$A$5:$F$65536</definedName>
    <definedName name="jifdhsijflajsdlfa">#REF!</definedName>
    <definedName name="jifsajdjfas">[122]E_Summary!#REF!</definedName>
    <definedName name="jifsjdkjfisa">[122]D_Cntnts!#REF!</definedName>
    <definedName name="jj">#REF!</definedName>
    <definedName name="JJHJ" hidden="1">{"PriceSheetNoMargins",#N/A,FALSE,"PriceSheet"}</definedName>
    <definedName name="jjjj">#REF!</definedName>
    <definedName name="JK_1">{"Book1","BoQ2.XLS"}</definedName>
    <definedName name="JK_2">{"Book1","BoQ2.XLS"}</definedName>
    <definedName name="JK_3">{"Book1","BoQ2.XLS"}</definedName>
    <definedName name="JK_4">{"Book1","BoQ2.XLS"}</definedName>
    <definedName name="JK_5">{"Book1","BoQ2.XLS"}</definedName>
    <definedName name="JK_6">{"Book1","BoQ2.XLS"}</definedName>
    <definedName name="JKDFSJCSDKJ" hidden="1">{#N/A,#N/A,TRUE,"SUM";#N/A,#N/A,TRUE,"EE";#N/A,#N/A,TRUE,"AC";#N/A,#N/A,TRUE,"SN"}</definedName>
    <definedName name="JKHGFC" hidden="1">{"PriceSheetNoMargins",#N/A,FALSE,"PriceSheet"}</definedName>
    <definedName name="jkhjhf">#REF!</definedName>
    <definedName name="jkjjj">'[14]1-G1'!#REF!</definedName>
    <definedName name="jkjk" hidden="1">#REF!</definedName>
    <definedName name="JKJKDK">[28]!JKJKDK</definedName>
    <definedName name="Job_No">#REF!</definedName>
    <definedName name="JobDate">#REF!</definedName>
    <definedName name="JOGGING">#REF!</definedName>
    <definedName name="John">[28]!John</definedName>
    <definedName name="John0">[28]!John0</definedName>
    <definedName name="Jong">#REF!</definedName>
    <definedName name="Jong2">#REF!</definedName>
    <definedName name="JRYJDRYJ" hidden="1">{"PriceSheetNoMargins",#N/A,FALSE,"PriceSheet"}</definedName>
    <definedName name="jsealant">#REF!</definedName>
    <definedName name="JSI">'[215]1A'!#REF!</definedName>
    <definedName name="jtd">[28]!jtd</definedName>
    <definedName name="JUHGFD" hidden="1">{"PriceSheetNoMargins",#N/A,FALSE,"PriceSheet"}</definedName>
    <definedName name="JUHVGF" hidden="1">{"PriceSheetNoMargins",#N/A,FALSE,"PriceSheet"}</definedName>
    <definedName name="JUHYBGVFC" hidden="1">{"PriceSheetNoMargins",#N/A,FALSE,"PriceSheet"}</definedName>
    <definedName name="jul">[216]jul_data!$A:$Y</definedName>
    <definedName name="JUMP">#REF!</definedName>
    <definedName name="jump.st">#REF!</definedName>
    <definedName name="jun">#REF!</definedName>
    <definedName name="JUNCTION">#REF!</definedName>
    <definedName name="junk" hidden="1">{"'Sheet1'!$A$1:$R$58"}</definedName>
    <definedName name="junk10" hidden="1">{"'Sheet1'!$A$1:$R$58"}</definedName>
    <definedName name="junk11" hidden="1">{"'Sheet1'!$A$1:$R$58"}</definedName>
    <definedName name="junk12" hidden="1">{"'Sheet1'!$A$1:$R$58"}</definedName>
    <definedName name="junk13" hidden="1">{"'Sheet1'!$A$1:$R$58"}</definedName>
    <definedName name="junk2" hidden="1">{"'Sheet1'!$A$1:$R$58"}</definedName>
    <definedName name="junk3" hidden="1">{"'Sheet1'!$A$1:$R$58"}</definedName>
    <definedName name="junk4" hidden="1">{"'Sheet1'!$A$1:$R$58"}</definedName>
    <definedName name="junk5" hidden="1">{"'Sheet1'!$A$1:$R$58"}</definedName>
    <definedName name="junker">#REF!</definedName>
    <definedName name="JUS">"$#REF!.$#REF!$#REF!"</definedName>
    <definedName name="JV_Office">#REF!</definedName>
    <definedName name="JXJFJFJDJ" hidden="1">{"PriceSheetNoMargins",#N/A,FALSE,"PriceSheet"}</definedName>
    <definedName name="jyen">'[150]Factor Sheet'!$C$8</definedName>
    <definedName name="JYHJYHJYHJY" hidden="1">{"PriceSheetNoMargins",#N/A,FALSE,"PriceSheet"}</definedName>
    <definedName name="JYJXFJXFJ" hidden="1">{"PriceSheetNoMargins",#N/A,FALSE,"PriceSheet"}</definedName>
    <definedName name="k.eight">[91]ANALISYS!$E$4793</definedName>
    <definedName name="k.eighteen">[91]ANALISYS!$E$4930</definedName>
    <definedName name="k.eleven">[91]ANALISYS!$E$4832</definedName>
    <definedName name="k.fifteen">[91]ANALISYS!$E$4885</definedName>
    <definedName name="k.five">[91]ANALISYS!$E$4766</definedName>
    <definedName name="k.four">[91]ANALISYS!$E$4737</definedName>
    <definedName name="k.fourteen">[91]ANALISYS!$E$4870</definedName>
    <definedName name="k.nine">[91]ANALISYS!$E$4806</definedName>
    <definedName name="k.nineteen">[91]ANALISYS!$E$4946</definedName>
    <definedName name="k.oflyifeskrjuwryahte">#REF!</definedName>
    <definedName name="k.one">[91]ANALISYS!$E$4697</definedName>
    <definedName name="k.seven">[91]ANALISYS!$E$4780</definedName>
    <definedName name="k.seventeen">[91]ANALISYS!$E$4913</definedName>
    <definedName name="k.six">[91]ANALISYS!$E$4753</definedName>
    <definedName name="k.sixteen">[91]ANALISYS!$E$4898</definedName>
    <definedName name="k.ten">[91]ANALISYS!$E$4819</definedName>
    <definedName name="k.thirteen">[91]ANALISYS!$E$4858</definedName>
    <definedName name="k.three">[91]ANALISYS!$E$4724</definedName>
    <definedName name="k.twelve">[91]ANALISYS!$E$4845</definedName>
    <definedName name="k.twenty">[91]ANALISYS!$E$4960</definedName>
    <definedName name="k.two">[91]ANALISYS!$E$4711</definedName>
    <definedName name="k_3">#REF!</definedName>
    <definedName name="K_Water">#REF!</definedName>
    <definedName name="k1_table">#REF!</definedName>
    <definedName name="k1x">[217]Design!#REF!</definedName>
    <definedName name="k1y">[217]Design!#REF!</definedName>
    <definedName name="k2x">[217]Design!#REF!</definedName>
    <definedName name="k2y">[217]Design!#REF!</definedName>
    <definedName name="kamount">#REF!</definedName>
    <definedName name="kbblk">#REF!</definedName>
    <definedName name="kcal_H_____LH">[218]STMspry!$E$5</definedName>
    <definedName name="kcode">#REF!</definedName>
    <definedName name="KD">[219]ancillary!$I$5</definedName>
    <definedName name="KDSDSFFDSJKLJFDS" hidden="1">{#N/A,#N/A,FALSE,"Cust.Disc.Profile";#N/A,#N/A,FALSE,"Referral 1";#N/A,#N/A,FALSE,"Referral 2";#N/A,#N/A,FALSE,"Referral 3";#N/A,#N/A,FALSE,"Approval+Reportback "}</definedName>
    <definedName name="KE">#REF!</definedName>
    <definedName name="ked1.5">#REF!</definedName>
    <definedName name="kelly">#REF!</definedName>
    <definedName name="kent" hidden="1">#REF!</definedName>
    <definedName name="kerabond">#REF!</definedName>
    <definedName name="keracolor1">#REF!</definedName>
    <definedName name="keracolor2">#REF!</definedName>
    <definedName name="keraquick">#REF!</definedName>
    <definedName name="kerbl">#REF!</definedName>
    <definedName name="KEY">#REF!</definedName>
    <definedName name="kg">#REF!</definedName>
    <definedName name="kghlgh" hidden="1">{#N/A,#N/A,FALSE,"CCTV"}</definedName>
    <definedName name="khaldoun" hidden="1">{"'Break down'!$A$4"}</definedName>
    <definedName name="khongtruotgia" hidden="1">{"'Sheet1'!$L$16"}</definedName>
    <definedName name="KIKI">#REF!</definedName>
    <definedName name="KITCHEN">'[128]DETAIL '!#REF!</definedName>
    <definedName name="kitchendining">#REF!</definedName>
    <definedName name="KitchenEquipment">'[76]Ra  stair'!#REF!</definedName>
    <definedName name="kitdr">#REF!</definedName>
    <definedName name="KIU">#REF!</definedName>
    <definedName name="kiulil" hidden="1">{#N/A,#N/A,FALSE,"CCTV"}</definedName>
    <definedName name="KJ">[28]!KJ</definedName>
    <definedName name="KJBGTJHIHH">#REF!</definedName>
    <definedName name="kjhgdfsd">#REF!</definedName>
    <definedName name="KJHGFD" hidden="1">{"PriceSheetNoMargins",#N/A,FALSE,"PriceSheet"}</definedName>
    <definedName name="kjhkj" hidden="1">{#N/A,#N/A,FALSE,"SumG";#N/A,#N/A,FALSE,"ElecG";#N/A,#N/A,FALSE,"MechG";#N/A,#N/A,FALSE,"GeotG";#N/A,#N/A,FALSE,"PrcsG";#N/A,#N/A,FALSE,"TunnG";#N/A,#N/A,FALSE,"CivlG";#N/A,#N/A,FALSE,"NtwkG";#N/A,#N/A,FALSE,"EstgG";#N/A,#N/A,FALSE,"PEngG"}</definedName>
    <definedName name="kjhkjh" hidden="1">{"'Sheet1'!$A$1:$R$58"}</definedName>
    <definedName name="kjhlh" hidden="1">{#N/A,#N/A,FALSE,"CCTV"}</definedName>
    <definedName name="kjhljhk" hidden="1">{#N/A,#N/A,FALSE,"CCTV"}</definedName>
    <definedName name="kjjj">#REF!</definedName>
    <definedName name="kk" hidden="1">{#N/A,#N/A,FALSE,"SumD";#N/A,#N/A,FALSE,"ElecD";#N/A,#N/A,FALSE,"MechD";#N/A,#N/A,FALSE,"GeotD";#N/A,#N/A,FALSE,"PrcsD";#N/A,#N/A,FALSE,"TunnD";#N/A,#N/A,FALSE,"CivlD";#N/A,#N/A,FALSE,"NtwkD";#N/A,#N/A,FALSE,"EstgD";#N/A,#N/A,FALSE,"PEngD"}</definedName>
    <definedName name="KKKL">[28]!KKKL</definedName>
    <definedName name="klik" hidden="1">#REF!</definedName>
    <definedName name="kljhgfd">#REF!</definedName>
    <definedName name="KLKM">#REF!</definedName>
    <definedName name="klsdfhpwierypwer">#REF!</definedName>
    <definedName name="kodekdle">#REF!</definedName>
    <definedName name="kok" hidden="1">#REF!</definedName>
    <definedName name="KOREAVC">#REF!</definedName>
    <definedName name="koro7">#REF!</definedName>
    <definedName name="korocolor">#REF!</definedName>
    <definedName name="koroline">#REF!</definedName>
    <definedName name="koropox">#REF!</definedName>
    <definedName name="KOUKI">#REF!</definedName>
    <definedName name="KOUNT">#REF!</definedName>
    <definedName name="kp">'[104]Det Import'!#REF!</definedName>
    <definedName name="kqty">#REF!</definedName>
    <definedName name="KRW">#REF!</definedName>
    <definedName name="KS">#REF!</definedName>
    <definedName name="ku">[220]Publicbuilding!$Q$109</definedName>
    <definedName name="kukffu">[28]!kukffu</definedName>
    <definedName name="kuuu">[28]!kuuu</definedName>
    <definedName name="l.1">#REF!</definedName>
    <definedName name="l.10">#REF!</definedName>
    <definedName name="L.100mm_thick_block_work">[65]RESOURCES!$A$101</definedName>
    <definedName name="L.100mm_thick_block_work_solid">[65]RESOURCES!$A$104</definedName>
    <definedName name="l.13">#REF!</definedName>
    <definedName name="L.150mm_thick_block_work">[65]RESOURCES!$A$102</definedName>
    <definedName name="L.150mm_thick_block_work_solid">[65]RESOURCES!$A$105</definedName>
    <definedName name="l.2">#REF!</definedName>
    <definedName name="L.200mm_thick_block_work">[65]RESOURCES!$A$103</definedName>
    <definedName name="L.200mm_thick_Block_Work_Hollow_curved">[65]RESOURCES!$A$107</definedName>
    <definedName name="L.200mm_thick_block_work_solid">[65]RESOURCES!$A$106</definedName>
    <definedName name="L.20mm_thk._cement_rendering_with_glass_strips">[65]RESOURCES!$A$287</definedName>
    <definedName name="l.22">#REF!</definedName>
    <definedName name="l.23">#REF!</definedName>
    <definedName name="l.24">#REF!</definedName>
    <definedName name="l.25">#REF!</definedName>
    <definedName name="l.26">#REF!</definedName>
    <definedName name="l.27">#REF!</definedName>
    <definedName name="l.3">#REF!</definedName>
    <definedName name="l.4">#REF!</definedName>
    <definedName name="l.5">#REF!</definedName>
    <definedName name="l.6">#REF!</definedName>
    <definedName name="l.7">#REF!</definedName>
    <definedName name="l.8">#REF!</definedName>
    <definedName name="l.9">#REF!</definedName>
    <definedName name="L.Brick_Work_112.5">[65]RESOURCES!$A$114</definedName>
    <definedName name="L.Carpenter">[65]RESOURCES!$A$115</definedName>
    <definedName name="L.Cement_Rendering">[65]RESOURCES!$A$31</definedName>
    <definedName name="L.Cement_Rendering_with_Cement_Floating">[65]RESOURCES!$A$121</definedName>
    <definedName name="L.Cement_Skirting">[65]RESOURCES!$A$156</definedName>
    <definedName name="L.Cement_Skirting__curved">[65]RESOURCES!$A$157</definedName>
    <definedName name="L.Concrete_Beams_and_Slab">[65]RESOURCES!$A$69</definedName>
    <definedName name="L.Concrete_Column_Walls">[65]RESOURCES!$A$68</definedName>
    <definedName name="L.Concrete_Lintels_Kikers">[65]RESOURCES!$A$71</definedName>
    <definedName name="L.Concrete_Slabs_and_Beds">[65]RESOURCES!$A$67</definedName>
    <definedName name="L.Concrete_Staircase">[65]RESOURCES!$A$72</definedName>
    <definedName name="L.Construction_of_drip_edge">[65]RESOURCES!$A$288</definedName>
    <definedName name="l.Edges_Painting">[65]RESOURCES!$A$191</definedName>
    <definedName name="L.External_painting">[65]RESOURCES!$A$343</definedName>
    <definedName name="l.five">[91]ANALISYS!$E$5058</definedName>
    <definedName name="L.Fixing_Granite_Threshold">[65]RESOURCES!$A$161</definedName>
    <definedName name="L.Floor_tile_100x100">[65]RESOURCES!$A$165</definedName>
    <definedName name="L.Floor_Tile_300x300">[65]RESOURCES!$A$163</definedName>
    <definedName name="L.Floor_Tile_600x600">[65]RESOURCES!$A$152</definedName>
    <definedName name="L.Formwork_Beams">[65]RESOURCES!$A$79</definedName>
    <definedName name="L.Formwork_Column">[65]RESOURCES!$A$76</definedName>
    <definedName name="L.Formwork_Curved_Beams">[65]RESOURCES!$A$81</definedName>
    <definedName name="L.Formwork_Curved_Walls">[65]RESOURCES!$A$80</definedName>
    <definedName name="L.Formwork_Edges">[65]RESOURCES!$A$84</definedName>
    <definedName name="L.FOrmwork_Edges_Curved">[65]RESOURCES!$A$129</definedName>
    <definedName name="L.Formwork_Foundation">[65]RESOURCES!$A$75</definedName>
    <definedName name="L.Formwork_Slabs">[65]RESOURCES!$A$78</definedName>
    <definedName name="L.Formwork_Staircase">[65]RESOURCES!$A$83</definedName>
    <definedName name="L.Formwork_Tie_Beam">[65]RESOURCES!$A$73</definedName>
    <definedName name="L.Formwork_Walls">[65]RESOURCES!$A$77</definedName>
    <definedName name="l.four">[91]ANALISYS!$E$5038</definedName>
    <definedName name="L.Granite_Wall_TIles">[65]RESOURCES!$A$179</definedName>
    <definedName name="L.Granolathic_FInish">[65]RESOURCES!$A$154</definedName>
    <definedName name="L.Grinding_charges_for_block_wall_fair_faced">[65]RESOURCES!$A$339</definedName>
    <definedName name="L.Grinding_charges_for_concrete_walls_to_fair_faced">[65]RESOURCES!$A$340</definedName>
    <definedName name="L.Helper">[65]RESOURCES!$A$38</definedName>
    <definedName name="L.Honey_comb_repair_by_labour_in_reveals">[65]RESOURCES!$A$341</definedName>
    <definedName name="l.Hume_Pipe_Laying_200mm_dia">[65]RESOURCES!$A$239</definedName>
    <definedName name="l.Hume_Pipe_Laying_300mm_dia">[65]RESOURCES!$A$240</definedName>
    <definedName name="l.Hume_Pipe_Laying_400mm_dia">[65]RESOURCES!$A$241</definedName>
    <definedName name="l.Hume_Pipe_Laying_600mm_dia">[65]RESOURCES!$A$242</definedName>
    <definedName name="L.Interlocking_Paving_Block">[65]RESOURCES!$A$205</definedName>
    <definedName name="l.Internal_Painting">[65]RESOURCES!$A$189</definedName>
    <definedName name="L.Internal_Painting_with_Skim_Coat">[65]RESOURCES!$A$234</definedName>
    <definedName name="L.Internal_Plaster">[65]RESOURCES!$A$174</definedName>
    <definedName name="L.Kerb_instalation">[65]RESOURCES!$A$208</definedName>
    <definedName name="L.Laying_142_Mesh">[65]RESOURCES!$A$227</definedName>
    <definedName name="l.Manhole_Garbage_Waste_450x450x450">[65]RESOURCES!$A$258</definedName>
    <definedName name="l.Manhole_Garbage_Waste_450x450x600">[65]RESOURCES!$A$259</definedName>
    <definedName name="l.Manhole_Grease_Trap_2000x1000x1200">[65]RESOURCES!$A$260</definedName>
    <definedName name="l.Manhole_Sewer_1000x1000x1075">[65]RESOURCES!$A$250</definedName>
    <definedName name="l.Manhole_Sewer_1000x1000x1200">[65]RESOURCES!$A$251</definedName>
    <definedName name="l.Manhole_Sewer_1000x1000x950">[65]RESOURCES!$A$249</definedName>
    <definedName name="l.Manhole_Sewer_450x450x450">[65]RESOURCES!$A$243</definedName>
    <definedName name="l.Manhole_Sewer_600x600x500">[65]RESOURCES!$A$244</definedName>
    <definedName name="l.Manhole_Sewer_600x600x650">[65]RESOURCES!$A$245</definedName>
    <definedName name="l.Manhole_Sewer_900x900x775">[65]RESOURCES!$A$246</definedName>
    <definedName name="l.Manhole_Sewer_900x900x875">[65]RESOURCES!$A$247</definedName>
    <definedName name="l.Manhole_Sewer_900x900x900">[65]RESOURCES!$A$248</definedName>
    <definedName name="l.Manhole_Sewer_Intercepter_1000x1000x1300">[65]RESOURCES!$A$252</definedName>
    <definedName name="l.Manhole_Storm_Water_1200x1200x1250">[65]RESOURCES!$A$261</definedName>
    <definedName name="l.Manhole_Storm_Water_1200x1200x2000">[65]RESOURCES!$A$265</definedName>
    <definedName name="l.Manhole_Storm_Water_600x600x300">[65]RESOURCES!$A$264</definedName>
    <definedName name="l.Manhole_Storm_Water_800x800x800">[65]RESOURCES!$A$263</definedName>
    <definedName name="l.Manhole_Storm_Water_900x900x900">[65]RESOURCES!$A$262</definedName>
    <definedName name="l.Manhole_waste_600x600x500">[65]RESOURCES!$A$253</definedName>
    <definedName name="l.Manhole_waste_600x600x650">[65]RESOURCES!$A$254</definedName>
    <definedName name="l.Manhole_waste_trap_300x300x200">[65]RESOURCES!$A$255</definedName>
    <definedName name="l.Manhole_waste_trap_900x900x725">[65]RESOURCES!$A$256</definedName>
    <definedName name="l.Manhole_waste_trap_900x900x750">[65]RESOURCES!$A$257</definedName>
    <definedName name="l.one">[91]ANALISYS!$E$4981</definedName>
    <definedName name="L.Operator">[65]RESOURCES!$A$33</definedName>
    <definedName name="L.Plaster_with_reveals">[65]RESOURCES!$A$359</definedName>
    <definedName name="L.Plinth_Plaster">[65]RESOURCES!$A$199</definedName>
    <definedName name="L.Polythene_Laying">[65]RESOURCES!$A$120</definedName>
    <definedName name="L.Power_Trowel">[65]RESOURCES!$A$153</definedName>
    <definedName name="L.Random_rubble_work">[65]RESOURCES!$A$29</definedName>
    <definedName name="L.Reinforcement_Labour">[65]RESOURCES!$A$96</definedName>
    <definedName name="L.Reinforcement_Labour_Mechanical_Splices">[65]RESOURCES!$A$228</definedName>
    <definedName name="L.Reinforcement_Labour_With_Mechanical_Slices">[65]RESOURCES!$A$95</definedName>
    <definedName name="L.Reveals">[65]RESOURCES!$A$182</definedName>
    <definedName name="l.six">[91]ANALISYS!$E$5078</definedName>
    <definedName name="l.Soffit_Painting">[65]RESOURCES!$A$190</definedName>
    <definedName name="L.Soffit_plaster">[65]RESOURCES!$A$183</definedName>
    <definedName name="L.Soffit_Reveals">[65]RESOURCES!$A$184</definedName>
    <definedName name="l.three">[91]ANALISYS!$E$5014</definedName>
    <definedName name="L.Tile_Skirting__including_forming_edge">[65]RESOURCES!$A$155</definedName>
    <definedName name="l.two">[91]ANALISYS!$E$4995</definedName>
    <definedName name="L.Welder">[65]RESOURCES!$A$49</definedName>
    <definedName name="l___0">#REF!</definedName>
    <definedName name="L_12.2">[221]Services_InitialEst_UtilityServ!$B$24</definedName>
    <definedName name="L_18.3">[221]Services_InitialEst_UtilityServ!$B$23</definedName>
    <definedName name="L_24.7">[221]Services_InitialEst_UtilityServ!$B$22</definedName>
    <definedName name="L_45.7">[221]Services_InitialEst_UtilityServ!$B$21</definedName>
    <definedName name="L_65">[221]Services_InitialEst_UtilityServ!$B$20</definedName>
    <definedName name="L_Lab">[51]PW!$L$18</definedName>
    <definedName name="L_Mat">[51]PW!$L$13</definedName>
    <definedName name="l1x1">#REF!</definedName>
    <definedName name="l2x1">#REF!</definedName>
    <definedName name="l2x2">#REF!</definedName>
    <definedName name="l2x3">#REF!</definedName>
    <definedName name="l2x4">#REF!</definedName>
    <definedName name="la">#REF!</definedName>
    <definedName name="laav">#REF!</definedName>
    <definedName name="lab">'[150]Factor Sheet'!$D$31</definedName>
    <definedName name="LAB_2">#N/A</definedName>
    <definedName name="labb">#REF!</definedName>
    <definedName name="labbb">#REF!</definedName>
    <definedName name="labor_a">[222]Sheet2!$C$10</definedName>
    <definedName name="labor_d">[222]Sheet2!$C$11</definedName>
    <definedName name="LABOR1">#N/A</definedName>
    <definedName name="Labour_name">'[223]Rate Sheet'!$B$28:$B$46</definedName>
    <definedName name="Labour_name.">'[224]Rate Sheet'!$B$25:$B$43</definedName>
    <definedName name="Labour_Productivity">[28]!Labour_Productivity</definedName>
    <definedName name="Labour_RBD">'[225]3.Labour'!$B$7:$E$17</definedName>
    <definedName name="labourcost1">"$#REF!.$AH$43"</definedName>
    <definedName name="labourcost1_10">"$#REF!.$AH$43"</definedName>
    <definedName name="labourcost1_9">"$#REF!.$AH$43"</definedName>
    <definedName name="LABOURFPL1">#REF!</definedName>
    <definedName name="LabourName_RBD">'[225]3.Labour'!$B$7:$B$17</definedName>
    <definedName name="labr">[207]EST!$AE$17</definedName>
    <definedName name="labr_10">#N/A</definedName>
    <definedName name="labR_4">#REF!</definedName>
    <definedName name="labr_9">#N/A</definedName>
    <definedName name="labu">"$#REF!.$#REF!$#REF!"</definedName>
    <definedName name="lac0.4">#REF!</definedName>
    <definedName name="lac0.5">#REF!</definedName>
    <definedName name="lac0.75">#REF!</definedName>
    <definedName name="lac1.1">#REF!</definedName>
    <definedName name="lac1.5">#REF!</definedName>
    <definedName name="lac1.7">#REF!</definedName>
    <definedName name="lac10.5">#REF!</definedName>
    <definedName name="lac2.2">#REF!</definedName>
    <definedName name="lac2.5">#REF!</definedName>
    <definedName name="lac3.75">#REF!</definedName>
    <definedName name="lac4.5">#REF!</definedName>
    <definedName name="lac5.5">#REF!</definedName>
    <definedName name="lac7.5">#REF!</definedName>
    <definedName name="lade1">[48]Factors!$AB$272</definedName>
    <definedName name="lade10">[48]Factors!$AB$281</definedName>
    <definedName name="lade11">[48]Factors!$AB$282</definedName>
    <definedName name="lade12">[48]Factors!$AB$283</definedName>
    <definedName name="lade13">[48]Factors!$AB$284</definedName>
    <definedName name="lade14">[48]Factors!$AB$285</definedName>
    <definedName name="lade15">[48]Factors!$AB$286</definedName>
    <definedName name="lade16">[48]Factors!$AB$287</definedName>
    <definedName name="lade17">[48]Factors!$AB$288</definedName>
    <definedName name="lade18">[48]Factors!$AB$289</definedName>
    <definedName name="lade2">[48]Factors!$AB$273</definedName>
    <definedName name="lade3">[48]Factors!$AB$274</definedName>
    <definedName name="lade4">[48]Factors!$AB$275</definedName>
    <definedName name="lade5">[48]Factors!$AB$276</definedName>
    <definedName name="lade6">[48]Factors!$AB$277</definedName>
    <definedName name="lade7">[48]Factors!$AB$278</definedName>
    <definedName name="lade8">[48]Factors!$AB$279</definedName>
    <definedName name="lade9">[48]Factors!$AB$280</definedName>
    <definedName name="ladies">#REF!</definedName>
    <definedName name="lady">"Picture 223"</definedName>
    <definedName name="laf">#REF!</definedName>
    <definedName name="lafv100">#REF!</definedName>
    <definedName name="lafv125">#REF!</definedName>
    <definedName name="lafv15">#REF!</definedName>
    <definedName name="lafv150">#REF!</definedName>
    <definedName name="lafv20">#REF!</definedName>
    <definedName name="lafv200">#REF!</definedName>
    <definedName name="lafv25">#REF!</definedName>
    <definedName name="lafv250">#REF!</definedName>
    <definedName name="lafv32">#REF!</definedName>
    <definedName name="lafv40">#REF!</definedName>
    <definedName name="lafv50">#REF!</definedName>
    <definedName name="lafv65">[49]Factors!$O$121</definedName>
    <definedName name="lafv80">[49]Factors!$O$122</definedName>
    <definedName name="lag0.04">#REF!</definedName>
    <definedName name="lag0.06">#REF!</definedName>
    <definedName name="lag0.08">#REF!</definedName>
    <definedName name="lag0.1">#REF!</definedName>
    <definedName name="lag0.15">#REF!</definedName>
    <definedName name="lag0.2">#REF!</definedName>
    <definedName name="lag0.25">#REF!</definedName>
    <definedName name="lag0.3">#REF!</definedName>
    <definedName name="lag0.35">#REF!</definedName>
    <definedName name="lag0.4">#REF!</definedName>
    <definedName name="lag350x350">[55]Factors!$J$383</definedName>
    <definedName name="lag400x400">[55]Factors!$J$384</definedName>
    <definedName name="lag500x500">[55]Factors!$J$386</definedName>
    <definedName name="lagab0.4">#REF!</definedName>
    <definedName name="lahu10500">#REF!</definedName>
    <definedName name="lahu11300">#REF!</definedName>
    <definedName name="lahu12200">#REF!</definedName>
    <definedName name="lahu13300">#REF!</definedName>
    <definedName name="lahu15100">#REF!</definedName>
    <definedName name="lahu17100">#REF!</definedName>
    <definedName name="lahu3600">#REF!</definedName>
    <definedName name="lahu4800">#REF!</definedName>
    <definedName name="lahu5500">#REF!</definedName>
    <definedName name="lahuh10500">#REF!</definedName>
    <definedName name="lahuh11300">#REF!</definedName>
    <definedName name="lahuh12200">#REF!</definedName>
    <definedName name="lahuh13300">#REF!</definedName>
    <definedName name="lahuh15100">#REF!</definedName>
    <definedName name="lahuh17100">#REF!</definedName>
    <definedName name="lahuh19000">#REF!</definedName>
    <definedName name="lahuh21000">#REF!</definedName>
    <definedName name="lahuh23000">#REF!</definedName>
    <definedName name="lahuh24000">#REF!</definedName>
    <definedName name="lahuh2500">#REF!</definedName>
    <definedName name="lahuh26000">#REF!</definedName>
    <definedName name="lahuh28000">#REF!</definedName>
    <definedName name="lahuh3600">#REF!</definedName>
    <definedName name="lahuh4800">#REF!</definedName>
    <definedName name="lahuh5500">#REF!</definedName>
    <definedName name="lahuh6200">#REF!</definedName>
    <definedName name="lahuh6900">#REF!</definedName>
    <definedName name="lahuh7900">#REF!</definedName>
    <definedName name="lahuh9000">#REF!</definedName>
    <definedName name="lahuh9900">#REF!</definedName>
    <definedName name="lahuv10500">#REF!</definedName>
    <definedName name="lahuv11300">#REF!</definedName>
    <definedName name="lahuv12200">#REF!</definedName>
    <definedName name="lahuv13300">#REF!</definedName>
    <definedName name="lahuv15100">#REF!</definedName>
    <definedName name="lahuv17100">#REF!</definedName>
    <definedName name="lahuv19000">#REF!</definedName>
    <definedName name="lahuv21000">#REF!</definedName>
    <definedName name="lahuv23000">#REF!</definedName>
    <definedName name="lahuv24000">#REF!</definedName>
    <definedName name="lahuv2500">#REF!</definedName>
    <definedName name="lahuv26000">#REF!</definedName>
    <definedName name="lahuv28000">#REF!</definedName>
    <definedName name="lahuv3600">#REF!</definedName>
    <definedName name="lahuv4800">#REF!</definedName>
    <definedName name="lahuv5500">#REF!</definedName>
    <definedName name="lahuv6200">#REF!</definedName>
    <definedName name="lahuv6900">#REF!</definedName>
    <definedName name="lahuv7900">#REF!</definedName>
    <definedName name="lahuv9000">#REF!</definedName>
    <definedName name="lahuv9900">#REF!</definedName>
    <definedName name="LALA">#REF!</definedName>
    <definedName name="laminate">#REF!</definedName>
    <definedName name="lamp.ceiling">#REF!</definedName>
    <definedName name="Land_HouseRent">#REF!</definedName>
    <definedName name="LandHouseRent">#REF!</definedName>
    <definedName name="Landscape">#REF!</definedName>
    <definedName name="Landscaping">#REF!</definedName>
    <definedName name="Langal">#REF!</definedName>
    <definedName name="Langal_10">"$#REF!.$D$58"</definedName>
    <definedName name="Langal_4">#REF!</definedName>
    <definedName name="Langal_5">#REF!</definedName>
    <definedName name="Langal_9">"$#REF!.$D$58"</definedName>
    <definedName name="lap">[226]General!$B$2:$G$9</definedName>
    <definedName name="lapidolith">#REF!</definedName>
    <definedName name="lar">[48]Factors!$V$89</definedName>
    <definedName name="Large">#REF!</definedName>
    <definedName name="lasl.05">#REF!</definedName>
    <definedName name="Last_Row___0">NA()</definedName>
    <definedName name="Last_Row___10">NA()</definedName>
    <definedName name="Last_Row___2">NA()</definedName>
    <definedName name="Last_Row___3">NA()</definedName>
    <definedName name="Last_Row___4">NA()</definedName>
    <definedName name="Last_Row___5">NA()</definedName>
    <definedName name="Last_Row___6">NA()</definedName>
    <definedName name="Last_Row___7">NA()</definedName>
    <definedName name="Last_Row___8">NA()</definedName>
    <definedName name="Last_Row___9">NA()</definedName>
    <definedName name="lastyrmonth">[140]Legend!$B$7</definedName>
    <definedName name="lastyrquarter">[144]Legend!#REF!</definedName>
    <definedName name="LAT">#REF!</definedName>
    <definedName name="latapoxy">#REF!</definedName>
    <definedName name="latgrout1">#REF!</definedName>
    <definedName name="latgrout2">#REF!</definedName>
    <definedName name="latgrout3">#REF!</definedName>
    <definedName name="lath">#REF!</definedName>
    <definedName name="Latin_America_Group">#REF!</definedName>
    <definedName name="LATINAMERICA">#REF!</definedName>
    <definedName name="lba">'[138]BOQ PP'!$G$4</definedName>
    <definedName name="lbbs.1">#REF!</definedName>
    <definedName name="lbcv100">#REF!</definedName>
    <definedName name="lbcv125">#REF!</definedName>
    <definedName name="lbcv15">#REF!</definedName>
    <definedName name="lbcv150">#REF!</definedName>
    <definedName name="lbcv20">#REF!</definedName>
    <definedName name="lbcv200">#REF!</definedName>
    <definedName name="lbcv25">#REF!</definedName>
    <definedName name="lbcv250">#REF!</definedName>
    <definedName name="lbcv300">#REF!</definedName>
    <definedName name="lbcv32">#REF!</definedName>
    <definedName name="lbcv40">#REF!</definedName>
    <definedName name="lbcv50">#REF!</definedName>
    <definedName name="lbcv65">#REF!</definedName>
    <definedName name="lbcv80">#REF!</definedName>
    <definedName name="LBFV150">#REF!</definedName>
    <definedName name="LBFV65">#REF!</definedName>
    <definedName name="LBFV80">#REF!</definedName>
    <definedName name="lbib">#REF!</definedName>
    <definedName name="lbip">#REF!</definedName>
    <definedName name="lblv100">#REF!</definedName>
    <definedName name="lblv125">#REF!</definedName>
    <definedName name="lblv15">#REF!</definedName>
    <definedName name="lblv150">#REF!</definedName>
    <definedName name="lblv20">#REF!</definedName>
    <definedName name="lblv200">#REF!</definedName>
    <definedName name="lblv25">#REF!</definedName>
    <definedName name="lblv250">#REF!</definedName>
    <definedName name="lblv300">#REF!</definedName>
    <definedName name="lblv32">#REF!</definedName>
    <definedName name="lblv40">#REF!</definedName>
    <definedName name="lblv50">#REF!</definedName>
    <definedName name="lblv65">#REF!</definedName>
    <definedName name="lblv80">#REF!</definedName>
    <definedName name="lbrc">#REF!</definedName>
    <definedName name="lbrd.1">#REF!</definedName>
    <definedName name="lbsh">#REF!</definedName>
    <definedName name="lbtub">#REF!</definedName>
    <definedName name="lbutv350">#REF!</definedName>
    <definedName name="lbutv400">#REF!</definedName>
    <definedName name="LC" comment="Local Charges">#REF!</definedName>
    <definedName name="LC_10">#REF!</definedName>
    <definedName name="LC_9">#REF!</definedName>
    <definedName name="lca">#REF!</definedName>
    <definedName name="lcan">#REF!</definedName>
    <definedName name="LCC_EXPAT">'[29]Raw Data'!$D$7</definedName>
    <definedName name="LCC_LOCAL">'[29]Raw Data'!$D$8</definedName>
    <definedName name="lcdpi100">#REF!</definedName>
    <definedName name="lcdpi125">#REF!</definedName>
    <definedName name="lcdpi15">#REF!</definedName>
    <definedName name="lcdpi150">#REF!</definedName>
    <definedName name="lcdpi20">#REF!</definedName>
    <definedName name="lcdpi25">[7]Factors!$J$489</definedName>
    <definedName name="lcdpi32">#REF!</definedName>
    <definedName name="lcdpi40">#REF!</definedName>
    <definedName name="lcdpi50">#REF!</definedName>
    <definedName name="lcdpi65">#REF!</definedName>
    <definedName name="lcdpi80">#REF!</definedName>
    <definedName name="lcfan">#REF!</definedName>
    <definedName name="lcla">#REF!</definedName>
    <definedName name="lcla100">#REF!</definedName>
    <definedName name="lcla125">#REF!</definedName>
    <definedName name="lcla15">#REF!</definedName>
    <definedName name="lcla150">#REF!</definedName>
    <definedName name="lcla20">#REF!</definedName>
    <definedName name="lcla200">#REF!</definedName>
    <definedName name="lcla25">#REF!</definedName>
    <definedName name="lcla250">#REF!</definedName>
    <definedName name="lcla300">#REF!</definedName>
    <definedName name="lcla32">#REF!</definedName>
    <definedName name="lcla350">#REF!</definedName>
    <definedName name="lcla40">#REF!</definedName>
    <definedName name="lcla400">#REF!</definedName>
    <definedName name="lcla450">#REF!</definedName>
    <definedName name="lcla50">#REF!</definedName>
    <definedName name="lcla65">#REF!</definedName>
    <definedName name="lcla80">#REF!</definedName>
    <definedName name="lcmf">[55]Factors!$P$438</definedName>
    <definedName name="lco">#REF!</definedName>
    <definedName name="lcoping">#REF!</definedName>
    <definedName name="LCP54.1">#REF!</definedName>
    <definedName name="lcpi160">#REF!</definedName>
    <definedName name="lcpi200">#REF!</definedName>
    <definedName name="lcpi250">#REF!</definedName>
    <definedName name="lcpi315">#REF!</definedName>
    <definedName name="lcpi355">#REF!</definedName>
    <definedName name="LD4.1200">[66]Price!$D$82</definedName>
    <definedName name="ldbsi">#REF!</definedName>
    <definedName name="ldbwb">#REF!</definedName>
    <definedName name="LDCLD">#REF!</definedName>
    <definedName name="ldf">#REF!</definedName>
    <definedName name="ldgrating">#REF!</definedName>
    <definedName name="ldgrating2">#REF!</definedName>
    <definedName name="ldiff">#REF!</definedName>
    <definedName name="ldig100">#REF!</definedName>
    <definedName name="ldig125">#REF!</definedName>
    <definedName name="ldig150">#REF!</definedName>
    <definedName name="ldig200">#REF!</definedName>
    <definedName name="ldig250">#REF!</definedName>
    <definedName name="ldig300">#REF!</definedName>
    <definedName name="ldig65">#REF!</definedName>
    <definedName name="ldig80">#REF!</definedName>
    <definedName name="ldins">#REF!</definedName>
    <definedName name="ldins50">[48]Factors!$L$256</definedName>
    <definedName name="ldp">#REF!</definedName>
    <definedName name="LDRAFT_rate">[90]Inputs!$G$7</definedName>
    <definedName name="Leadtime" hidden="1">{"'Sheet1'!$A$1:$R$58"}</definedName>
    <definedName name="Lean">'[71]Build Up rate'!$D$14</definedName>
    <definedName name="lean50">'[134]SCH2'!$N$1</definedName>
    <definedName name="lean75">#REF!</definedName>
    <definedName name="leftfmk">#REF!</definedName>
    <definedName name="LEGAL">#REF!</definedName>
    <definedName name="lei">#REF!</definedName>
    <definedName name="Len">#REF!</definedName>
    <definedName name="LENG_rate">[90]Inputs!$G$6</definedName>
    <definedName name="length1">#REF!</definedName>
    <definedName name="lev">#REF!</definedName>
    <definedName name="lexca1">[105]Factors!$E$286</definedName>
    <definedName name="lexca2">#REF!</definedName>
    <definedName name="lexca3">#REF!</definedName>
    <definedName name="lfa.1">#REF!</definedName>
    <definedName name="lfa.2">#REF!</definedName>
    <definedName name="lfa.3">#REF!</definedName>
    <definedName name="lfa.4">#REF!</definedName>
    <definedName name="lfan13">[57]Factors!$W$167</definedName>
    <definedName name="lfcu11">#REF!</definedName>
    <definedName name="lfcu2.75">#REF!</definedName>
    <definedName name="lfcu4">#REF!</definedName>
    <definedName name="lfcu5.5">#REF!</definedName>
    <definedName name="lfcu7.5">#REF!</definedName>
    <definedName name="lfd0.1">#REF!</definedName>
    <definedName name="lfd0.2">#REF!</definedName>
    <definedName name="lfd0.3">#REF!</definedName>
    <definedName name="lfd0.4">#REF!</definedName>
    <definedName name="lfd0.5">#REF!</definedName>
    <definedName name="lfd0.6">#REF!</definedName>
    <definedName name="lfd0.7">#REF!</definedName>
    <definedName name="lfd0.8">#REF!</definedName>
    <definedName name="lfd0.9">#REF!</definedName>
    <definedName name="lfd1.0">#REF!</definedName>
    <definedName name="lfd1.2">#REF!</definedName>
    <definedName name="lfd1.4">#REF!</definedName>
    <definedName name="lfd1.6">#REF!</definedName>
    <definedName name="lfd1.8">#REF!</definedName>
    <definedName name="lfd2.0">#REF!</definedName>
    <definedName name="lfd2.2">#REF!</definedName>
    <definedName name="lfd2.4">#REF!</definedName>
    <definedName name="lfd2.6">#REF!</definedName>
    <definedName name="lfd2.8">#REF!</definedName>
    <definedName name="LFJR100">#REF!</definedName>
    <definedName name="LFJR65">#REF!</definedName>
    <definedName name="LFJSUS15">#REF!</definedName>
    <definedName name="LFJSUS20">#REF!</definedName>
    <definedName name="LFJSUS25">#REF!</definedName>
    <definedName name="LFJSUS50">#REF!</definedName>
    <definedName name="LFL.100">#REF!</definedName>
    <definedName name="LFL.125">#REF!</definedName>
    <definedName name="LFL.150">#REF!</definedName>
    <definedName name="LFL.65">#REF!</definedName>
    <definedName name="lfv.ur">#REF!</definedName>
    <definedName name="lfv.wc">#REF!</definedName>
    <definedName name="lfw">#REF!</definedName>
    <definedName name="lg15c">#REF!</definedName>
    <definedName name="lg20c">#REF!</definedName>
    <definedName name="lg30c">#REF!</definedName>
    <definedName name="lgdis">[103]Factors!$G$17</definedName>
    <definedName name="lgi.300">#REF!</definedName>
    <definedName name="lgl.15">#REF!</definedName>
    <definedName name="lgl.300">#REF!</definedName>
    <definedName name="lglassw25">#REF!</definedName>
    <definedName name="lglassw50">#REF!</definedName>
    <definedName name="lglasswb25">[50]Factors!$E$374</definedName>
    <definedName name="lgt">[135]Factors!$H$11</definedName>
    <definedName name="lh">#REF!</definedName>
    <definedName name="lhb.1">#REF!</definedName>
    <definedName name="lhd">#REF!</definedName>
    <definedName name="lhd.1">#REF!</definedName>
    <definedName name="lheelstone">#REF!</definedName>
    <definedName name="lhrd.1">#REF!</definedName>
    <definedName name="lhs">#REF!</definedName>
    <definedName name="lhsd">#REF!</definedName>
    <definedName name="li">#REF!</definedName>
    <definedName name="library">#REF!</definedName>
    <definedName name="licp125">#REF!</definedName>
    <definedName name="licp150">#REF!</definedName>
    <definedName name="LIFT">#REF!</definedName>
    <definedName name="liftd">#REF!</definedName>
    <definedName name="Lifts">#REF!</definedName>
    <definedName name="LIGHTING">#REF!</definedName>
    <definedName name="Lightning_9">#REF!</definedName>
    <definedName name="Lights">'[76]Ra  stair'!#REF!</definedName>
    <definedName name="lignobond">#REF!</definedName>
    <definedName name="lil">[28]!lil</definedName>
    <definedName name="Lime">#REF!</definedName>
    <definedName name="lime.b">#REF!</definedName>
    <definedName name="lime.s">#REF!</definedName>
    <definedName name="limpreg">#REF!</definedName>
    <definedName name="limpregl">#REF!</definedName>
    <definedName name="LINE">#REF!</definedName>
    <definedName name="LINE1">#REF!</definedName>
    <definedName name="lininsu25">#REF!</definedName>
    <definedName name="lininsu50">#REF!</definedName>
    <definedName name="Link_Sewer">#REF!</definedName>
    <definedName name="LINKWAY_2">'[227]10.Linkway'!#REF!</definedName>
    <definedName name="LINKWAY_3">'[227]10.Linkway'!#REF!</definedName>
    <definedName name="Lintel">'[228]2'!#REF!</definedName>
    <definedName name="lintol1">#REF!</definedName>
    <definedName name="lintol2">#REF!</definedName>
    <definedName name="livp300">[55]Factors!$E$166</definedName>
    <definedName name="livu75">[55]Factors!$M$159</definedName>
    <definedName name="lk" hidden="1">{#N/A,#N/A,FALSE,"Cust.Disc.Profile";#N/A,#N/A,FALSE,"Referral 1";#N/A,#N/A,FALSE,"Referral 2";#N/A,#N/A,FALSE,"Referral 3";#N/A,#N/A,FALSE,"Approval+Reportback "}</definedName>
    <definedName name="lked1.5">#REF!</definedName>
    <definedName name="lkerb">#REF!</definedName>
    <definedName name="lkjh">#REF!</definedName>
    <definedName name="LKJHGF" hidden="1">{"PriceSheetNoMargins",#N/A,FALSE,"PriceSheet"}</definedName>
    <definedName name="lkjhjgf">#REF!</definedName>
    <definedName name="LKL" hidden="1">{#N/A,#N/A,FALSE,"SumG";#N/A,#N/A,FALSE,"ElecG";#N/A,#N/A,FALSE,"MechG";#N/A,#N/A,FALSE,"GeotG";#N/A,#N/A,FALSE,"PrcsG";#N/A,#N/A,FALSE,"TunnG";#N/A,#N/A,FALSE,"CivlG";#N/A,#N/A,FALSE,"NtwkG";#N/A,#N/A,FALSE,"EstgG";#N/A,#N/A,FALSE,"PEngG"}</definedName>
    <definedName name="lklhlkjl" hidden="1">{#N/A,#N/A,FALSE,"CCTV"}</definedName>
    <definedName name="lklkkl">#N/A</definedName>
    <definedName name="ll_10">#REF!</definedName>
    <definedName name="ll_9">#REF!</definedName>
    <definedName name="llbg1">#REF!</definedName>
    <definedName name="llconc">#REF!</definedName>
    <definedName name="llintol">#REF!</definedName>
    <definedName name="llllllllllllllllllllll">[28]!llllllllllllllllllllll</definedName>
    <definedName name="LLLLVV">[28]!LLLLVV</definedName>
    <definedName name="llou">#REF!</definedName>
    <definedName name="LLU">#REF!</definedName>
    <definedName name="llv.1">#REF!</definedName>
    <definedName name="llv.2">#REF!</definedName>
    <definedName name="llv.3">#REF!</definedName>
    <definedName name="llv.4">#REF!</definedName>
    <definedName name="llv.5">#REF!</definedName>
    <definedName name="lmav">#REF!</definedName>
    <definedName name="lmcv.15">#REF!</definedName>
    <definedName name="lmcv.20">#REF!</definedName>
    <definedName name="lmcv100">#REF!</definedName>
    <definedName name="lmcv125">#REF!</definedName>
    <definedName name="lmcv150">#REF!</definedName>
    <definedName name="lmcv200">#REF!</definedName>
    <definedName name="lmcv25">#REF!</definedName>
    <definedName name="lmcv250">#REF!</definedName>
    <definedName name="lmcv300">#REF!</definedName>
    <definedName name="lmcv32">#REF!</definedName>
    <definedName name="lmcv40">#REF!</definedName>
    <definedName name="lmcv50">#REF!</definedName>
    <definedName name="lmcv65">#REF!</definedName>
    <definedName name="lmcv80">#REF!</definedName>
    <definedName name="lmf">#REF!</definedName>
    <definedName name="lmfmk">#REF!</definedName>
    <definedName name="lmirlv.2">#REF!</definedName>
    <definedName name="lmirlv.3">#REF!</definedName>
    <definedName name="lmirlv.4">#REF!</definedName>
    <definedName name="lmosaic">#REF!</definedName>
    <definedName name="lmxr">#REF!</definedName>
    <definedName name="lnosing">#REF!</definedName>
    <definedName name="lo">#REF!</definedName>
    <definedName name="LoadIndicator">[156]Title!$IR$10</definedName>
    <definedName name="LoadScenario">[156]Title!$IT$10</definedName>
    <definedName name="LoadVersion">[156]Title!$IS$10</definedName>
    <definedName name="Loan_Loss_Provision_fore">#REF!</definedName>
    <definedName name="LOC_FIREMEN">[229]Wiring_Firemen!$F$2</definedName>
    <definedName name="local">#REF!</definedName>
    <definedName name="LOCAL_STAFF">#REF!</definedName>
    <definedName name="LOCAL_STAFF_ENTRY">#REF!</definedName>
    <definedName name="local2">#REF!</definedName>
    <definedName name="LOCALT">#REF!</definedName>
    <definedName name="LOCALT_10">"$#REF!.$C$24"</definedName>
    <definedName name="LOCALT_2">#REF!</definedName>
    <definedName name="LOCALT_9">"$#REF!.$C$24"</definedName>
    <definedName name="lock.mo">#REF!</definedName>
    <definedName name="lock.r">#REF!</definedName>
    <definedName name="LockVals">#REF!</definedName>
    <definedName name="locp125">#REF!</definedName>
    <definedName name="locp150">#REF!</definedName>
    <definedName name="lofcv100">#REF!</definedName>
    <definedName name="lofcv125">#REF!</definedName>
    <definedName name="lofcv15">#REF!</definedName>
    <definedName name="lofcv150">[165]Factors!$E$110</definedName>
    <definedName name="lofcv20">#REF!</definedName>
    <definedName name="lofcv200">#REF!</definedName>
    <definedName name="lofcv25">#REF!</definedName>
    <definedName name="lofcv250">#REF!</definedName>
    <definedName name="lofcv300">#REF!</definedName>
    <definedName name="lofcv32">#REF!</definedName>
    <definedName name="lofcv40">#REF!</definedName>
    <definedName name="lofcv50">#REF!</definedName>
    <definedName name="lofcv65">#REF!</definedName>
    <definedName name="lofcv80">#REF!</definedName>
    <definedName name="loki">#REF!</definedName>
    <definedName name="Lookup">#REF!</definedName>
    <definedName name="Lookup08">[230]Lookup!$C$8:$Q$22</definedName>
    <definedName name="Lookup10">[231]Lookup!$C$52:$Q$66</definedName>
    <definedName name="LookupPump">#REF!</definedName>
    <definedName name="lop">#REF!</definedName>
    <definedName name="lopikmjnhuygbvtfredcxsw">#REF!</definedName>
    <definedName name="LOT">[102]Sheet2!$AG$1:$AG$3</definedName>
    <definedName name="Lotsize">[138]Sheet2!$T$1:$T$3</definedName>
    <definedName name="lou">#REF!</definedName>
    <definedName name="lovp300">[55]Factors!$G$166</definedName>
    <definedName name="low_energy_beampipes">'[90]BOX Cryostat Details'!$D$34</definedName>
    <definedName name="LP">#REF!</definedName>
    <definedName name="lpac1.1.i">[50]Factors!$F$441</definedName>
    <definedName name="lpac1.1.o">[50]Factors!$F$440</definedName>
    <definedName name="lpac1.10.i">[50]Factors!$F$459</definedName>
    <definedName name="lpac1.10.o">[50]Factors!$F$458</definedName>
    <definedName name="lpac1.11.i">[50]Factors!$F$461</definedName>
    <definedName name="lpac1.11.o">[50]Factors!$F$460</definedName>
    <definedName name="lpac1.12.i">[50]Factors!$F$463</definedName>
    <definedName name="lpac1.12.o">[50]Factors!$F$462</definedName>
    <definedName name="lpac1.13.i">[50]Factors!$F$465</definedName>
    <definedName name="lpac1.13.o">[50]Factors!$F$464</definedName>
    <definedName name="lpac1.15.i">[50]Factors!$F$469</definedName>
    <definedName name="lpac1.15.o">[50]Factors!$F$468</definedName>
    <definedName name="lpac1.16.i">[50]Factors!$F$471</definedName>
    <definedName name="lpac1.16.o">[50]Factors!$F$470</definedName>
    <definedName name="lpac1.17.i">[50]Factors!$F$473</definedName>
    <definedName name="lpac1.17.o">[50]Factors!$F$472</definedName>
    <definedName name="lpac1.18.i">[50]Factors!$F$475</definedName>
    <definedName name="lpac1.18.o">[50]Factors!$F$474</definedName>
    <definedName name="lpac1.19.i">[50]Factors!$F$477</definedName>
    <definedName name="lpac1.19.o">[50]Factors!$F$476</definedName>
    <definedName name="lpac1.20.i">[50]Factors!$F$479</definedName>
    <definedName name="lpac1.20.o">[50]Factors!$F$478</definedName>
    <definedName name="lpac1.21.i">[50]Factors!$F$481</definedName>
    <definedName name="lpac1.21.o">[50]Factors!$F$480</definedName>
    <definedName name="lpac1.22.i">[50]Factors!$F$483</definedName>
    <definedName name="lpac1.22.o">[50]Factors!$F$482</definedName>
    <definedName name="lpac1.23.i">[50]Factors!$F$485</definedName>
    <definedName name="lpac1.23.o">[50]Factors!$F$484</definedName>
    <definedName name="lpac1.24.i">[50]Factors!$F$487</definedName>
    <definedName name="lpac1.24.o">[50]Factors!$F$486</definedName>
    <definedName name="lpac1.25.i">[50]Factors!$F$489</definedName>
    <definedName name="lpac1.25.o">[50]Factors!$F$488</definedName>
    <definedName name="lpac1.26.i">[50]Factors!$F$491</definedName>
    <definedName name="lpac1.26.o">[50]Factors!$F$490</definedName>
    <definedName name="lpac1.27.i">[50]Factors!$F$493</definedName>
    <definedName name="lpac1.27.o">[50]Factors!$F$492</definedName>
    <definedName name="lpac1.28.i">[50]Factors!$F$495</definedName>
    <definedName name="lpac1.28.o">[50]Factors!$F$494</definedName>
    <definedName name="lpac1.29.i">[50]Factors!$F$497</definedName>
    <definedName name="lpac1.29.o">[50]Factors!$F$496</definedName>
    <definedName name="lpac1.3.i">[50]Factors!$F$445</definedName>
    <definedName name="lpac1.3.o">[50]Factors!$F$444</definedName>
    <definedName name="lpac1.4.i">[50]Factors!$F$447</definedName>
    <definedName name="lpac1.4.o">[50]Factors!$F$446</definedName>
    <definedName name="lpac1.5.i">[50]Factors!$F$449</definedName>
    <definedName name="lpac1.5.o">[50]Factors!$F$448</definedName>
    <definedName name="lpac1.6.i">[50]Factors!$F$451</definedName>
    <definedName name="lpac1.6.o">[50]Factors!$F$450</definedName>
    <definedName name="lpac1.7.i">[50]Factors!$F$453</definedName>
    <definedName name="lpac1.7.o">[50]Factors!$F$452</definedName>
    <definedName name="lpac1.8.i">[50]Factors!$F$455</definedName>
    <definedName name="lpac1.8.o">[50]Factors!$F$454</definedName>
    <definedName name="lpac1.9.i">[50]Factors!$F$457</definedName>
    <definedName name="lpac1.9.o">[50]Factors!$F$456</definedName>
    <definedName name="lpac2.1.i">[50]Factors!$F$499</definedName>
    <definedName name="lpac2.1.o">[50]Factors!$F$498</definedName>
    <definedName name="lpac2.10.i">[50]Factors!$F$517</definedName>
    <definedName name="lpac2.10.o">[50]Factors!$F$516</definedName>
    <definedName name="lpac2.11.i">[50]Factors!$F$519</definedName>
    <definedName name="lpac2.11.o">[50]Factors!$F$518</definedName>
    <definedName name="lpac2.12.i">[50]Factors!$F$521</definedName>
    <definedName name="lpac2.12.o">[50]Factors!$F$520</definedName>
    <definedName name="lpac2.2.i">[50]Factors!$F$501</definedName>
    <definedName name="lpac2.2.o">[50]Factors!$F$500</definedName>
    <definedName name="lpac2.3.i">[50]Factors!$F$503</definedName>
    <definedName name="lpac2.3.o">[50]Factors!$F$502</definedName>
    <definedName name="lpac2.4.i">[50]Factors!$F$505</definedName>
    <definedName name="lpac2.4.o">[50]Factors!$F$504</definedName>
    <definedName name="lpac2.5.i">[50]Factors!$F$507</definedName>
    <definedName name="lpac2.5.o">[50]Factors!$F$506</definedName>
    <definedName name="lpac2.6.i">[50]Factors!$F$509</definedName>
    <definedName name="lpac2.6.o">[50]Factors!$F$508</definedName>
    <definedName name="lpac2.7.i">[50]Factors!$F$511</definedName>
    <definedName name="lpac2.7.o">[50]Factors!$F$510</definedName>
    <definedName name="lpac2.8.i">[50]Factors!$F$513</definedName>
    <definedName name="lpac2.8.o">[50]Factors!$F$512</definedName>
    <definedName name="lpac2.9.i">[50]Factors!$F$515</definedName>
    <definedName name="lpac2.9.o">[50]Factors!$F$514</definedName>
    <definedName name="lpac3.1.i">[50]Factors!$F$523</definedName>
    <definedName name="lpac3.1.o">[50]Factors!$F$522</definedName>
    <definedName name="lpac3.2.i">[50]Factors!$F$525</definedName>
    <definedName name="lpac3.2.o">[50]Factors!$F$524</definedName>
    <definedName name="lpac3.3.i">[50]Factors!$F$527</definedName>
    <definedName name="lpac3.3.o">[50]Factors!$F$526</definedName>
    <definedName name="lpac3.4.i">[50]Factors!$F$529</definedName>
    <definedName name="lpac3.4.o">[50]Factors!$F$528</definedName>
    <definedName name="lpac3.5.i">[50]Factors!$F$531</definedName>
    <definedName name="lpac3.5.o">[50]Factors!$F$530</definedName>
    <definedName name="lpac3.6.i">[50]Factors!$F$533</definedName>
    <definedName name="lpac3.6.o">[50]Factors!$F$532</definedName>
    <definedName name="lpac3.7.i">[50]Factors!$F$535</definedName>
    <definedName name="lpac3.7.o">[50]Factors!$F$534</definedName>
    <definedName name="lpac3.8.i">[50]Factors!$F$537</definedName>
    <definedName name="lpac3.8.o">[50]Factors!$F$536</definedName>
    <definedName name="lpcbeam1">#REF!</definedName>
    <definedName name="lpcbeam2">#REF!</definedName>
    <definedName name="lpccol1">#REF!</definedName>
    <definedName name="lpccol2">#REF!</definedName>
    <definedName name="lpcpara">#REF!</definedName>
    <definedName name="lpcslab">#REF!</definedName>
    <definedName name="lpcstair">#REF!</definedName>
    <definedName name="lpctread">#REF!</definedName>
    <definedName name="lpctrellis">#REF!</definedName>
    <definedName name="lpcwall">#REF!</definedName>
    <definedName name="lpe.100">#REF!</definedName>
    <definedName name="lpe.125">#REF!</definedName>
    <definedName name="lpe.15">#REF!</definedName>
    <definedName name="lpe.150">#REF!</definedName>
    <definedName name="lpe.20">#REF!</definedName>
    <definedName name="lpe.200">#REF!</definedName>
    <definedName name="lpe.25">#REF!</definedName>
    <definedName name="lpe.250">#REF!</definedName>
    <definedName name="lpe.32">#REF!</definedName>
    <definedName name="lpe.40">#REF!</definedName>
    <definedName name="lpe.50">#REF!</definedName>
    <definedName name="lpe.65">#REF!</definedName>
    <definedName name="lpe.80">#REF!</definedName>
    <definedName name="lph.1">#REF!</definedName>
    <definedName name="lplwg">#REF!</definedName>
    <definedName name="LPOINT">'[27]PILING (1B &amp; 2)'!$B$13</definedName>
    <definedName name="lppr100">#REF!</definedName>
    <definedName name="lppr100.20">#REF!</definedName>
    <definedName name="lppr125">#REF!</definedName>
    <definedName name="lppr15.20">#REF!</definedName>
    <definedName name="lppr150">#REF!</definedName>
    <definedName name="lppr150.20">#REF!</definedName>
    <definedName name="lppr20.20">#REF!</definedName>
    <definedName name="lppr200">#REF!</definedName>
    <definedName name="lppr25.20">#REF!</definedName>
    <definedName name="lppr250">#REF!</definedName>
    <definedName name="lppr2520">#REF!</definedName>
    <definedName name="lppr300">#REF!</definedName>
    <definedName name="lppr32.20">#REF!</definedName>
    <definedName name="lppr40">#REF!</definedName>
    <definedName name="lppr40.20">#REF!</definedName>
    <definedName name="lppr50">#REF!</definedName>
    <definedName name="lppr50.20">#REF!</definedName>
    <definedName name="lppr65">#REF!</definedName>
    <definedName name="lppr65.20">#REF!</definedName>
    <definedName name="lppr80">#REF!</definedName>
    <definedName name="lppr80.20">#REF!</definedName>
    <definedName name="lprefab">#REF!</definedName>
    <definedName name="lprestress">#REF!</definedName>
    <definedName name="lps">[105]Factors!$O$57</definedName>
    <definedName name="lpvcfmk">#REF!</definedName>
    <definedName name="lrag600">#REF!</definedName>
    <definedName name="LRATE">#REF!</definedName>
    <definedName name="lrchute">#REF!</definedName>
    <definedName name="lrebar">#REF!</definedName>
    <definedName name="lrf">#REF!</definedName>
    <definedName name="LRPI54.1">#REF!</definedName>
    <definedName name="lsan85">#REF!</definedName>
    <definedName name="lsbsi">#REF!</definedName>
    <definedName name="LSD_4100">#REF!</definedName>
    <definedName name="lsec">#REF!</definedName>
    <definedName name="Lsec1">#REF!</definedName>
    <definedName name="Lsec2">#REF!</definedName>
    <definedName name="Lsec3">#REF!</definedName>
    <definedName name="Lsec4">#REF!</definedName>
    <definedName name="Lsec5">#REF!</definedName>
    <definedName name="Lsec6">#REF!</definedName>
    <definedName name="lsec7">#REF!</definedName>
    <definedName name="lsfmk">#REF!</definedName>
    <definedName name="lsiso">#REF!</definedName>
    <definedName name="lsk.1">#REF!</definedName>
    <definedName name="lsk.2">#REF!</definedName>
    <definedName name="lspd100">#REF!</definedName>
    <definedName name="lspd125">#REF!</definedName>
    <definedName name="lspd150">#REF!</definedName>
    <definedName name="lspd175">#REF!</definedName>
    <definedName name="lspd200">#REF!</definedName>
    <definedName name="lspd225">#REF!</definedName>
    <definedName name="lspd250">#REF!</definedName>
    <definedName name="lspd275">#REF!</definedName>
    <definedName name="lspd300">#REF!</definedName>
    <definedName name="lspd350">#REF!</definedName>
    <definedName name="lspd400">#REF!</definedName>
    <definedName name="lspd450">#REF!</definedName>
    <definedName name="lspd500">#REF!</definedName>
    <definedName name="lspd550">#REF!</definedName>
    <definedName name="lspd600">#REF!</definedName>
    <definedName name="lspd650">#REF!</definedName>
    <definedName name="lspi100">#REF!</definedName>
    <definedName name="lspi15">#REF!</definedName>
    <definedName name="lspi160">#REF!</definedName>
    <definedName name="lspi20">#REF!</definedName>
    <definedName name="lspi200">#REF!</definedName>
    <definedName name="lspi25">#REF!</definedName>
    <definedName name="lspi250">#REF!</definedName>
    <definedName name="lspi315">#REF!</definedName>
    <definedName name="lspi32">#REF!</definedName>
    <definedName name="lspi355">#REF!</definedName>
    <definedName name="lspi40">#REF!</definedName>
    <definedName name="lspi50">#REF!</definedName>
    <definedName name="lspi65">#REF!</definedName>
    <definedName name="lspi80">#REF!</definedName>
    <definedName name="lspo100">#REF!</definedName>
    <definedName name="lspo15">#REF!</definedName>
    <definedName name="lspo20">#REF!</definedName>
    <definedName name="lspo25">#REF!</definedName>
    <definedName name="lspo32">#REF!</definedName>
    <definedName name="lspo40">#REF!</definedName>
    <definedName name="lspo50">#REF!</definedName>
    <definedName name="lspo65">#REF!</definedName>
    <definedName name="lspo80">#REF!</definedName>
    <definedName name="lspt100">#REF!</definedName>
    <definedName name="lspt15">#REF!</definedName>
    <definedName name="lspt20">#REF!</definedName>
    <definedName name="lspt25">#REF!</definedName>
    <definedName name="lspt32">#REF!</definedName>
    <definedName name="lspt40">#REF!</definedName>
    <definedName name="lspt50">#REF!</definedName>
    <definedName name="lspt65">#REF!</definedName>
    <definedName name="lspt80">#REF!</definedName>
    <definedName name="lspu100">#REF!</definedName>
    <definedName name="lspu15">#REF!</definedName>
    <definedName name="lspu20">#REF!</definedName>
    <definedName name="lspu25">#REF!</definedName>
    <definedName name="lspu32">#REF!</definedName>
    <definedName name="lspu40">#REF!</definedName>
    <definedName name="lspu50">#REF!</definedName>
    <definedName name="lspu65">#REF!</definedName>
    <definedName name="lspu80">#REF!</definedName>
    <definedName name="lsr">#REF!</definedName>
    <definedName name="lss.1">#REF!</definedName>
    <definedName name="lss.2">#REF!</definedName>
    <definedName name="lstopper">#REF!</definedName>
    <definedName name="LT_10">"$#REF!.$C$24"</definedName>
    <definedName name="LT_2">#REF!</definedName>
    <definedName name="LT_9">"$#REF!.$C$24"</definedName>
    <definedName name="LT_debt_growth_fore">#REF!</definedName>
    <definedName name="LTECH_rate">[90]Inputs!$G$8</definedName>
    <definedName name="LTG_ALS">#REF!</definedName>
    <definedName name="LTG_CONDUIT">#REF!</definedName>
    <definedName name="LTG_INDOOR">#REF!</definedName>
    <definedName name="LTG_OUTDOOR">#REF!</definedName>
    <definedName name="LTG_POLES">#REF!</definedName>
    <definedName name="LTG_PWR_EQUIP">#REF!</definedName>
    <definedName name="LTG_WIRE">#REF!</definedName>
    <definedName name="ltilep">#REF!</definedName>
    <definedName name="ltopping">#REF!</definedName>
    <definedName name="ltp">#REF!</definedName>
    <definedName name="ltpc125">#REF!</definedName>
    <definedName name="ltpc150">#REF!</definedName>
    <definedName name="lucrite">#REF!</definedName>
    <definedName name="Lump_Sum_Discount">#REF!</definedName>
    <definedName name="lup.1">#REF!</definedName>
    <definedName name="lur.1">#REF!</definedName>
    <definedName name="lur.2">#REF!</definedName>
    <definedName name="lur.3">#REF!</definedName>
    <definedName name="lur.4">#REF!</definedName>
    <definedName name="lurflsv">#REF!</definedName>
    <definedName name="LV.1">#REF!</definedName>
    <definedName name="LV.2">#REF!</definedName>
    <definedName name="LV.3">#REF!</definedName>
    <definedName name="LV.4">#REF!</definedName>
    <definedName name="LV.5">#REF!</definedName>
    <definedName name="LV_2">#REF!</definedName>
    <definedName name="LV_3">#REF!</definedName>
    <definedName name="LV_4">#REF!</definedName>
    <definedName name="lvanity">#REF!</definedName>
    <definedName name="lvd0.1">#REF!</definedName>
    <definedName name="lvd0.2">#REF!</definedName>
    <definedName name="lvd0.3">#REF!</definedName>
    <definedName name="lvd0.4">#REF!</definedName>
    <definedName name="lvd0.5">#REF!</definedName>
    <definedName name="lvd0.6">#REF!</definedName>
    <definedName name="lvd0.7">#REF!</definedName>
    <definedName name="lvd0.8">#REF!</definedName>
    <definedName name="lvd0.9">#REF!</definedName>
    <definedName name="lvd1.2">#REF!</definedName>
    <definedName name="lvd1.4">#REF!</definedName>
    <definedName name="lvd1.6">#REF!</definedName>
    <definedName name="lvd1.8">#REF!</definedName>
    <definedName name="lvd1100x1100">[55]Factors!$E$390</definedName>
    <definedName name="lvd2.2">#REF!</definedName>
    <definedName name="lvd2.4">#REF!</definedName>
    <definedName name="lvd2.6">#REF!</definedName>
    <definedName name="lvd2.8">#REF!</definedName>
    <definedName name="lviso.200">#REF!</definedName>
    <definedName name="lviso.50">#REF!</definedName>
    <definedName name="LVPD">#REF!</definedName>
    <definedName name="lwac0.4">#REF!</definedName>
    <definedName name="lwac0.5">#REF!</definedName>
    <definedName name="lwac0.75">#REF!</definedName>
    <definedName name="lwac1.1">#REF!</definedName>
    <definedName name="lwac1.5">#REF!</definedName>
    <definedName name="lwac1.7">#REF!</definedName>
    <definedName name="lwac10.5">#REF!</definedName>
    <definedName name="lwac2.2">#REF!</definedName>
    <definedName name="lwac2.5">#REF!</definedName>
    <definedName name="lwac3.75">#REF!</definedName>
    <definedName name="lwac30">#REF!</definedName>
    <definedName name="lwac37">#REF!</definedName>
    <definedName name="lwac4.5">#REF!</definedName>
    <definedName name="lwac45">#REF!</definedName>
    <definedName name="lwac5.5">#REF!</definedName>
    <definedName name="lwac60">#REF!</definedName>
    <definedName name="lwac7.5">#REF!</definedName>
    <definedName name="lwac75">#REF!</definedName>
    <definedName name="lwac90">#REF!</definedName>
    <definedName name="lwc.1">#REF!</definedName>
    <definedName name="lwc.2">#REF!</definedName>
    <definedName name="lwc.3">#REF!</definedName>
    <definedName name="lwc.4">#REF!</definedName>
    <definedName name="lwcflsv">#REF!</definedName>
    <definedName name="lwfan6">#REF!</definedName>
    <definedName name="lwmac1.76">#REF!</definedName>
    <definedName name="lwmac2.36">#REF!</definedName>
    <definedName name="lwmac3.56">#REF!</definedName>
    <definedName name="lwmac4.35">#REF!</definedName>
    <definedName name="lwmac5.4">#REF!</definedName>
    <definedName name="lwmac6.15">#REF!</definedName>
    <definedName name="lwmac6.87">#REF!</definedName>
    <definedName name="lwmac7.93">#REF!</definedName>
    <definedName name="lwmac9.85">#REF!</definedName>
    <definedName name="lwpac75">[55]Factors!$E$344</definedName>
    <definedName name="LYST100">#REF!</definedName>
    <definedName name="LYST15">#REF!</definedName>
    <definedName name="LYST20">#REF!</definedName>
    <definedName name="LYST25">#REF!</definedName>
    <definedName name="LYST50">#REF!</definedName>
    <definedName name="LYST65">#REF!</definedName>
    <definedName name="m.100x200x80mm_Interlocking_Paving_Blocks">[65]RESOURCES!$A$203</definedName>
    <definedName name="M.10x5mm_fire_rated_filler">[65]RESOURCES!$A$112</definedName>
    <definedName name="M.12m_400mm_wide_sheet_pile">[65]RESOURCES!$A$42</definedName>
    <definedName name="M.150x150_Floor_tile_Porcelain_Non_Slipery">[65]RESOURCES!$A$164</definedName>
    <definedName name="M.160mm_dia_Clay_Intercepter">[65]RESOURCES!$A$270</definedName>
    <definedName name="M.25mm_insulation_layer_by_finco">[65]RESOURCES!$A$301</definedName>
    <definedName name="M.300x300_Floor_tile_Mat_Finish_F14">[65]RESOURCES!$A$172</definedName>
    <definedName name="M.300x300_Floor_tile_Porcelain_Non_Slipery_F5">[65]RESOURCES!$A$162</definedName>
    <definedName name="M.300x300_Floor_tile_Rustic_Finish_F6">[65]RESOURCES!$A$173</definedName>
    <definedName name="M.32mm_thk_Plywood_door">[65]RESOURCES!$A$309</definedName>
    <definedName name="M.3mm_thk._20mm_widw_glass_strip">[65]RESOURCES!$A$286</definedName>
    <definedName name="M.40mm_thick_insulation_boars_by_finco">[65]RESOURCES!$A$299</definedName>
    <definedName name="m.450x450x50mm_precast_paving_slabs">[65]RESOURCES!$A$206</definedName>
    <definedName name="M.600x300_Floor_Tile_Porcelain_Mat_F3">[65]RESOURCES!$A$147</definedName>
    <definedName name="M.600x300mm_wall_tile_Porcelain_polished_finish">[65]RESOURCES!$A$181</definedName>
    <definedName name="M.600x600_Floor_Tile_Porcelain_Polished_F2">[65]RESOURCES!$A$146</definedName>
    <definedName name="M.63mm_dia_puddle_flange">[65]RESOURCES!$A$365</definedName>
    <definedName name="M.A142_Mesh">[65]RESOURCES!$A$226</definedName>
    <definedName name="m.Acrylic_Wall_Filler">[65]RESOURCES!$A$188</definedName>
    <definedName name="m.Alkali_Resistant_Primer">[65]RESOURCES!$A$187</definedName>
    <definedName name="M.Allow_for_Formwork_Accessories">[65]RESOURCES!$A$89</definedName>
    <definedName name="M.Allow_for_material_wastage_at_batching_plant">[65]RESOURCES!$A$65</definedName>
    <definedName name="M.Aluminium_Barrel_bolt___pull_ring">[65]RESOURCES!$A$315</definedName>
    <definedName name="M.Aluminium_Butt_Hinges">[65]RESOURCES!$A$313</definedName>
    <definedName name="M.Aluminium_Door_lock">[65]RESOURCES!$A$314</definedName>
    <definedName name="M.Backer_Rod_15mm_thick">[65]RESOURCES!$A$125</definedName>
    <definedName name="M.barralastic_by_finco">[65]RESOURCES!$A$294</definedName>
    <definedName name="M.Binding_Wire">[65]RESOURCES!$A$88</definedName>
    <definedName name="m.Block_100mm_Hollow">[65]RESOURCES!$A$20</definedName>
    <definedName name="M.Block_100mm_Solid">[65]RESOURCES!$A$98</definedName>
    <definedName name="m.Block_150mm_Hollow">[65]RESOURCES!$A$21</definedName>
    <definedName name="M.Block_150mm_Solid">[65]RESOURCES!$A$99</definedName>
    <definedName name="m.Block_200mm_Hollow">[65]RESOURCES!$A$22</definedName>
    <definedName name="M.Block_200mm_Solid">[65]RESOURCES!$A$100</definedName>
    <definedName name="m.Bricks">[65]RESOURCES!$A$19</definedName>
    <definedName name="M.Butt_hinges">[65]RESOURCES!$A$304</definedName>
    <definedName name="m.Cement_Bag">[65]RESOURCES!$A$15</definedName>
    <definedName name="m.Cement_bulk">[65]RESOURCES!$A$16</definedName>
    <definedName name="M.Chicken_mesh">[65]RESOURCES!$A$292</definedName>
    <definedName name="M.Cotton_Waste">[65]RESOURCES!$A$150</definedName>
    <definedName name="m.ctd">#REF!</definedName>
    <definedName name="M.Diesal">[65]RESOURCES!$A$34</definedName>
    <definedName name="M.Door_lock_with_handle___Mortice_type">[65]RESOURCES!$A$305</definedName>
    <definedName name="M.Emaco">[65]RESOURCES!$A$276</definedName>
    <definedName name="M.Emaco_157_D_Primer">[65]RESOURCES!$A$363</definedName>
    <definedName name="m.Emulsion_Paint">[65]RESOURCES!$A$186</definedName>
    <definedName name="M.End_mix">[65]RESOURCES!$A$358</definedName>
    <definedName name="M.Feb_Mix">[65]RESOURCES!$A$175</definedName>
    <definedName name="m.Fly_Ash">[65]RESOURCES!$A$60</definedName>
    <definedName name="m.four">[91]ANALISYS!$E$5131</definedName>
    <definedName name="M.G35A_Ready_mix_concrete">[65]RESOURCES!$A$361</definedName>
    <definedName name="M.Galvanized_steel_wire_mesh__3_DIA._50x50mm">[65]RESOURCES!$A$122</definedName>
    <definedName name="M.Gauge_22_Wire_Mesh">[65]RESOURCES!$A$113</definedName>
    <definedName name="M.Geo_Textile">[65]RESOURCES!$A$214</definedName>
    <definedName name="M.GI_Chicken_Mesh">[65]RESOURCES!$A$177</definedName>
    <definedName name="M.Glenium_B233">[65]RESOURCES!$A$220</definedName>
    <definedName name="M.Glidden_Precoat">[65]RESOURCES!$A$176</definedName>
    <definedName name="M.Gully_Trap__CI_200x200mm">[65]RESOURCES!$A$271</definedName>
    <definedName name="M.H_Iron_100x200x10mm">[65]RESOURCES!$A$273</definedName>
    <definedName name="M.Holand__red">[65]RESOURCES!$A$200</definedName>
    <definedName name="m.Hume_pipe_200mm_dia">[65]RESOURCES!$A$236</definedName>
    <definedName name="m.Hume_pipe_300mm_dia">[65]RESOURCES!$A$237</definedName>
    <definedName name="m.Hume_pipe_400mm_dia">[65]RESOURCES!$A$238</definedName>
    <definedName name="M.Hume_pipe_600mm_dia">[65]RESOURCES!$A$215</definedName>
    <definedName name="m.Ice">[65]RESOURCES!$A$62</definedName>
    <definedName name="M.Imported_earth">[65]RESOURCES!$A$289</definedName>
    <definedName name="M.Kerb_125x225x915">[65]RESOURCES!$A$207</definedName>
    <definedName name="M.M16_Epoxy_coated_galvanizes_threaded_Bars">[65]RESOURCES!$A$109</definedName>
    <definedName name="M.M16_Hilty_HKD_S_Flush_Anchor">[65]RESOURCES!$A$108</definedName>
    <definedName name="m.Manhole_Cover__CI_HD_DS_1000x2000mm">[65]RESOURCES!$A$135</definedName>
    <definedName name="m.Manhole_Cover__CI_HD_DS_1100x1100">[65]RESOURCES!$A$133</definedName>
    <definedName name="m.Manhole_Cover__CI_HD_DS_300x300mm">[65]RESOURCES!$A$267</definedName>
    <definedName name="m.Manhole_Cover__CI_HD_DS_450x450mm">[65]RESOURCES!$A$266</definedName>
    <definedName name="m.Manhole_Cover__CI_HD_DS_600x1200mm">[65]RESOURCES!$A$136</definedName>
    <definedName name="m.Manhole_Cover__CI_HD_DS_600x600">[65]RESOURCES!$A$132</definedName>
    <definedName name="m.Manhole_Cover__CI_HD_DS_800x600">[65]RESOURCES!$A$134</definedName>
    <definedName name="M.mapegrout_thixophopic_by_finco">[65]RESOURCES!$A$293</definedName>
    <definedName name="M.Masterflex_700_PG">[65]RESOURCES!$A$123</definedName>
    <definedName name="M.Masterflex_700_PG_Primer">[65]RESOURCES!$A$124</definedName>
    <definedName name="M.Masterflow_96">[65]RESOURCES!$A$126</definedName>
    <definedName name="M.Masterseal_581">[65]RESOURCES!$A$275</definedName>
    <definedName name="M.Mechanical_Splices_40mm_dia">[65]RESOURCES!$A$94</definedName>
    <definedName name="m.Metal_3_4">[65]RESOURCES!$A$24</definedName>
    <definedName name="M.Mould_Oil">[65]RESOURCES!$A$87</definedName>
    <definedName name="M.MS_Plaste_3mm_thick">[65]RESOURCES!$A$117</definedName>
    <definedName name="m.mtd">#REF!</definedName>
    <definedName name="M.Nails">[65]RESOURCES!$A$86</definedName>
    <definedName name="m.one">[91]ANALISYS!$E$5094</definedName>
    <definedName name="m.per">[232]Assumptions!$L$5</definedName>
    <definedName name="M.Petrol">[65]RESOURCES!$A$213</definedName>
    <definedName name="M.Pipe_system_for_dewatering">[65]RESOURCES!$A$350</definedName>
    <definedName name="M.Plywood_15mm_thick">[65]RESOURCES!$A$27</definedName>
    <definedName name="M.Polyfelt_TS_30__seperation_layer">[65]RESOURCES!$A$300</definedName>
    <definedName name="M.Polythene_G1000">[65]RESOURCES!$A$119</definedName>
    <definedName name="m.Pozolith">[65]RESOURCES!$A$63</definedName>
    <definedName name="M.Precast_Concrete_Kerb_600x150x125mm">[65]RESOURCES!$A$128</definedName>
    <definedName name="M.Protection_Board">[65]RESOURCES!$A$229</definedName>
    <definedName name="M.Puddlo">[65]RESOURCES!$A$159</definedName>
    <definedName name="M.PVC_Casing">[65]RESOURCES!$A$110</definedName>
    <definedName name="M.PVC_Door___D3">[65]RESOURCES!$A$312</definedName>
    <definedName name="M.PVC_pipe_110mm_dia_T600">[65]RESOURCES!$A$39</definedName>
    <definedName name="m.qtd">#REF!</definedName>
    <definedName name="m.Quary_Dust">[65]RESOURCES!$A$204</definedName>
    <definedName name="M.Ready_Mex_Batching_Plant_G15">[65]RESOURCES!$A$278</definedName>
    <definedName name="M.Ready_Mex_Batching_Plant_G20">[65]RESOURCES!$A$279</definedName>
    <definedName name="M.Ready_Mex_Batching_Plant_G30">[65]RESOURCES!$A$280</definedName>
    <definedName name="M.Ready_Mex_Batching_Plant_G35">[65]RESOURCES!$A$281</definedName>
    <definedName name="M.Ready_Mex_Batching_Plant_G40">[65]RESOURCES!$A$282</definedName>
    <definedName name="M.Ready_Mex_Batching_Plant_G50">[65]RESOURCES!$A$283</definedName>
    <definedName name="M.Ready_Mex_Batching_Plant_G60">[65]RESOURCES!$A$284</definedName>
    <definedName name="M.Ready_Mex_Batching_Plant_G65">[65]RESOURCES!$A$285</definedName>
    <definedName name="M.ready_mix_concrete_G25_by_URP_old">[65]RESOURCES!$A$364</definedName>
    <definedName name="m.Reinforcement_Tor_steel">[65]RESOURCES!$A$25</definedName>
    <definedName name="m.Reobuilt">[65]RESOURCES!$A$64</definedName>
    <definedName name="M.roofseal___P_by_finco">[65]RESOURCES!$A$297</definedName>
    <definedName name="m.Rubble_6x9">[65]RESOURCES!$A$23</definedName>
    <definedName name="m.Sand_Papaers">[65]RESOURCES!$A$185</definedName>
    <definedName name="m.Sand_river">[65]RESOURCES!$A$17</definedName>
    <definedName name="M.Sealant_suitable_for_the_joint_filling">[65]RESOURCES!$A$111</definedName>
    <definedName name="M.SS_Mesh_for_Grease_trap">[65]RESOURCES!$A$272</definedName>
    <definedName name="M.Tac_system___Material">[65]RESOURCES!$A$346</definedName>
    <definedName name="m.three">[91]ANALISYS!$E$5120</definedName>
    <definedName name="M.Tile_Adhesive">[65]RESOURCES!$A$148</definedName>
    <definedName name="M.Tile_Grout">[65]RESOURCES!$A$149</definedName>
    <definedName name="M.Timber_25x50mm">[65]RESOURCES!$A$74</definedName>
    <definedName name="M.Timber_class_1_50x50">[65]RESOURCES!$A$224</definedName>
    <definedName name="m.two">[91]ANALISYS!$E$5107</definedName>
    <definedName name="m.Water">[65]RESOURCES!$A$61</definedName>
    <definedName name="M.water_for_testing___sump">[65]RESOURCES!$A$366</definedName>
    <definedName name="M.waterplug_by_finco">[65]RESOURCES!$A$296</definedName>
    <definedName name="M.WaterPlug_Master_Seal_590">[65]RESOURCES!$A$230</definedName>
    <definedName name="M.Waterstop_FD">[65]RESOURCES!$A$362</definedName>
    <definedName name="M.Wax_Polish">[65]RESOURCES!$A$151</definedName>
    <definedName name="M.weathershield_paint_CIC">[65]RESOURCES!$A$342</definedName>
    <definedName name="M.Welding_Rod">[65]RESOURCES!$A$118</definedName>
    <definedName name="M.xypex_by_finco">[65]RESOURCES!$A$295</definedName>
    <definedName name="m.ytd">#REF!</definedName>
    <definedName name="M__PGUP_7__U_._">#N/A</definedName>
    <definedName name="M_AND_E">#N/A</definedName>
    <definedName name="M_PlaceofPath" hidden="1">"F:\MREGAN\win\EXL\CO\HVAC\UTX\utx_vdf.xls"</definedName>
    <definedName name="M_Releasei">#REF!</definedName>
    <definedName name="M_Relr">#REF!</definedName>
    <definedName name="M1x">[217]Design!#REF!</definedName>
    <definedName name="M1y">[217]Design!#REF!</definedName>
    <definedName name="M2x">[217]Design!#REF!</definedName>
    <definedName name="M2y">[217]Design!#REF!</definedName>
    <definedName name="macc">'[34]#REF'!#REF!</definedName>
    <definedName name="Machinary"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CHINE_EQUIPMENT">#REF!</definedName>
    <definedName name="MACHINE_EQUIPMENT_ENTRY">#REF!</definedName>
    <definedName name="Machinery">[233]Rates!$B$56:$G$75</definedName>
    <definedName name="Machinery_List">OFFSET([234]MACHINERY!$XEZ$11,0,0,COUNTA([234]MACHINERY!$XEZ$11:$XEZ$1000),1)</definedName>
    <definedName name="Macro1">'[34]#REF'!#REF!</definedName>
    <definedName name="Macro2">'[34]#REF'!#REF!</definedName>
    <definedName name="mactan">[98]Mactan!$A$1:$Z$1173</definedName>
    <definedName name="maemtl" hidden="1">{#N/A,#N/A,TRUE,"SUM";#N/A,#N/A,TRUE,"EE";#N/A,#N/A,TRUE,"AC";#N/A,#N/A,TRUE,"SN"}</definedName>
    <definedName name="Magstripe300">[125]CCTV_EST1!#REF!</definedName>
    <definedName name="magula">'[14]1-G1'!#REF!</definedName>
    <definedName name="Mahmut">#REF!</definedName>
    <definedName name="MAIL">#REF!</definedName>
    <definedName name="main">"$#REF!.$#REF!$#REF!"</definedName>
    <definedName name="main_10">"$#REF!.$#REF!$#REF!"</definedName>
    <definedName name="main_9">"$#REF!.$#REF!$#REF!"</definedName>
    <definedName name="MAIN_ENT">#REF!</definedName>
    <definedName name="main30">#REF!</definedName>
    <definedName name="main60">#REF!</definedName>
    <definedName name="mainpanel">"$#REF!.$AC$27"</definedName>
    <definedName name="Maint_cost">#REF!</definedName>
    <definedName name="maint_cost2">#REF!</definedName>
    <definedName name="MaintainDrain">#N/A</definedName>
    <definedName name="makegoodwall">#REF!</definedName>
    <definedName name="makp">#REF!</definedName>
    <definedName name="mamaei">#REF!</definedName>
    <definedName name="mamamaeei">#REF!</definedName>
    <definedName name="mamamama">#REF!</definedName>
    <definedName name="man" hidden="1">{"Total Indirect Manpower",#N/A,FALSE,"J";"Total Direct Manpower",#N/A,FALSE,"J";"Direct Structural Manpower",#N/A,FALSE,"J";"Direct Mechanical Manpower",#N/A,FALSE,"J";"Direct Piping Manpower",#N/A,FALSE,"J";"Direct Tanks Manpower",#N/A,FALSE,"J";"Direct ElecInstrSS Manpower",#N/A,FALSE,"J"}</definedName>
    <definedName name="MAN_HRS">'[29]Raw Data'!$E$15</definedName>
    <definedName name="MAN_LAB">'[29]Raw Data'!$D$15</definedName>
    <definedName name="man_power_sum">#REF!</definedName>
    <definedName name="management_graph">'[29]Raw Data'!#REF!</definedName>
    <definedName name="management_schedule">'[29]Raw Data'!$A$2:$T$49</definedName>
    <definedName name="mandaue">[98]Mandaue!$A$1:$T$1143</definedName>
    <definedName name="MandE_LAB">#REF!</definedName>
    <definedName name="MandE_MAT">#REF!</definedName>
    <definedName name="MANHOLE">#REF!</definedName>
    <definedName name="maninput">[235]Manpower!$C$4:$F$1750</definedName>
    <definedName name="manpower_details">#REF!</definedName>
    <definedName name="mantotal">[235]Manpower!$F$4</definedName>
    <definedName name="mantotalqty">[235]Manpower!$F$5:$F$1750</definedName>
    <definedName name="manualcall">"$#REF!.$AC$23"</definedName>
    <definedName name="manualcall_10">"$#REF!.$AC$23"</definedName>
    <definedName name="manualcall_9">"$#REF!.$AC$23"</definedName>
    <definedName name="MARINE">[69]Summary!$HC$211:$HC$212</definedName>
    <definedName name="mark">"$#REF!.$#REF!$#REF!"</definedName>
    <definedName name="mark_10">"$#REF!.$#REF!$#REF!"</definedName>
    <definedName name="mark_9">"$#REF!.$#REF!$#REF!"</definedName>
    <definedName name="MarkUp_S">#REF!</definedName>
    <definedName name="MarkupPercent">#REF!</definedName>
    <definedName name="marmorino">#REF!</definedName>
    <definedName name="MARU">#REF!</definedName>
    <definedName name="master">[170]Prices!#REF!</definedName>
    <definedName name="master04">#REF!</definedName>
    <definedName name="master1007">#REF!</definedName>
    <definedName name="master1050a">#REF!</definedName>
    <definedName name="master1050b">#REF!</definedName>
    <definedName name="master1110">#REF!</definedName>
    <definedName name="master1123">#REF!</definedName>
    <definedName name="master1220">#REF!</definedName>
    <definedName name="master1240">#REF!</definedName>
    <definedName name="MASTERLIST">[191]MATL!$D$2:$F$91</definedName>
    <definedName name="masterramp">#REF!</definedName>
    <definedName name="MAT.TYPE">[102]Sheet2!$V$1:$V$3</definedName>
    <definedName name="MAT_RATE_ENTRY">'[236]INPUT SHEET'!$B$540:$D$555</definedName>
    <definedName name="MATCIF">#REF!</definedName>
    <definedName name="Matdata">[237]Sheet5!$A$2:$D$27</definedName>
    <definedName name="Material_List">OFFSET([234]Material!$XEZ$11,0,0,COUNTA([234]Material!$XEZ$11:$XEZ$1000),1)</definedName>
    <definedName name="Material_Name">'[223]Rate Sheet'!$B$128:$B$276</definedName>
    <definedName name="Material_rate_entry">#REF!</definedName>
    <definedName name="Material_RBD">'[225]1.Material'!$B$6:$E$33</definedName>
    <definedName name="materialcost1">"$#REF!.$#REF!$#REF!"</definedName>
    <definedName name="materialcost1_10">"$#REF!.$#REF!$#REF!"</definedName>
    <definedName name="materialcost1_9">"$#REF!.$#REF!$#REF!"</definedName>
    <definedName name="Materialgroup">[138]Sheet2!$D$1:$D$13</definedName>
    <definedName name="MaterialName_RBD">'[225]1.Material'!$B$6:$B$33</definedName>
    <definedName name="Materials">[233]Rates!$B$26:$G$54</definedName>
    <definedName name="Materialtype">[138]Sheet2!$A$1:$A$5</definedName>
    <definedName name="MATFOB">#REF!</definedName>
    <definedName name="MATH_CHK_AFTER_ELEC">#REF!</definedName>
    <definedName name="MATH_CHK_BEFORE_ELEC">#REF!</definedName>
    <definedName name="MATH_CHK_BOX_ELEC">#REF!</definedName>
    <definedName name="MATH_CHK_DATE_ELEC">#REF!</definedName>
    <definedName name="MATH_CHK_DELTA_ELEC">#REF!</definedName>
    <definedName name="MATH_CHK_STAT_ELEC">#REF!</definedName>
    <definedName name="mati">"$#REF!.$#REF!$#REF!"</definedName>
    <definedName name="matinput">[239]Material!$C$4:$F$1000</definedName>
    <definedName name="MATL">#N/A</definedName>
    <definedName name="MATL_DISC_AG_COND">#REF!</definedName>
    <definedName name="MATL_DISC_DB">#REF!</definedName>
    <definedName name="MATL_DISC_EMB_COND">#REF!</definedName>
    <definedName name="MATL_DISC_MV">#REF!</definedName>
    <definedName name="MATL_DISC_OTHER">#REF!</definedName>
    <definedName name="MATL_DISC_TRAY">#REF!</definedName>
    <definedName name="Matl_Off_Site">#REF!</definedName>
    <definedName name="MATL1">#N/A</definedName>
    <definedName name="matname">[237]Sheet5!$A$2:$A$27</definedName>
    <definedName name="mattotal">[239]Material!$F$4</definedName>
    <definedName name="mattotalqty">[239]Material!$F$5:$F$1000</definedName>
    <definedName name="matv">#REF!</definedName>
    <definedName name="matva">[103]Factors!$G$35</definedName>
    <definedName name="matvd">[103]Factors!$G$36</definedName>
    <definedName name="MATVeq_8">#REF!</definedName>
    <definedName name="MATVmain_8">#REF!</definedName>
    <definedName name="MATVTesting_8">#REF!</definedName>
    <definedName name="mav">#REF!</definedName>
    <definedName name="may">[240]may_data!$A:$Y</definedName>
    <definedName name="MAY03PH2">#REF!</definedName>
    <definedName name="MB">'[169]BOQ PL'!#REF!</definedName>
    <definedName name="mb_inputLocation" hidden="1">#REF!</definedName>
    <definedName name="MBNA">#REF!</definedName>
    <definedName name="mboard">#REF!</definedName>
    <definedName name="mc">"$#REF!.$AC$25"</definedName>
    <definedName name="MCA">#REF!</definedName>
    <definedName name="mcb10.40">#REF!</definedName>
    <definedName name="MCCO" hidden="1">{#N/A,#N/A,FALSE,"CCTV"}</definedName>
    <definedName name="MCCO10" hidden="1">{#N/A,#N/A,FALSE,"CCTV"}</definedName>
    <definedName name="MCCO11" hidden="1">{#N/A,#N/A,FALSE,"CCTV"}</definedName>
    <definedName name="MCCO12" hidden="1">{#N/A,#N/A,FALSE,"CCTV"}</definedName>
    <definedName name="MCCO13" hidden="1">{#N/A,#N/A,FALSE,"CCTV"}</definedName>
    <definedName name="MCCO3" hidden="1">{#N/A,#N/A,FALSE,"CCTV"}</definedName>
    <definedName name="MCCO4" hidden="1">{#N/A,#N/A,FALSE,"CCTV"}</definedName>
    <definedName name="MCCO5" hidden="1">{#N/A,#N/A,FALSE,"CCTV"}</definedName>
    <definedName name="MCCO6" hidden="1">{#N/A,#N/A,FALSE,"CCTV"}</definedName>
    <definedName name="MCCO7" hidden="1">{#N/A,#N/A,FALSE,"CCTV"}</definedName>
    <definedName name="MCCO8" hidden="1">{#N/A,#N/A,FALSE,"CCTV"}</definedName>
    <definedName name="MCCO9" hidden="1">{#N/A,#N/A,FALSE,"CCTV"}</definedName>
    <definedName name="MCCOÙ" hidden="1">{#N/A,#N/A,FALSE,"CCTV"}</definedName>
    <definedName name="mclab">"$#REF!.$Y$23"</definedName>
    <definedName name="mcmat">"$#REF!.$AC$23"</definedName>
    <definedName name="mcoping">#REF!</definedName>
    <definedName name="MCR">#REF!</definedName>
    <definedName name="mcv.100">#REF!</definedName>
    <definedName name="mcv.125">#REF!</definedName>
    <definedName name="mcv.15">#REF!</definedName>
    <definedName name="mcv.150">#REF!</definedName>
    <definedName name="mcv.20">#REF!</definedName>
    <definedName name="mcv.200">#REF!</definedName>
    <definedName name="mcv.25">#REF!</definedName>
    <definedName name="mcv.250">#REF!</definedName>
    <definedName name="mcv.300">#REF!</definedName>
    <definedName name="mcv.32">#REF!</definedName>
    <definedName name="mcv.40">#REF!</definedName>
    <definedName name="mcv.50">#REF!</definedName>
    <definedName name="mcv.65">#REF!</definedName>
    <definedName name="mcv.80">#REF!</definedName>
    <definedName name="MDel">'[241]JOB COSTING SHEET ELEC'!$M$20</definedName>
    <definedName name="mdwr">"$#REF!.$#REF!$#REF!"</definedName>
    <definedName name="Measurer____Chau">#REF!</definedName>
    <definedName name="MECH_INSTR">#REF!</definedName>
    <definedName name="MECH30_CITY">#REF!</definedName>
    <definedName name="MECH30_ESC">#REF!</definedName>
    <definedName name="MECH30_OLD_CITY">#REF!</definedName>
    <definedName name="MECH30_OLD_ESC">#REF!</definedName>
    <definedName name="MECH30_OLD_PROD">#REF!</definedName>
    <definedName name="MECH30_OLD_WAGE">#REF!</definedName>
    <definedName name="MECH30_PROD">#REF!</definedName>
    <definedName name="MECH30_WAGE">#REF!</definedName>
    <definedName name="Mechinery">'[242]PLT-SUM'!#REF!</definedName>
    <definedName name="Medium">#REF!</definedName>
    <definedName name="medr">#REF!</definedName>
    <definedName name="Meinhardt__Thailand__Ltd.___0">#REF!</definedName>
    <definedName name="mem">'[34]#REF'!#REF!</definedName>
    <definedName name="MEMO">#REF!</definedName>
    <definedName name="MENU">'[243]③赤紙(日文)'!$C$7</definedName>
    <definedName name="MEP">'[244]13A'!$AE$6</definedName>
    <definedName name="MEP_BOQ">[245]Ragama!#REF!</definedName>
    <definedName name="metal_10">"$#REF!.$P$2"</definedName>
    <definedName name="metal_4">#REF!</definedName>
    <definedName name="metal_5">#REF!</definedName>
    <definedName name="metal_9">"$#REF!.$P$2"</definedName>
    <definedName name="metalfmk">#REF!</definedName>
    <definedName name="MetroProgramme" hidden="1">#REF!</definedName>
    <definedName name="MEXFCST">#REF!</definedName>
    <definedName name="mfeqpt">'[241]JOB COSTING SHEET ELEC'!$F$42</definedName>
    <definedName name="mformat">#REF!</definedName>
    <definedName name="MgrName">'[110]Dist Controls'!#REF!</definedName>
    <definedName name="MH_HH">#REF!</definedName>
    <definedName name="mhdjgnxh">#REF!</definedName>
    <definedName name="mhjgdsfdz">#REF!</definedName>
    <definedName name="MHLKHOLH">#REF!</definedName>
    <definedName name="MHRS_CONDENSER">#REF!</definedName>
    <definedName name="MHRS_GTG">#REF!</definedName>
    <definedName name="MHRS_STG">#REF!</definedName>
    <definedName name="MHXFHFH" hidden="1">{"PriceSheetNoMargins",#N/A,FALSE,"PriceSheet"}</definedName>
    <definedName name="MIDPOINT">'[29]Raw Data'!$Y$231</definedName>
    <definedName name="MIDWEST">[86]NATION!$A$2:$A$32</definedName>
    <definedName name="miki">#REF!</definedName>
    <definedName name="MIRLV.2">#REF!</definedName>
    <definedName name="MIRLV.3">#REF!</definedName>
    <definedName name="MIRLV.4">#REF!</definedName>
    <definedName name="mirror2">#REF!</definedName>
    <definedName name="mirror3">#REF!</definedName>
    <definedName name="mis">#REF!</definedName>
    <definedName name="Misc_Name">'[223]Rate Sheet'!$B$9:$B$24</definedName>
    <definedName name="Misc_Steel_1">#REF!</definedName>
    <definedName name="MIsc_Steel_10">#REF!</definedName>
    <definedName name="Misc_Steel_100">#REF!</definedName>
    <definedName name="MIsc_Steel_20">#REF!</definedName>
    <definedName name="Misc_Steel_30">#REF!</definedName>
    <definedName name="MIsc_Steel_40">#REF!</definedName>
    <definedName name="Misc_Steel_50">#REF!</definedName>
    <definedName name="Misc_Steel_60">#REF!</definedName>
    <definedName name="MIsc_Steel_70">#REF!</definedName>
    <definedName name="Misc_Steel_80">#REF!</definedName>
    <definedName name="Misc_Steel_90">#REF!</definedName>
    <definedName name="misc3">'[4]18-misc'!#REF!</definedName>
    <definedName name="Miscelanious">#REF!</definedName>
    <definedName name="MISCELLANEOUS_CONCRETE">#REF!</definedName>
    <definedName name="mISSELENEOUS">[131]A!#REF!</definedName>
    <definedName name="mitre">#REF!</definedName>
    <definedName name="mixer">#REF!</definedName>
    <definedName name="mjf">#REF!</definedName>
    <definedName name="mjh">#N/A</definedName>
    <definedName name="mkerb">#REF!</definedName>
    <definedName name="mklnjhbgfvcdxfgggh">#REF!</definedName>
    <definedName name="mkp">#REF!</definedName>
    <definedName name="MKP_CIF">#REF!</definedName>
    <definedName name="MKP_CIF_c">#REF!</definedName>
    <definedName name="mkp_smns">#REF!</definedName>
    <definedName name="mkpcif">#REF!</definedName>
    <definedName name="mkpend">#REF!</definedName>
    <definedName name="mkpimp">#REF!</definedName>
    <definedName name="mkpimptd">'[104]Det Import'!#REF!</definedName>
    <definedName name="mkploc">#REF!</definedName>
    <definedName name="mkpp">'[104]Det Import'!#REF!</definedName>
    <definedName name="mkup">#REF!</definedName>
    <definedName name="Mlist">#REF!</definedName>
    <definedName name="mlq">#REF!</definedName>
    <definedName name="mm_1">{"Book1","BoQ2.XLS"}</definedName>
    <definedName name="mm_2">{"Book1","BoQ2.XLS"}</definedName>
    <definedName name="mm_3">{"Book1","BoQ2.XLS"}</definedName>
    <definedName name="mm_4">{"Book1","BoQ2.XLS"}</definedName>
    <definedName name="mm_5">{"Book1","BoQ2.XLS"}</definedName>
    <definedName name="mm_6">{"Book1","BoQ2.XLS"}</definedName>
    <definedName name="MM_Korean">#REF!</definedName>
    <definedName name="MM_Local.Reg">#REF!</definedName>
    <definedName name="MM_Third.Nation">#REF!</definedName>
    <definedName name="mmf">#REF!</definedName>
    <definedName name="MMI">[225]MMI!$B$7:$P$37</definedName>
    <definedName name="mmkp">'[104]Det Import'!#REF!</definedName>
    <definedName name="mmkp_CIF">'[104]Det Import'!#REF!</definedName>
    <definedName name="mmmmm" hidden="1">{#N/A,#N/A,FALSE,"CCTV"}</definedName>
    <definedName name="mmq">#REF!</definedName>
    <definedName name="mmtff">[28]!mmtff</definedName>
    <definedName name="mmv.100">#REF!</definedName>
    <definedName name="mmv.15">#REF!</definedName>
    <definedName name="mmv.20">#REF!</definedName>
    <definedName name="mmv.25">#REF!</definedName>
    <definedName name="mmv.32">#REF!</definedName>
    <definedName name="mmv.50">#REF!</definedName>
    <definedName name="mmv.65">#REF!</definedName>
    <definedName name="mmv.80">#REF!</definedName>
    <definedName name="mnb">#REF!</definedName>
    <definedName name="mnbcvx">#REF!</definedName>
    <definedName name="MnE">#REF!</definedName>
    <definedName name="mnpwrdeptinfo">#REF!</definedName>
    <definedName name="mo.lock.s">#REF!</definedName>
    <definedName name="mo.lock.u">#REF!</definedName>
    <definedName name="MODEMLESS" hidden="1">{#N/A,#N/A,FALSE,"BOX RFQ SHEET"}</definedName>
    <definedName name="MODEMLESS1" hidden="1">{#N/A,#N/A,FALSE,"BOX RFQ SHEET"}</definedName>
    <definedName name="Modification">[131]A!$A$17</definedName>
    <definedName name="module">#REF!</definedName>
    <definedName name="Modules">#REF!</definedName>
    <definedName name="moflex">#REF!</definedName>
    <definedName name="moi" hidden="1">{"'Sheet1'!$L$16"}</definedName>
    <definedName name="mon_cost">#REF!</definedName>
    <definedName name="mon_cost2">#REF!</definedName>
    <definedName name="MON1FC">#REF!</definedName>
    <definedName name="MON2FC">#REF!</definedName>
    <definedName name="MON3FC">#REF!</definedName>
    <definedName name="MONTH_CONDITION">#REF!</definedName>
    <definedName name="Month_details">#REF!</definedName>
    <definedName name="MONTH1">#REF!</definedName>
    <definedName name="Month1_Ending_Bal">#REF!</definedName>
    <definedName name="Month10_Ending_Bal">#REF!</definedName>
    <definedName name="Month11_Ending_Bal">#REF!</definedName>
    <definedName name="Month12_Ending_Bal">#REF!</definedName>
    <definedName name="MONTH2">#REF!</definedName>
    <definedName name="MONTH3">#REF!</definedName>
    <definedName name="Month7_Ending_Bal">#REF!</definedName>
    <definedName name="Month8_Ending_Bal">#REF!</definedName>
    <definedName name="Month9_Ending_Bal">#REF!</definedName>
    <definedName name="MONTHFL">#REF!</definedName>
    <definedName name="monthnumber">[178]Input!$C$20</definedName>
    <definedName name="MonthNums">'[110]Dist Controls'!#REF!</definedName>
    <definedName name="Monthstable">#REF!</definedName>
    <definedName name="monthYTD">[133]Input!$D$20</definedName>
    <definedName name="Montreal" hidden="1">{"'Sheet1'!$A$1:$R$58"}</definedName>
    <definedName name="MOS_Arcylic" hidden="1">{#N/A,#N/A,FALSE,"GS";#N/A,#N/A,FALSE,"Cost Code Summary";#N/A,#N/A,FALSE,"VO";#N/A,#N/A,FALSE,"CUM FLUCT";#N/A,#N/A,FALSE,"Fluct";#N/A,#N/A,FALSE,"Bill 3";#N/A,#N/A,FALSE,"Bill 4";#N/A,#N/A,FALSE,"bill 5";#N/A,#N/A,FALSE,"Bill 7";#N/A,#N/A,FALSE,"Bill 8";#N/A,#N/A,FALSE,"Bill 10";#N/A,#N/A,FALSE,"Bill 12"}</definedName>
    <definedName name="Motor_Hp">#REF!</definedName>
    <definedName name="MOTOR_HP_OFFSITE">#REF!</definedName>
    <definedName name="MOTOR_HP_PB">#REF!</definedName>
    <definedName name="MOTOR_HP_PB10">#REF!</definedName>
    <definedName name="MOTOR_HP_PB100">#REF!</definedName>
    <definedName name="MOTOR_HP_PB1000">#REF!</definedName>
    <definedName name="MOTOR_HP_PB10000">#REF!</definedName>
    <definedName name="MOTOR_HP_PB15000">#REF!</definedName>
    <definedName name="MOTOR_HP_PB200">#REF!</definedName>
    <definedName name="MOTOR_HP_PB2000">#REF!</definedName>
    <definedName name="MOTOR_HP_PB25">#REF!</definedName>
    <definedName name="MOTOR_HP_PB3000">#REF!</definedName>
    <definedName name="MOTOR_HP_PB400">#REF!</definedName>
    <definedName name="MOTOR_HP_PB4000">#REF!</definedName>
    <definedName name="MOTOR_HP_PB50">#REF!</definedName>
    <definedName name="MOTOR_HP_PB500">#REF!</definedName>
    <definedName name="MOTOR_HP_PB5000">#REF!</definedName>
    <definedName name="MOTOR_HP_PB7500">#REF!</definedName>
    <definedName name="MOTOR_HP_YARD">#REF!</definedName>
    <definedName name="MOTOR_HP_YARD10">#REF!</definedName>
    <definedName name="MOTOR_HP_YARD100">#REF!</definedName>
    <definedName name="MOTOR_HP_YARD1000">#REF!</definedName>
    <definedName name="MOTOR_HP_YARD10000">#REF!</definedName>
    <definedName name="MOTOR_HP_YARD15000">#REF!</definedName>
    <definedName name="MOTOR_HP_YARD200">#REF!</definedName>
    <definedName name="MOTOR_HP_YARD2000">#REF!</definedName>
    <definedName name="MOTOR_HP_YARD25">#REF!</definedName>
    <definedName name="MOTOR_HP_YARD3000">#REF!</definedName>
    <definedName name="MOTOR_HP_YARD400">#REF!</definedName>
    <definedName name="MOTOR_HP_YARD4000">#REF!</definedName>
    <definedName name="MOTOR_HP_YARD50">#REF!</definedName>
    <definedName name="MOTOR_HP_YARD500">#REF!</definedName>
    <definedName name="MOTOR_HP_YARD5000">#REF!</definedName>
    <definedName name="MOTOR_HP_YARD7500">#REF!</definedName>
    <definedName name="mould.c">#REF!</definedName>
    <definedName name="mould.oil">#REF!</definedName>
    <definedName name="MOVE">#REF!</definedName>
    <definedName name="MPI">#REF!</definedName>
    <definedName name="mplab">"$#REF!.$Y$25"</definedName>
    <definedName name="mpmat">"$#REF!.$AC$25"</definedName>
    <definedName name="mpolish">#REF!</definedName>
    <definedName name="mroof">#REF!</definedName>
    <definedName name="MRP">[102]Sheet2!$AF$1:$AF$2</definedName>
    <definedName name="MRPtype">[138]Sheet2!$S$1:$S$3</definedName>
    <definedName name="MRR">#REF!</definedName>
    <definedName name="MS" hidden="1">#REF!</definedName>
    <definedName name="msd">#REF!</definedName>
    <definedName name="msktg">#REF!</definedName>
    <definedName name="msms">'[110]Bill 5 - Carpark'!#REF!</definedName>
    <definedName name="msmsms">#REF!</definedName>
    <definedName name="msmsmsms">'[110]Bill 5 - Carpark'!#REF!</definedName>
    <definedName name="msmsmsmsms">'[110]Bill 5 - Carpark'!#REF!</definedName>
    <definedName name="msmsmsmsmsmsms">#REF!</definedName>
    <definedName name="Msmt">'[246]FOL - Bar'!#REF!</definedName>
    <definedName name="mspaint">#REF!</definedName>
    <definedName name="msplate">#REF!</definedName>
    <definedName name="msrod">'[134]SCH2'!$H$1</definedName>
    <definedName name="mstep">#REF!</definedName>
    <definedName name="MTCAL">[157]MTC!$A$1:$G$95,[157]MTC!$H$1:$J$95</definedName>
    <definedName name="MTCDX">[157]MTC!$A$1:$G$95,[157]MTC!$H$1:$J$95,[157]MTC!$K$1:$M$95</definedName>
    <definedName name="MTCEC">[157]MTC!$A$1:$G$95,[157]MTC!$H$1:$J$95,[157]MTC!$K$1:$M$95,[157]MTC!$N$1:$N$1,[157]MTC!$N$1:$N$95</definedName>
    <definedName name="MTCSH">[157]MTC!$A$1:$G$95,[157]MTC!$H$1:$J$95,[157]MTC!$K$1:$M$95,[157]MTC!$N$1:$N$95</definedName>
    <definedName name="MTDMA">#REF!</definedName>
    <definedName name="MTDMW">#REF!</definedName>
    <definedName name="MTDNC">#REF!</definedName>
    <definedName name="MTDNE">#REF!</definedName>
    <definedName name="MTDP">#REF!</definedName>
    <definedName name="MTDSC">#REF!</definedName>
    <definedName name="MTDSE">#REF!</definedName>
    <definedName name="MTDSW">#REF!</definedName>
    <definedName name="Mth">[205]Sheet1!$A$1:$A$12</definedName>
    <definedName name="mtl" hidden="1">{#N/A,#N/A,TRUE,"SUM";#N/A,#N/A,TRUE,"EE";#N/A,#N/A,TRUE,"AC";#N/A,#N/A,TRUE,"SN"}</definedName>
    <definedName name="multico1">#REF!</definedName>
    <definedName name="multico2">#REF!</definedName>
    <definedName name="MULTIMODE" hidden="1">{#N/A,#N/A,FALSE,"BOX RFQ SHEET"}</definedName>
    <definedName name="MULTIMODE1" hidden="1">{#N/A,#N/A,FALSE,"BOX RFQ SHEET"}</definedName>
    <definedName name="MULTIMODE2" hidden="1">{#N/A,#N/A,FALSE,"BOX RFQ SHEET"}</definedName>
    <definedName name="Multinodes">[125]CCTV_EST1!#REF!</definedName>
    <definedName name="MUP">#REF!</definedName>
    <definedName name="MUTHU">#REF!</definedName>
    <definedName name="mv.100">#REF!</definedName>
    <definedName name="mv.125">#REF!</definedName>
    <definedName name="MV.15">#REF!</definedName>
    <definedName name="mv.150">#REF!</definedName>
    <definedName name="mv.20">#REF!</definedName>
    <definedName name="mv.200">#REF!</definedName>
    <definedName name="MV.25">#REF!</definedName>
    <definedName name="mv.250">#REF!</definedName>
    <definedName name="mv.300">#REF!</definedName>
    <definedName name="mv.32">#REF!</definedName>
    <definedName name="mv.40">#REF!</definedName>
    <definedName name="mv.50">#REF!</definedName>
    <definedName name="mv.65">#REF!</definedName>
    <definedName name="mv.80">#REF!</definedName>
    <definedName name="MV_100">#REF!</definedName>
    <definedName name="mv_150">#REF!</definedName>
    <definedName name="MV_65">#REF!</definedName>
    <definedName name="MV_80">#REF!</definedName>
    <definedName name="MV10_3">#REF!</definedName>
    <definedName name="MV15_3">#REF!</definedName>
    <definedName name="mvvvvvv">[28]!mvvvvvv</definedName>
    <definedName name="MWeGross">#REF!</definedName>
    <definedName name="MWeNet">#REF!</definedName>
    <definedName name="mxr">#REF!</definedName>
    <definedName name="my">#REF!</definedName>
    <definedName name="myclient">"UNILEVER"</definedName>
    <definedName name="MYR">#REF!</definedName>
    <definedName name="myyfgd">[28]!myyfgd</definedName>
    <definedName name="n.eight">[91]ANALISYS!$E$5240</definedName>
    <definedName name="n.eighteen">[91]ANALISYS!$E$5389</definedName>
    <definedName name="n.eleven">[91]ANALISYS!$E$5284</definedName>
    <definedName name="n.fifteen">[91]ANALISYS!$E$5346</definedName>
    <definedName name="n.fourteen">[91]ANALISYS!$E$5331</definedName>
    <definedName name="n.nine">[91]ANALISYS!$E$5254</definedName>
    <definedName name="n.ninteen">[91]ANALISYS!$E$5406</definedName>
    <definedName name="n.one">[91]ANALISYS!$E$5149</definedName>
    <definedName name="n.seventeen">[91]ANALISYS!$E$5374</definedName>
    <definedName name="n.sixteen">[91]ANALISYS!$E$5360</definedName>
    <definedName name="n.ten">[91]ANALISYS!$E$5268</definedName>
    <definedName name="n.thirteen">[91]ANALISYS!$E$5316</definedName>
    <definedName name="n.twelve">[91]ANALISYS!$E$5299</definedName>
    <definedName name="n.twenty">[91]ANALISYS!$E$5420</definedName>
    <definedName name="n.twentyone">[91]ANALISYS!$E$5437</definedName>
    <definedName name="n.two">[91]ANALISYS!$E$5164</definedName>
    <definedName name="naav">#REF!</definedName>
    <definedName name="nachi">#REF!</definedName>
    <definedName name="nafcv">#REF!</definedName>
    <definedName name="nagv">#REF!</definedName>
    <definedName name="nahu">#REF!</definedName>
    <definedName name="naj">#REF!</definedName>
    <definedName name="naj0" hidden="1">#REF!</definedName>
    <definedName name="name3">[206]estimate!#REF!</definedName>
    <definedName name="name4">[206]estimate!#REF!</definedName>
    <definedName name="NameE8">#REF!</definedName>
    <definedName name="NameE9">#REF!</definedName>
    <definedName name="Namleong">#REF!,#REF!</definedName>
    <definedName name="NAN">[247]BQ!#REF!</definedName>
    <definedName name="nandan"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arv">#REF!</definedName>
    <definedName name="nasft">#REF!</definedName>
    <definedName name="NATION">[86]NATION!$A$2:$A$32</definedName>
    <definedName name="NatlOSGrowth">#REF!</definedName>
    <definedName name="NatOSMgn">#REF!</definedName>
    <definedName name="NatOSmgnw">#REF!</definedName>
    <definedName name="NATVC">#REF!</definedName>
    <definedName name="Nbars">#REF!</definedName>
    <definedName name="nbcv">#REF!</definedName>
    <definedName name="nblv">#REF!</definedName>
    <definedName name="NBMM">#REF!</definedName>
    <definedName name="nbv">#REF!</definedName>
    <definedName name="ncd">#REF!</definedName>
    <definedName name="ncdpi">#REF!</definedName>
    <definedName name="nclad">#REF!</definedName>
    <definedName name="ND">'[76]Ra  stair'!#REF!</definedName>
    <definedName name="ndfdddd">[28]!ndfdddd</definedName>
    <definedName name="ndhdk">#REF!</definedName>
    <definedName name="ndig">#REF!</definedName>
    <definedName name="ndrv">#REF!</definedName>
    <definedName name="needle">#REF!</definedName>
    <definedName name="neg">#REF!</definedName>
    <definedName name="NEGOMAT">#REF!</definedName>
    <definedName name="neoprene">#REF!</definedName>
    <definedName name="NET">#REF!</definedName>
    <definedName name="Net_adj_for_capitalized_expenses">#REF!</definedName>
    <definedName name="Net_income_fore">#REF!</definedName>
    <definedName name="NET_INPUT">#REF!</definedName>
    <definedName name="Net_margin_fore">#REF!</definedName>
    <definedName name="NET_NEW">#REF!</definedName>
    <definedName name="Net_PPE_growth_fore">#REF!</definedName>
    <definedName name="Net_sales_fore">#REF!</definedName>
    <definedName name="Net_sales_growth_fore">#REF!</definedName>
    <definedName name="NetWC_turns_fore">#REF!</definedName>
    <definedName name="New_Canal">#REF!</definedName>
    <definedName name="NEW_PEDESTRIAN_OVERHEAD_BRIDGE">#REF!</definedName>
    <definedName name="New_Sheet_999" hidden="1">{"First",#N/A,TRUE,"Master Quote Form";"Comments",#N/A,TRUE,"Master Quote Form";"Detail",#N/A,TRUE,"Master Quote Form"}</definedName>
    <definedName name="NEW_ZEALAND">#REF!</definedName>
    <definedName name="newansc">'[132]NEW PRODUCT SALES FORCE'!$C$18</definedName>
    <definedName name="NEWNAME" hidden="1">{#N/A,#N/A,FALSE,"CCTV"}</definedName>
    <definedName name="NEWprice" hidden="1">[17]Zones!#REF!</definedName>
    <definedName name="newx">#REF!</definedName>
    <definedName name="nexbata">#REF!</definedName>
    <definedName name="NEXTBUD">#REF!</definedName>
    <definedName name="NFANS">[57]Factors!$W$152</definedName>
    <definedName name="nfcu">#REF!</definedName>
    <definedName name="nfffffff">[28]!nfffffff</definedName>
    <definedName name="nfid">[55]Factors!$AD$320</definedName>
    <definedName name="nfjfj">#REF!</definedName>
    <definedName name="nfkadjajfsa">#REF!</definedName>
    <definedName name="NGAY6">'[248]NKC6'!$C$3:$C$506</definedName>
    <definedName name="nghbsfdz">#REF!</definedName>
    <definedName name="ngrat">#REF!</definedName>
    <definedName name="ngs">#REF!</definedName>
    <definedName name="nh">#REF!</definedName>
    <definedName name="nhjcdggbh">#REF!</definedName>
    <definedName name="NHN">#REF!</definedName>
    <definedName name="NHNGHBNGHGH" hidden="1">{"PriceSheetNoMargins",#N/A,FALSE,"PriceSheet"}</definedName>
    <definedName name="NHNH">#REF!</definedName>
    <definedName name="NHNHVN">#REF!</definedName>
    <definedName name="nhpi">#REF!</definedName>
    <definedName name="NHVN">#REF!</definedName>
    <definedName name="Ni_density">#REF!</definedName>
    <definedName name="Ni0125_sheet_cost">#REF!</definedName>
    <definedName name="Ni075_sheet_cost">#REF!</definedName>
    <definedName name="Ni118_tubing_cost">#REF!</definedName>
    <definedName name="Ni218_tubing_cost">#REF!</definedName>
    <definedName name="nihyyuuyttt">#REF!</definedName>
    <definedName name="nine">[91]ANALISYS!$E$115</definedName>
    <definedName name="nineteen">[91]ANALISYS!$E$242</definedName>
    <definedName name="nininsu">#REF!</definedName>
    <definedName name="NIPP">#REF!</definedName>
    <definedName name="NJBVGFTCVX" hidden="1">{"PriceSheetNoMargins",#N/A,FALSE,"PriceSheet"}</definedName>
    <definedName name="njj">#REF!</definedName>
    <definedName name="njyhbtgrvfec">#REF!</definedName>
    <definedName name="nk">#REF!</definedName>
    <definedName name="nked">#REF!</definedName>
    <definedName name="nkknk" hidden="1">{#N/A,#N/A,FALSE,"CCTV"}</definedName>
    <definedName name="nlbg">#REF!</definedName>
    <definedName name="nmav">#REF!</definedName>
    <definedName name="nmcv">#REF!</definedName>
    <definedName name="nmm" hidden="1">#REF!</definedName>
    <definedName name="nmv">#REF!</definedName>
    <definedName name="nnn" hidden="1">{#N/A,#N/A,FALSE,"SumD";#N/A,#N/A,FALSE,"ElecD";#N/A,#N/A,FALSE,"MechD";#N/A,#N/A,FALSE,"GeotD";#N/A,#N/A,FALSE,"PrcsD";#N/A,#N/A,FALSE,"TunnD";#N/A,#N/A,FALSE,"CivlD";#N/A,#N/A,FALSE,"NtwkD";#N/A,#N/A,FALSE,"EstgD";#N/A,#N/A,FALSE,"PEngD"}</definedName>
    <definedName name="nnnnn" hidden="1">{#N/A,#N/A,FALSE,"SumG";#N/A,#N/A,FALSE,"ElecG";#N/A,#N/A,FALSE,"MechG";#N/A,#N/A,FALSE,"GeotG";#N/A,#N/A,FALSE,"PrcsG";#N/A,#N/A,FALSE,"TunnG";#N/A,#N/A,FALSE,"CivlG";#N/A,#N/A,FALSE,"NtwkG";#N/A,#N/A,FALSE,"EstgG";#N/A,#N/A,FALSE,"PEngG"}</definedName>
    <definedName name="nnnnnnn">[249]bill02!$H$303</definedName>
    <definedName name="NNNNNNNN">#REF!</definedName>
    <definedName name="nnnnnnnnnn" hidden="1">{#N/A,#N/A,FALSE,"Status of Projects";#N/A,#N/A,FALSE,"CEA-TEC";#N/A,#N/A,FALSE,"U-Constr.";#N/A,#N/A,FALSE,"summary";#N/A,#N/A,FALSE,"PPP-3 yrs"}</definedName>
    <definedName name="NNR">'[29]Raw Data'!$D$22</definedName>
    <definedName name="No">#REF!</definedName>
    <definedName name="No.">"A1"</definedName>
    <definedName name="no.3">#REF!</definedName>
    <definedName name="NO_3">[206]estimate!#REF!</definedName>
    <definedName name="NO_4">[206]estimate!#REF!</definedName>
    <definedName name="No_of_Hollidays">#REF!</definedName>
    <definedName name="NO_OF_REQ">[250]BQLIST!$F:$F</definedName>
    <definedName name="No_Ramadan_Days">#REF!</definedName>
    <definedName name="No_Week_Days">#REF!</definedName>
    <definedName name="No_Weekend_Days">#REF!</definedName>
    <definedName name="no7.2" hidden="1">{#N/A,#N/A,FALSE,"Sub2.1";#N/A,#N/A,FALSE,"Conc2.2";#N/A,#N/A,FALSE,"Block2.3";#N/A,#N/A,FALSE,"Roof2.4";#N/A,#N/A,FALSE,"wood2.5";#N/A,#N/A,FALSE,"Door2.6";#N/A,#N/A,FALSE,"Finish2.7";#N/A,#N/A,FALSE,"Service2.8";#N/A,#N/A,FALSE,"Summary2"}</definedName>
    <definedName name="noa">#REF!</definedName>
    <definedName name="nofcv">#REF!</definedName>
    <definedName name="NON_STANDARD_BUS_SHELTER">#REF!</definedName>
    <definedName name="noncementitiounswaterproofingwaterbased">'[71]Build Up rate'!$D$30</definedName>
    <definedName name="noncementitiouswaterproofing">'[71]Build Up rate'!$D$29</definedName>
    <definedName name="noncemwaterproofing">#REF!</definedName>
    <definedName name="noncemwaterproofwaterbased">#REF!</definedName>
    <definedName name="NonPerp">[251]NonPerp!$B$6:$J$297</definedName>
    <definedName name="nonshrinkgrout">#REF!</definedName>
    <definedName name="NOPAT_fore">#REF!</definedName>
    <definedName name="NOPAT_margin_fore">#REF!</definedName>
    <definedName name="NOPBT_fore">#REF!</definedName>
    <definedName name="nordic.pae">#REF!</definedName>
    <definedName name="Norm_forecast_11_15">#REF!</definedName>
    <definedName name="Norm_forecast_16_25">#REF!</definedName>
    <definedName name="Norm_forecast_4_5">#REF!</definedName>
    <definedName name="Norm_forecast_6_10">#REF!</definedName>
    <definedName name="North_America_Group">#REF!</definedName>
    <definedName name="nosing">#REF!</definedName>
    <definedName name="Not_Applicable">#REF!</definedName>
    <definedName name="notok">#REF!</definedName>
    <definedName name="nPE">#REF!</definedName>
    <definedName name="npepn16">#REF!</definedName>
    <definedName name="NPFAC">#REF!</definedName>
    <definedName name="npfac1">[103]Factors!$M$21</definedName>
    <definedName name="NPFPL">[49]Factors!$F$20</definedName>
    <definedName name="nPPR">[49]Factors!$E$193</definedName>
    <definedName name="nppr10">#REF!</definedName>
    <definedName name="nppr20">#REF!</definedName>
    <definedName name="npprhw">#REF!</definedName>
    <definedName name="npprsw">#REF!</definedName>
    <definedName name="NQ_by_Entity">'[144]NQ by Entity'!$G$17</definedName>
    <definedName name="nra">#REF!</definedName>
    <definedName name="nrag">[55]Factors!$U$379</definedName>
    <definedName name="nrethwgef">#REF!</definedName>
    <definedName name="Nrows">#REF!</definedName>
    <definedName name="nrvd">[55]Factors!$E$460</definedName>
    <definedName name="nsa">#REF!</definedName>
    <definedName name="NSC_RelatedCost">#REF!</definedName>
    <definedName name="nsinsu">#REF!</definedName>
    <definedName name="nsj" hidden="1">#REF!</definedName>
    <definedName name="nspd">[55]Factors!$U$352</definedName>
    <definedName name="nspi">#REF!</definedName>
    <definedName name="nsr">#REF!</definedName>
    <definedName name="nss">#REF!</definedName>
    <definedName name="nsv">#REF!</definedName>
    <definedName name="NT">#REF!</definedName>
    <definedName name="NTD">#REF!</definedName>
    <definedName name="ntmsv">#REF!</definedName>
    <definedName name="NToS">[252]!NToS</definedName>
    <definedName name="ntp">#REF!</definedName>
    <definedName name="Num">[253]BOQ!#REF!+1*([253]BOQ!#REF!=0)</definedName>
    <definedName name="num_021FORK">'[254]Cavity Inputs'!$B$3</definedName>
    <definedName name="num_024_cavities">'[90]Driver Linac Layout'!$D$2</definedName>
    <definedName name="num_024_cryomodule">'[90]Driver Linac Layout'!$K$2</definedName>
    <definedName name="num_031_cavities">'[90]Driver Linac Layout'!$D$3</definedName>
    <definedName name="num_03FORK">'[254]Cavity Inputs'!$B$4</definedName>
    <definedName name="num_062_cavities">'[90]Driver Linac Layout'!$D$4</definedName>
    <definedName name="num_062_cryomodule">'[90]Driver Linac Layout'!$K$4</definedName>
    <definedName name="num_151_cavities">'[90]Driver Linac Layout'!$D$5</definedName>
    <definedName name="num_151_cryomodule">'[90]Driver Linac Layout'!$K$5</definedName>
    <definedName name="num_263_cavities">'[90]Driver Linac Layout'!$D$6</definedName>
    <definedName name="num_263_cryomodule">'[90]Driver Linac Layout'!$K$6</definedName>
    <definedName name="num_394_cavities">'[90]Driver Linac Layout'!$D$7</definedName>
    <definedName name="num_394_cryomodule">'[90]Driver Linac Layout'!$K$7</definedName>
    <definedName name="num_490_cavities">'[90]Driver Linac Layout'!$D$8</definedName>
    <definedName name="num_490_cryomodule">'[90]Driver Linac Layout'!$K$8</definedName>
    <definedName name="num_610_cavities">'[90]Driver Linac Layout'!$D$9</definedName>
    <definedName name="num_610_cryomodule">'[90]Driver Linac Layout'!$K$9</definedName>
    <definedName name="num_810_cavities">'[90]Driver Linac Layout'!$D$10</definedName>
    <definedName name="num_810_cryomodule">'[90]Driver Linac Layout'!$K$10</definedName>
    <definedName name="num_QWR">'[254]Cavity Inputs'!$B$5</definedName>
    <definedName name="NUMBER">#REF!</definedName>
    <definedName name="Number_of_Payments___0">#N/A</definedName>
    <definedName name="Number_of_Payments___10">#N/A</definedName>
    <definedName name="Number_of_Payments___2">#N/A</definedName>
    <definedName name="Number_of_Payments___3">#N/A</definedName>
    <definedName name="Number_of_Payments___4">#N/A</definedName>
    <definedName name="Number_of_Payments___5">#N/A</definedName>
    <definedName name="Number_of_Payments___6">#N/A</definedName>
    <definedName name="Number_of_Payments___7">#N/A</definedName>
    <definedName name="Number_of_Payments___8">#N/A</definedName>
    <definedName name="Number_of_Payments___9">#N/A</definedName>
    <definedName name="nviso">#REF!</definedName>
    <definedName name="NVNHV">#REF!</definedName>
    <definedName name="NW">'[76]Ra  stair'!#REF!</definedName>
    <definedName name="nWfan">#REF!</definedName>
    <definedName name="O.">#REF!</definedName>
    <definedName name="Ø450">'[71]Build Up rate'!$D$10</definedName>
    <definedName name="Ø600">'[71]Build Up rate'!$D$11</definedName>
    <definedName name="oa">[218]STMspry!$C$4</definedName>
    <definedName name="OA.1">#REF!</definedName>
    <definedName name="OA.2">#REF!</definedName>
    <definedName name="OA.3">#REF!</definedName>
    <definedName name="OA.4">#REF!</definedName>
    <definedName name="OA.5">#REF!</definedName>
    <definedName name="OA.6">#REF!</definedName>
    <definedName name="OA.7">#REF!</definedName>
    <definedName name="OA.8">#REF!</definedName>
    <definedName name="OA.9">#REF!</definedName>
    <definedName name="OCM">[18]office!$B$20</definedName>
    <definedName name="OD_FACTOR">#REF!</definedName>
    <definedName name="ODC">'[29]Raw Data'!$D$17</definedName>
    <definedName name="ODC_Allowance_Rates">#REF!</definedName>
    <definedName name="ODH" hidden="1">#REF!</definedName>
    <definedName name="ofcv.100">#REF!</definedName>
    <definedName name="ofcv.125">#REF!</definedName>
    <definedName name="ofcv.15">#REF!</definedName>
    <definedName name="ofcv.150">#REF!</definedName>
    <definedName name="ofcv.20">#REF!</definedName>
    <definedName name="ofcv.200">#REF!</definedName>
    <definedName name="ofcv.25">#REF!</definedName>
    <definedName name="ofcv.250">#REF!</definedName>
    <definedName name="ofcv.300">#REF!</definedName>
    <definedName name="ofcv.32">#REF!</definedName>
    <definedName name="ofcv.40">#REF!</definedName>
    <definedName name="ofcv.50">#REF!</definedName>
    <definedName name="ofcv.65">#REF!</definedName>
    <definedName name="ofcv.80">#REF!</definedName>
    <definedName name="ofer">#REF!</definedName>
    <definedName name="OFF">#REF!</definedName>
    <definedName name="Off_B_S_Income_fore">#REF!</definedName>
    <definedName name="Off_B_S_Income_growth_fore">#REF!</definedName>
    <definedName name="offer">'[150]Factor Sheet'!$D$37</definedName>
    <definedName name="offerjp">#REF!</definedName>
    <definedName name="offerslr">#REF!</definedName>
    <definedName name="offeryen">#REF!</definedName>
    <definedName name="OFFICE">#REF!</definedName>
    <definedName name="office.cfa">[126]Summary!$E$3</definedName>
    <definedName name="Office_Charge_Rate">#REF!</definedName>
    <definedName name="Office_Supplies_Unit_Rate">#REF!</definedName>
    <definedName name="officer">[255]Number!#REF!</definedName>
    <definedName name="Offices">#REF!</definedName>
    <definedName name="offm">#REF!</definedName>
    <definedName name="OFFSH">#REF!</definedName>
    <definedName name="ofloor">#REF!</definedName>
    <definedName name="OI_Bridge">'[144]CQ Bridge'!$A$1</definedName>
    <definedName name="OIIUUYY">#REF!</definedName>
    <definedName name="oililui" hidden="1">{#N/A,#N/A,FALSE,"CCTV"}</definedName>
    <definedName name="oiuyjhtgfsd">#REF!</definedName>
    <definedName name="OK_1">'[256]MSS '!$J$61</definedName>
    <definedName name="OK_2">'[256]MSS '!$K$61</definedName>
    <definedName name="OK_3">'[256]MSS '!$L$61</definedName>
    <definedName name="olblfb">#REF!</definedName>
    <definedName name="oldprinttotal">'[29]Raw Data'!$A$1:$CE$126</definedName>
    <definedName name="olieee">#REF!</definedName>
    <definedName name="oliver">#REF!</definedName>
    <definedName name="olivermmm">#REF!</definedName>
    <definedName name="olki">#REF!</definedName>
    <definedName name="OM">'[29]Raw Data'!$AJ$201:$AJ$260</definedName>
    <definedName name="omsd">#REF!</definedName>
    <definedName name="one">#REF!</definedName>
    <definedName name="onedr">#REF!</definedName>
    <definedName name="onedr2">#REF!</definedName>
    <definedName name="onehfmdr">#REF!</definedName>
    <definedName name="onelab">"$#REF!.$Y$27"</definedName>
    <definedName name="onemdr">#REF!</definedName>
    <definedName name="ONSH">#REF!</definedName>
    <definedName name="oo">[28]!oo</definedName>
    <definedName name="OOO2CIVIL" hidden="1">[257]주식!#REF!</definedName>
    <definedName name="ooopp">#REF!</definedName>
    <definedName name="Operating_income_fore">#REF!</definedName>
    <definedName name="Operating_Lease_Expense_fore">#REF!</definedName>
    <definedName name="OperExcellence">#REF!</definedName>
    <definedName name="ops">[11]Admin!$B$21:$B$32</definedName>
    <definedName name="OPTIT">#REF!</definedName>
    <definedName name="OPTITLE">#REF!</definedName>
    <definedName name="Oracle_Account_Master">'[258]Oracle Account Master'!$A:$B</definedName>
    <definedName name="Orange">'[29]Raw Data'!$C$30:$E$32</definedName>
    <definedName name="Orders">'[144]CQ Orders'!$C$5</definedName>
    <definedName name="OrderTable" hidden="1">#REF!</definedName>
    <definedName name="Org_Growth">'[144]Org Growth'!$C$39</definedName>
    <definedName name="Organization1">#REF!</definedName>
    <definedName name="Organization2">#REF!</definedName>
    <definedName name="origin">#REF!</definedName>
    <definedName name="OS.300">#REF!</definedName>
    <definedName name="OSBL" hidden="1">{#N/A,#N/A,FALSE,"CCTV"}</definedName>
    <definedName name="OSBL_Costs">#REF!</definedName>
    <definedName name="OSBL_Mhrs">#REF!</definedName>
    <definedName name="osexc">#REF!</definedName>
    <definedName name="osexc200">#REF!</definedName>
    <definedName name="osexc300">#REF!</definedName>
    <definedName name="osexc4">#REF!</definedName>
    <definedName name="OSMarginResi">#REF!</definedName>
    <definedName name="OSPerUnit">#REF!</definedName>
    <definedName name="otfrd1">#REF!</definedName>
    <definedName name="otfrd2">#REF!</definedName>
    <definedName name="OTH_DIR">'[29]Raw Data'!$AP$310</definedName>
    <definedName name="OTHER">#REF!</definedName>
    <definedName name="Other_asset_turns_fore">#REF!</definedName>
    <definedName name="OTHER_CONT">#REF!</definedName>
    <definedName name="Other_Costs">#REF!</definedName>
    <definedName name="Other_current_assets_growth_fore">#REF!</definedName>
    <definedName name="Other_current_liabilities_growth_fore">#REF!</definedName>
    <definedName name="Other_Expenses_fore">#REF!</definedName>
    <definedName name="Other_expenses_gains_fore">#REF!</definedName>
    <definedName name="Other_expenses_growth_fore">#REF!</definedName>
    <definedName name="Other_fixed_asset_turns_fore">#REF!</definedName>
    <definedName name="Other_fixed_assets_growth_fore">#REF!</definedName>
    <definedName name="Other_growth_fore">#REF!</definedName>
    <definedName name="Other_inc_exp_fore">#REF!</definedName>
    <definedName name="Other_income_growth_fore">#REF!</definedName>
    <definedName name="OTHER_LAB">#REF!</definedName>
    <definedName name="Other_liabilities_growth_fore">#REF!</definedName>
    <definedName name="OTHER_MAT">#REF!</definedName>
    <definedName name="OTHER_PRICING">#REF!</definedName>
    <definedName name="other_schedule">'[29]Raw Data'!$A$2:$T$49</definedName>
    <definedName name="OTHER_VALVES">#REF!</definedName>
    <definedName name="OtherCorporate">#REF!</definedName>
    <definedName name="OtherExpense">#REF!</definedName>
    <definedName name="OtherExpenses">#REF!</definedName>
    <definedName name="OtherFinance">#REF!</definedName>
    <definedName name="Out_of_Scope">#REF!</definedName>
    <definedName name="OUTDOOR">#REF!</definedName>
    <definedName name="OUTDOOR_COND">#REF!</definedName>
    <definedName name="outgo100">#REF!</definedName>
    <definedName name="outgo150">#REF!</definedName>
    <definedName name="outgo200">#REF!</definedName>
    <definedName name="outgo300">#REF!</definedName>
    <definedName name="outgo75">#REF!</definedName>
    <definedName name="outlet">#REF!</definedName>
    <definedName name="Outlook">[72]INPUT!$B$25</definedName>
    <definedName name="Ov_rec">#REF!</definedName>
    <definedName name="Ov_rec2">#REF!</definedName>
    <definedName name="OVER_HEADS_ENTRY">#REF!</definedName>
    <definedName name="Overall">#REF!</definedName>
    <definedName name="OVERHEADS">#REF!</definedName>
    <definedName name="P.2__Submersible_pump">[65]RESOURCES!$A$349</definedName>
    <definedName name="P.4__submercible_pump">[65]RESOURCES!$A$360</definedName>
    <definedName name="P.Augur_Crane">[65]RESOURCES!$A$45</definedName>
    <definedName name="P.Backhoe">[65]RESOURCES!$A$32</definedName>
    <definedName name="P.Batching_Plant_Rental">[65]RESOURCES!$A$55</definedName>
    <definedName name="P.Batching_plant_rental___urp__given_by_p___E">[65]RESOURCES!$A$291</definedName>
    <definedName name="P.Breaking_with_Jumbo_Braker">[65]RESOURCES!$A$218</definedName>
    <definedName name="p.eight">[91]ANALISYS!$E$5538</definedName>
    <definedName name="p.eighteen">[91]ANALISYS!$E$5658</definedName>
    <definedName name="p.eleven">[91]ANALISYS!$E$5571</definedName>
    <definedName name="P.Excavator_PC200">[65]RESOURCES!$A$277</definedName>
    <definedName name="p.fifteen">[91]ANALISYS!$E$5626</definedName>
    <definedName name="p.five">[91]ANALISYS!$E$5505</definedName>
    <definedName name="p.four">[91]ANALISYS!$E$5492</definedName>
    <definedName name="p.fourteen">[91]ANALISYS!$E$5614</definedName>
    <definedName name="p.fourty">[91]ANALISYS!$E$5894</definedName>
    <definedName name="p.fourtyfive">[91]ANALISYS!$E$5946</definedName>
    <definedName name="p.fourtyfour">[91]ANALISYS!$E$5936</definedName>
    <definedName name="p.fourtyone">[91]ANALISYS!$E$5905</definedName>
    <definedName name="p.fourtythree">[91]ANALISYS!$E$5926</definedName>
    <definedName name="p.fourtytwo">[91]ANALISYS!$E$5916</definedName>
    <definedName name="P.Gas_Cutter">[65]RESOURCES!$A$47</definedName>
    <definedName name="P.Genarator_400KVA">[65]RESOURCES!$A$59</definedName>
    <definedName name="P.Generator_150KVA">[65]RESOURCES!$A$43</definedName>
    <definedName name="p.GI150">#REF!</definedName>
    <definedName name="p.GI80">#REF!</definedName>
    <definedName name="P.JCB">[65]RESOURCES!$A$347</definedName>
    <definedName name="p.lb140">[50]Factors!$N$134</definedName>
    <definedName name="p.lb150">#REF!</definedName>
    <definedName name="p.lb160">[50]Factors!$N$135</definedName>
    <definedName name="p.lb63">[50]Factors!$N$131</definedName>
    <definedName name="p.lb75">[50]Factors!$N$132</definedName>
    <definedName name="p.lb90">[50]Factors!$N$133</definedName>
    <definedName name="P.Mobile_Crane">[65]RESOURCES!$A$46</definedName>
    <definedName name="p.nine">[91]ANALISYS!$E$5547</definedName>
    <definedName name="p.one">[91]ANALISYS!$E$5453</definedName>
    <definedName name="P.Plate_Compactor">[65]RESOURCES!$A$36</definedName>
    <definedName name="P.Poker_Vibrator">[65]RESOURCES!$A$212</definedName>
    <definedName name="P.Pump_Car">[65]RESOURCES!$A$66</definedName>
    <definedName name="p.rt150">#REF!</definedName>
    <definedName name="P.Sensor">[66]Price!$J$27</definedName>
    <definedName name="p.seven">[91]ANALISYS!$E$5528</definedName>
    <definedName name="p.seventeen">[91]ANALISYS!$E$5648</definedName>
    <definedName name="P.Silant_Piler">[65]RESOURCES!$A$44</definedName>
    <definedName name="P.Silo_Cement">[65]RESOURCES!$A$56</definedName>
    <definedName name="P.Silo_Fly_Ash">[65]RESOURCES!$A$57</definedName>
    <definedName name="p.six">[91]ANALISYS!$E$5518</definedName>
    <definedName name="p.sixteen">[91]ANALISYS!$E$5636</definedName>
    <definedName name="P.Submerciable_Water_Pump">[65]RESOURCES!$A$37</definedName>
    <definedName name="p.t110x50">#REF!</definedName>
    <definedName name="p.t110x63">#REF!</definedName>
    <definedName name="p.t110x75">#REF!</definedName>
    <definedName name="p.t140x50">#REF!</definedName>
    <definedName name="p.t150">#REF!</definedName>
    <definedName name="p.t160x50">#REF!</definedName>
    <definedName name="p.t160x63">#REF!</definedName>
    <definedName name="p.ten">[91]ANALISYS!$E$5559</definedName>
    <definedName name="p.thirtyeight">[91]ANALISYS!$E$5872</definedName>
    <definedName name="p.thirtyfive">[91]ANALISYS!$E$5841</definedName>
    <definedName name="p.thirtyfour">[91]ANALISYS!$E$5828</definedName>
    <definedName name="p.thirtynine">[91]ANALISYS!$E$5883</definedName>
    <definedName name="p.thirtyone">[91]ANALISYS!$E$5792</definedName>
    <definedName name="p.thirtyseven">[91]ANALISYS!$E$5861</definedName>
    <definedName name="p.thirtythree">[91]ANALISYS!$E$5815</definedName>
    <definedName name="p.three">[31]Analysis!$E$5927</definedName>
    <definedName name="P.Tipper">[65]RESOURCES!$A$35</definedName>
    <definedName name="P.Truck_Mixer">[65]RESOURCES!$A$58</definedName>
    <definedName name="p.twelve">[91]ANALISYS!$E$5585</definedName>
    <definedName name="p.twenty">[91]ANALISYS!$E$5680</definedName>
    <definedName name="p.twentyfour">[91]ANALISYS!$E$5721</definedName>
    <definedName name="p.twentynine">[91]ANALISYS!$E$5772</definedName>
    <definedName name="p.twentyone">[91]ANALISYS!$E$5691</definedName>
    <definedName name="p.twentyseven">[91]ANALISYS!$E$5752</definedName>
    <definedName name="p.twentysix">[91]ANALISYS!$E$5743</definedName>
    <definedName name="p.twentythree">[91]ANALISYS!$E$5711</definedName>
    <definedName name="p.twentytwo">[91]ANALISYS!$E$5702</definedName>
    <definedName name="p.two">[91]ANALISYS!$E$5466</definedName>
    <definedName name="P.Welding_Machine">[65]RESOURCES!$A$48</definedName>
    <definedName name="P_1">#REF!</definedName>
    <definedName name="P_10">#REF!</definedName>
    <definedName name="P_11">#REF!</definedName>
    <definedName name="P_2">#REF!</definedName>
    <definedName name="P_4">#REF!</definedName>
    <definedName name="P_5">#REF!</definedName>
    <definedName name="p_7">#REF!</definedName>
    <definedName name="P_8">#REF!</definedName>
    <definedName name="P_Adm_Dtl">#REF!</definedName>
    <definedName name="P_ADSC_Dtl">#REF!</definedName>
    <definedName name="P_BLog_Dtl">#REF!</definedName>
    <definedName name="P_Budget_ALL">#REF!</definedName>
    <definedName name="P_Comp_Dtl">#REF!</definedName>
    <definedName name="P_Comp2_Dtl">#REF!</definedName>
    <definedName name="P_Csv_Dtl">#REF!</definedName>
    <definedName name="P_Erns_Dtl">#REF!</definedName>
    <definedName name="P_Ins_ALL_Dtl">#REF!</definedName>
    <definedName name="P_InsC_Dtl">#REF!</definedName>
    <definedName name="P_InsR_Dtl">#REF!</definedName>
    <definedName name="P_InsS_Dtl">#REF!</definedName>
    <definedName name="P_InsT_Dtl">#REF!</definedName>
    <definedName name="P_Lab">[51]PW!$L$31</definedName>
    <definedName name="P_Mat">[51]PW!$L$26</definedName>
    <definedName name="P_Prod_Dtl">#REF!</definedName>
    <definedName name="P_Sls_ALL_Dtl">#REF!</definedName>
    <definedName name="P_SlsC_Dtl">#REF!</definedName>
    <definedName name="P_SlsR_Dtl">#REF!</definedName>
    <definedName name="P_SlsS_Dtl">#REF!</definedName>
    <definedName name="P_SlsT_Dtl">#REF!</definedName>
    <definedName name="P_Svc_Dtl">#REF!</definedName>
    <definedName name="P_T_Lab">[51]PW!$L$44</definedName>
    <definedName name="P_T_Mat">[51]PW!$L$39</definedName>
    <definedName name="P_Veh_Dtl">#REF!</definedName>
    <definedName name="PA_CABLE">#REF!</definedName>
    <definedName name="PA_CONDUIT">#REF!</definedName>
    <definedName name="PA_EQUIP">#REF!</definedName>
    <definedName name="paa">[103]Factors!$G$30</definedName>
    <definedName name="paac">[55]Factors!$E$21</definedName>
    <definedName name="PAC_INDUSTRIAL">#REF!</definedName>
    <definedName name="PACCE">#REF!</definedName>
    <definedName name="PACCL">#REF!</definedName>
    <definedName name="PACIFIC">#REF!</definedName>
    <definedName name="Pacific_Group">#REF!</definedName>
    <definedName name="PackageName">#REF!</definedName>
    <definedName name="pad">[103]Factors!$G$31</definedName>
    <definedName name="PAGE_01">#REF!</definedName>
    <definedName name="PAGE_02">#REF!</definedName>
    <definedName name="PAGE_03">#REF!</definedName>
    <definedName name="PAGE_04">#REF!</definedName>
    <definedName name="page100">#REF!</definedName>
    <definedName name="page101">#REF!</definedName>
    <definedName name="page102">#REF!</definedName>
    <definedName name="page103">#REF!</definedName>
    <definedName name="page104">#REF!</definedName>
    <definedName name="page105">#REF!</definedName>
    <definedName name="page106">#REF!</definedName>
    <definedName name="page1601">#REF!</definedName>
    <definedName name="page1602">#REF!</definedName>
    <definedName name="page1603">#REF!</definedName>
    <definedName name="page1604">#REF!</definedName>
    <definedName name="page1605">#REF!</definedName>
    <definedName name="page1606">#REF!</definedName>
    <definedName name="page1607">#REF!</definedName>
    <definedName name="page1608">#REF!</definedName>
    <definedName name="page1609">#REF!</definedName>
    <definedName name="page1610">#REF!</definedName>
    <definedName name="page1611">#REF!</definedName>
    <definedName name="page1612">#REF!</definedName>
    <definedName name="page1613">#REF!</definedName>
    <definedName name="page1614">#REF!</definedName>
    <definedName name="page1615">#REF!</definedName>
    <definedName name="page1616">#REF!</definedName>
    <definedName name="page1617">#REF!</definedName>
    <definedName name="page1618">#REF!</definedName>
    <definedName name="page1619">#REF!</definedName>
    <definedName name="page1620">#REF!</definedName>
    <definedName name="page1621">#REF!</definedName>
    <definedName name="page1622">#REF!</definedName>
    <definedName name="page1623">#REF!</definedName>
    <definedName name="page1624">#REF!</definedName>
    <definedName name="page1625">#REF!</definedName>
    <definedName name="page1626">#REF!</definedName>
    <definedName name="page1627">#REF!</definedName>
    <definedName name="page1628">#REF!</definedName>
    <definedName name="page1629">#REF!</definedName>
    <definedName name="page1630">#REF!</definedName>
    <definedName name="page1631">#REF!</definedName>
    <definedName name="page1632">#REF!</definedName>
    <definedName name="page1633">#REF!</definedName>
    <definedName name="page1634">#REF!</definedName>
    <definedName name="page1635">#REF!</definedName>
    <definedName name="page1636">#REF!</definedName>
    <definedName name="page1637">#REF!</definedName>
    <definedName name="page1638">#REF!</definedName>
    <definedName name="page42">#REF!</definedName>
    <definedName name="page43">#REF!</definedName>
    <definedName name="page44">#REF!</definedName>
    <definedName name="page45">#REF!</definedName>
    <definedName name="page46">#REF!</definedName>
    <definedName name="page47">#REF!</definedName>
    <definedName name="page48">#REF!</definedName>
    <definedName name="page49">#REF!</definedName>
    <definedName name="page50">#REF!</definedName>
    <definedName name="page51">#REF!</definedName>
    <definedName name="page52">#REF!</definedName>
    <definedName name="page53">#REF!</definedName>
    <definedName name="page54">#REF!</definedName>
    <definedName name="page55">#REF!</definedName>
    <definedName name="page56">#REF!</definedName>
    <definedName name="page57">#REF!</definedName>
    <definedName name="page58">#REF!</definedName>
    <definedName name="page59">#REF!</definedName>
    <definedName name="page60">#REF!</definedName>
    <definedName name="page61">#REF!</definedName>
    <definedName name="page62">#REF!</definedName>
    <definedName name="page63">#REF!</definedName>
    <definedName name="page64">#REF!</definedName>
    <definedName name="page65">#REF!</definedName>
    <definedName name="page66">#REF!</definedName>
    <definedName name="page67">#REF!</definedName>
    <definedName name="page68">#REF!</definedName>
    <definedName name="page69">#REF!</definedName>
    <definedName name="page70">#REF!</definedName>
    <definedName name="page71">#REF!</definedName>
    <definedName name="page72">#REF!</definedName>
    <definedName name="page73">#REF!</definedName>
    <definedName name="page74">#REF!</definedName>
    <definedName name="page75">#REF!</definedName>
    <definedName name="page76">#REF!</definedName>
    <definedName name="page77">#REF!</definedName>
    <definedName name="page78">#REF!</definedName>
    <definedName name="page79">#REF!</definedName>
    <definedName name="page80">#REF!</definedName>
    <definedName name="page81">#REF!</definedName>
    <definedName name="page82">#REF!</definedName>
    <definedName name="page83">#REF!</definedName>
    <definedName name="page84">#REF!</definedName>
    <definedName name="page85">#REF!</definedName>
    <definedName name="page86">#REF!</definedName>
    <definedName name="page87">#REF!</definedName>
    <definedName name="page88">#REF!</definedName>
    <definedName name="page89">#REF!</definedName>
    <definedName name="page90">#REF!</definedName>
    <definedName name="page91">#REF!</definedName>
    <definedName name="page92">#REF!</definedName>
    <definedName name="page93">#REF!</definedName>
    <definedName name="page94">#REF!</definedName>
    <definedName name="page95">#REF!</definedName>
    <definedName name="page96">#REF!</definedName>
    <definedName name="page97">#REF!</definedName>
    <definedName name="page98">#REF!</definedName>
    <definedName name="page99">#REF!</definedName>
    <definedName name="PageNo1">#REF!</definedName>
    <definedName name="PageNo2">#REF!</definedName>
    <definedName name="paint.anti">#REF!</definedName>
    <definedName name="paint.em">#REF!</definedName>
    <definedName name="paint.en">#REF!</definedName>
    <definedName name="paint.prim">#REF!</definedName>
    <definedName name="paint4">'[11]BILL 4 NEW multi'!$H$755</definedName>
    <definedName name="paintdr1">#REF!</definedName>
    <definedName name="paintdr2">#REF!</definedName>
    <definedName name="paintdr3">#REF!</definedName>
    <definedName name="paintfr">#REF!</definedName>
    <definedName name="paintss">#REF!</definedName>
    <definedName name="paintss1">#REF!</definedName>
    <definedName name="pal_10">"$#REF!.$K$22"</definedName>
    <definedName name="pal_2">#REF!</definedName>
    <definedName name="pal_9">"$#REF!.$K$22"</definedName>
    <definedName name="pal_aex">'[99]AEX_IMPORTS_on 320'!#REF!</definedName>
    <definedName name="pal_cab">#REF!</definedName>
    <definedName name="PALITHA">#REF!</definedName>
    <definedName name="PALITHAD">#REF!</definedName>
    <definedName name="PALM">#N/A</definedName>
    <definedName name="Pan_Stair_Data">#REF!</definedName>
    <definedName name="PAN_STAIRS">#REF!</definedName>
    <definedName name="Pan_Tilt_Drive_Dome">'[155]CCTV(old)'!#REF!</definedName>
    <definedName name="Panel" hidden="1">{#N/A,#N/A,TRUE,"SUM";#N/A,#N/A,TRUE,"EE";#N/A,#N/A,TRUE,"AC";#N/A,#N/A,TRUE,"SN"}</definedName>
    <definedName name="PAR_1">#REF!</definedName>
    <definedName name="PAR_2">#REF!</definedName>
    <definedName name="PAR_3">#REF!</definedName>
    <definedName name="PAR_4">#REF!</definedName>
    <definedName name="PAR_5">#REF!</definedName>
    <definedName name="PAR_6">#REF!</definedName>
    <definedName name="PAR_7">#REF!</definedName>
    <definedName name="Parity">#REF!</definedName>
    <definedName name="Parm_Civil_Build_01">#REF!</definedName>
    <definedName name="Parm_Civil_Build_02">#REF!</definedName>
    <definedName name="Parm_Civil_Build_03">#REF!</definedName>
    <definedName name="Parm_Civil_Build_04">#REF!</definedName>
    <definedName name="Parm_Civil_Build_05">#REF!</definedName>
    <definedName name="Parm_Civil_Build_06">#REF!</definedName>
    <definedName name="Parm_Civil_Build_07">#REF!</definedName>
    <definedName name="Parm_Civil_Build_08">#REF!</definedName>
    <definedName name="Parm_Civil_Build_09">#REF!</definedName>
    <definedName name="Parm_Civil_Build_10">#REF!</definedName>
    <definedName name="Parm_Civil_Build_11">#REF!</definedName>
    <definedName name="Parm_Civil_Build_12">#REF!</definedName>
    <definedName name="Parm_Civil_Build_13">#REF!</definedName>
    <definedName name="Parm_Civil_Build_14">#REF!</definedName>
    <definedName name="Parm_Civil_Build_15">#REF!</definedName>
    <definedName name="Parm_Civil_Build_16">#REF!</definedName>
    <definedName name="Parm_Civil_Build_17">#REF!</definedName>
    <definedName name="Parm_Civil_Build_18">#REF!</definedName>
    <definedName name="Parm_Civil_Build_19">#REF!</definedName>
    <definedName name="Parm_Civil_Build_20">#REF!</definedName>
    <definedName name="Parm_Civil_Build_21">#REF!</definedName>
    <definedName name="Parm_Civil_Parm_01">#REF!</definedName>
    <definedName name="Parm_Civil_Parm_02">#REF!</definedName>
    <definedName name="Parm_Civil_Parm_03">#REF!</definedName>
    <definedName name="Parm_Civil_Parm_04">#REF!</definedName>
    <definedName name="Parm_Civil_Parm_05">#REF!</definedName>
    <definedName name="Parm_Civil_Parm_06">#REF!</definedName>
    <definedName name="Parm_Civil_Parm_07">#REF!</definedName>
    <definedName name="Parm_Civil_Parm_08">#REF!</definedName>
    <definedName name="Parm_Civil_Parm_09">#REF!</definedName>
    <definedName name="Parm_Civil_Parm_10">#REF!</definedName>
    <definedName name="Parm_Civil_Parm_11">#REF!</definedName>
    <definedName name="Parm_Civil_Parm_12">#REF!</definedName>
    <definedName name="Parm_Civil_Parm_13">#REF!</definedName>
    <definedName name="Parm_Civil_Parm_14">#REF!</definedName>
    <definedName name="Parm_Civil_Parm_15">#REF!</definedName>
    <definedName name="Parm_Civil_Parm_16">#REF!</definedName>
    <definedName name="Parm_Civil_Parm_17">#REF!</definedName>
    <definedName name="Parm_Civil_Parm_18">#REF!</definedName>
    <definedName name="Parm_Civil_Site_01">#REF!</definedName>
    <definedName name="Parm_Civil_Site_02">#REF!</definedName>
    <definedName name="Parm_Civil_Site_03">#REF!</definedName>
    <definedName name="Parm_Civil_Site_04">#REF!</definedName>
    <definedName name="Parm_Civil_Site_05">#REF!</definedName>
    <definedName name="Parm_Civil_Site_06">#REF!</definedName>
    <definedName name="Parm_Civil_Site_07">#REF!</definedName>
    <definedName name="Parm_Civil_Site_08">#REF!</definedName>
    <definedName name="Parm_Civil_Site_09">#REF!</definedName>
    <definedName name="Parm_Civil_Site_10">#REF!</definedName>
    <definedName name="Parm_Civil_Site_11">#REF!</definedName>
    <definedName name="Parm_Civil_Site_12">#REF!</definedName>
    <definedName name="Parm_Civil_Site_13">#REF!</definedName>
    <definedName name="Parm_Civil_Site_14">#REF!</definedName>
    <definedName name="Parm_Civil_Site_15">#REF!</definedName>
    <definedName name="Parm_Civil_Site_16">#REF!</definedName>
    <definedName name="Parm_Civil_Site_17">#REF!</definedName>
    <definedName name="Parm_Civil_Site_18">#REF!</definedName>
    <definedName name="Parm_Civil_Site_19">#REF!</definedName>
    <definedName name="Parm_Civil_Site_20">#REF!</definedName>
    <definedName name="Parm_Civil_Site_21">#REF!</definedName>
    <definedName name="Parm_Civil_Site_22">#REF!</definedName>
    <definedName name="Parm_Civil_Site_23">#REF!</definedName>
    <definedName name="Parm_Elect_Switchgear_01">#REF!</definedName>
    <definedName name="Parm_Elect_Switchgear_02">#REF!</definedName>
    <definedName name="Parm_Elect_Switchgear_03">#REF!</definedName>
    <definedName name="Parm_Elect_Switchgear_04">#REF!</definedName>
    <definedName name="Parm_Elect_Switchgear_05">#REF!</definedName>
    <definedName name="Parm_Elect_Switchgear_06">#REF!</definedName>
    <definedName name="Parm_Elect_Switchgear_07">#REF!</definedName>
    <definedName name="Parm_Elect_Switchgear_08">#REF!</definedName>
    <definedName name="Parm_Elect_Switchgear_09">#REF!</definedName>
    <definedName name="Parm_Elect_Switchgear_10">#REF!</definedName>
    <definedName name="Parm_Elect_Switchgear_11">#REF!</definedName>
    <definedName name="Parm_Elect_Switchgear_12">#REF!</definedName>
    <definedName name="Parm_Elect_Switchgear_13">#REF!</definedName>
    <definedName name="Parm_Elect_Switchgear_14">#REF!</definedName>
    <definedName name="Parm_Elect_Switchgear_15">#REF!</definedName>
    <definedName name="Parm_Elect_Switchgear_16">#REF!</definedName>
    <definedName name="Parm_Elect_Switchgear_17">#REF!</definedName>
    <definedName name="Parm_Elect_Switchgear_18">#REF!</definedName>
    <definedName name="Parm_Elect_Switchgear_19">#REF!</definedName>
    <definedName name="Parm_Elect_Switchgear_20">#REF!</definedName>
    <definedName name="Parm_Elect_Switchgear_21">#REF!</definedName>
    <definedName name="Parm_Elect_Switchyd_01">#REF!</definedName>
    <definedName name="Parm_Elect_Switchyd_02">#REF!</definedName>
    <definedName name="Parm_Elect_Switchyd_03">#REF!</definedName>
    <definedName name="Parm_Elect_Switchyd_04">#REF!</definedName>
    <definedName name="Parm_Elect_Switchyd_05">#REF!</definedName>
    <definedName name="Parm_Elect_Switchyd_06">#REF!</definedName>
    <definedName name="Parm_Elect_Switchyd_07">#REF!</definedName>
    <definedName name="Parm_Elect_Switchyd_08">#REF!</definedName>
    <definedName name="Parm_Elect_Switchyd_09">#REF!</definedName>
    <definedName name="Parm_Elect_Switchyd_10">#REF!</definedName>
    <definedName name="Parm_Elect_Switchyd_11">#REF!</definedName>
    <definedName name="Parm_Elect_Switchyd_12">#REF!</definedName>
    <definedName name="Parm_Elect_Switchyd_13">#REF!</definedName>
    <definedName name="Parm_Elect_Switchyd_14">#REF!</definedName>
    <definedName name="Parm_Elect_Switchyd_15">#REF!</definedName>
    <definedName name="Parm_Elect_Switchyd_16">#REF!</definedName>
    <definedName name="Parm_Elect_Switchyd_17">#REF!</definedName>
    <definedName name="Parm_Elect_Switchyd_18">#REF!</definedName>
    <definedName name="Parm_Elect_Switchyd_19">#REF!</definedName>
    <definedName name="Parm_Elect_Switchyd_20">#REF!</definedName>
    <definedName name="Parm_Elect_Switchyd_21">#REF!</definedName>
    <definedName name="Parm_Elect_Transfmr_01">#REF!</definedName>
    <definedName name="Parm_Elect_Transfmr_02">#REF!</definedName>
    <definedName name="Parm_Elect_Transfmr_03">#REF!</definedName>
    <definedName name="Parm_Elect_Transfmr_04">#REF!</definedName>
    <definedName name="Parm_Elect_Transfmr_05">#REF!</definedName>
    <definedName name="Parm_Elect_Transfmr_06">#REF!</definedName>
    <definedName name="Parm_Elect_Transfmr_07">#REF!</definedName>
    <definedName name="Parm_Elect_Transfmr_08">#REF!</definedName>
    <definedName name="Parm_Elect_Transfmr_09">#REF!</definedName>
    <definedName name="Parm_Elect_Transfmr_10">#REF!</definedName>
    <definedName name="Parm_Elect_Transfmr_11">#REF!</definedName>
    <definedName name="Parm_Elect_Transfmr_12">#REF!</definedName>
    <definedName name="Parm_Elect_Transfmr_13">#REF!</definedName>
    <definedName name="Parm_Elect_Transfmr_14">#REF!</definedName>
    <definedName name="Parm_Elect_Transfmr_15">#REF!</definedName>
    <definedName name="Parm_Elect_Transfmr_16">#REF!</definedName>
    <definedName name="Parm_Elect_Transfmr_17">#REF!</definedName>
    <definedName name="Parm_Elect_Transfmr_18">#REF!</definedName>
    <definedName name="Parm_Elect_Transfmr_19">#REF!</definedName>
    <definedName name="Parm_Elect_Transfmr_20">#REF!</definedName>
    <definedName name="Parm_Elect_Transfmr_21">#REF!</definedName>
    <definedName name="Parm_Elect_Transfmr_22">#REF!</definedName>
    <definedName name="Parm_Elect_Transfmr_23">#REF!</definedName>
    <definedName name="Parm_Elect_Transfmr_24">#REF!</definedName>
    <definedName name="Parm_Elect_Transfmr_25">#REF!</definedName>
    <definedName name="Parm_Elect_Transfmr_26">#REF!</definedName>
    <definedName name="Parm_Elect_Transfmr_27">#REF!</definedName>
    <definedName name="Parm_Elect_Transfmr_28">#REF!</definedName>
    <definedName name="Parm_Elect_Transfmr_29">#REF!</definedName>
    <definedName name="Parm_Elect_Transfmr_30">#REF!</definedName>
    <definedName name="Parm_Elect_Transfmr_31">#REF!</definedName>
    <definedName name="Parm_Elect_Transfmr_32">#REF!</definedName>
    <definedName name="Parm_Elect_Transfmr_33">#REF!</definedName>
    <definedName name="Parm_Elect_Transfmr_34">#REF!</definedName>
    <definedName name="Parm_Elect_Transfmr_35">#REF!</definedName>
    <definedName name="Parm_Elect_Transfmr_36">#REF!</definedName>
    <definedName name="Parm_Elect_Transfmr_37">#REF!</definedName>
    <definedName name="Parm_Elect_Transfmr_38">#REF!</definedName>
    <definedName name="Parm_Elect_Transfmr_39">#REF!</definedName>
    <definedName name="Parm_Elect_Transfmr_40">#REF!</definedName>
    <definedName name="Parm_Elect_Transfmr_41">#REF!</definedName>
    <definedName name="Parm_Elect_Transfmr_42">#REF!</definedName>
    <definedName name="Parm_Elect_Transfmr_43">#REF!</definedName>
    <definedName name="Parm_Elect_Transfmr_44">#REF!</definedName>
    <definedName name="Parm_Elect_Transfmr_45">#REF!</definedName>
    <definedName name="Parm_Elect_Transfmr_46">#REF!</definedName>
    <definedName name="Parm_Elect_Transfmr_47">#REF!</definedName>
    <definedName name="Parm_Elect_Transfmr_48">#REF!</definedName>
    <definedName name="Parm_Elect_Transfmr_49">#REF!</definedName>
    <definedName name="Parm_Elect_Transfmr_50">#REF!</definedName>
    <definedName name="Parm_Elect_Transfmr_51">#REF!</definedName>
    <definedName name="Parm_Elect_Transfmr_52">#REF!</definedName>
    <definedName name="Parm_Elect_Transfmr_53">#REF!</definedName>
    <definedName name="Parm_Elect_Transfmr_54">#REF!</definedName>
    <definedName name="Parm_Elect_Transfmr_55">#REF!</definedName>
    <definedName name="Parm_Elect_Transfmr_56">#REF!</definedName>
    <definedName name="Parm_Elect_Transfmr_57">#REF!</definedName>
    <definedName name="Parm_Elect_Transfmr_58">#REF!</definedName>
    <definedName name="Parm_Elect_Transfmr_59">#REF!</definedName>
    <definedName name="Parm_Elect_Transfmr_60">#REF!</definedName>
    <definedName name="Parm_Elect_Transfmr_61">#REF!</definedName>
    <definedName name="Parm_Elect_Transfmr_62">#REF!</definedName>
    <definedName name="Parm_Elect_Transfmr_63">#REF!</definedName>
    <definedName name="Parm_Elect_Transfmr_64">#REF!</definedName>
    <definedName name="Parm_Elect_Transfmr_65">#REF!</definedName>
    <definedName name="Parm_Elect_Transfmr_66">#REF!</definedName>
    <definedName name="Parm_Elect_Transfmr_67">#REF!</definedName>
    <definedName name="Parm_Elect_Transm_01">#REF!</definedName>
    <definedName name="Parm_Elect_Transm_02">#REF!</definedName>
    <definedName name="Parm_Elect_Transm_03">#REF!</definedName>
    <definedName name="Parm_Elect_Transm_04">#REF!</definedName>
    <definedName name="Parm_Elect_Transm_05">#REF!</definedName>
    <definedName name="Parm_Elect_Transm_06">#REF!</definedName>
    <definedName name="Parm_Elect_Transm_07">#REF!</definedName>
    <definedName name="Parm_Elect_Transm_08">#REF!</definedName>
    <definedName name="Parm_General_01">#REF!</definedName>
    <definedName name="Parm_General_02">#REF!</definedName>
    <definedName name="Parm_General_03">#REF!</definedName>
    <definedName name="Parm_General_04">#REF!</definedName>
    <definedName name="Parm_General_05">#REF!</definedName>
    <definedName name="Parm_General_06">#REF!</definedName>
    <definedName name="Parm_General_07">#REF!</definedName>
    <definedName name="Parm_General_08">#REF!</definedName>
    <definedName name="Parm_General_09">#REF!</definedName>
    <definedName name="Parm_Guar_Envirmt_01">#REF!</definedName>
    <definedName name="Parm_Guar_Envirmt_02">#REF!</definedName>
    <definedName name="Parm_Guar_Envirmt_03">#REF!</definedName>
    <definedName name="Parm_Guar_Envirmt_04">#REF!</definedName>
    <definedName name="Parm_Guar_Envirmt_05">#REF!</definedName>
    <definedName name="Parm_Guar_Envirmt_06">#REF!</definedName>
    <definedName name="Parm_Guar_Envirmt_07">#REF!</definedName>
    <definedName name="Parm_Guar_Envirmt_08">#REF!</definedName>
    <definedName name="Parm_Guar_Envirmt_09">#REF!</definedName>
    <definedName name="Parm_Guar_Envirmt_10">#REF!</definedName>
    <definedName name="Parm_Guar_Envirmt_11">#REF!</definedName>
    <definedName name="Parm_Guar_Envirmt_12">#REF!</definedName>
    <definedName name="Parm_Guar_Perf_01">#REF!</definedName>
    <definedName name="Parm_Guar_Perf_02">#REF!</definedName>
    <definedName name="Parm_Guar_Perf_03">#REF!</definedName>
    <definedName name="Parm_Guar_Perf_04">#REF!</definedName>
    <definedName name="Parm_Guar_Perf_05">#REF!</definedName>
    <definedName name="Parm_Guar_Perf_06">#REF!</definedName>
    <definedName name="Parm_Guar_Perf_07">#REF!</definedName>
    <definedName name="Parm_Guar_Perf_08">#REF!</definedName>
    <definedName name="Parm_Guar_Perf_09">#REF!</definedName>
    <definedName name="Parm_Guar_Perf_10">#REF!</definedName>
    <definedName name="Parm_Guar_Perf_11">#REF!</definedName>
    <definedName name="Parm_Guar_Perf_Marg_01">#REF!</definedName>
    <definedName name="Parm_Guar_Perf_Marg_02">#REF!</definedName>
    <definedName name="Parm_Guar_Perf_Marg_03">#REF!</definedName>
    <definedName name="Parm_Guar_Perf_Marg_04">#REF!</definedName>
    <definedName name="Parm_Guar_Perf_Marg_05">#REF!</definedName>
    <definedName name="Parm_Guar_Perf_Marg_06">#REF!</definedName>
    <definedName name="Parm_Guar_Perf_Marg_07">#REF!</definedName>
    <definedName name="Parm_Guar_Perf_Marg_08">#REF!</definedName>
    <definedName name="Parm_Guar_Perf_Marg_09">#REF!</definedName>
    <definedName name="Parm_Guar_Perf_Marg_10">#REF!</definedName>
    <definedName name="Parm_Guar_Perf_Marg_11">#REF!</definedName>
    <definedName name="Parm_Mech_Boiler_01">#REF!</definedName>
    <definedName name="Parm_Mech_Boiler_02">#REF!</definedName>
    <definedName name="Parm_Mech_Boiler_03">#REF!</definedName>
    <definedName name="Parm_Mech_Boiler_04">#REF!</definedName>
    <definedName name="Parm_Mech_Boiler_05">#REF!</definedName>
    <definedName name="Parm_Mech_Boiler_06">#REF!</definedName>
    <definedName name="Parm_Mech_Boiler_07">#REF!</definedName>
    <definedName name="Parm_Mech_Boiler_08">#REF!</definedName>
    <definedName name="Parm_Mech_Boiler_09">#REF!</definedName>
    <definedName name="Parm_Mech_Boiler_10">#REF!</definedName>
    <definedName name="Parm_Mech_Boiler_11">#REF!</definedName>
    <definedName name="Parm_Mech_Boiler_12">#REF!</definedName>
    <definedName name="Parm_Mech_Boiler_13">#REF!</definedName>
    <definedName name="Parm_Mech_Boiler_14">#REF!</definedName>
    <definedName name="Parm_Mech_Boiler_15">#REF!</definedName>
    <definedName name="Parm_Mech_Boiler_16">#REF!</definedName>
    <definedName name="Parm_Mech_Boiler_17">#REF!</definedName>
    <definedName name="Parm_Mech_Boiler_18">#REF!</definedName>
    <definedName name="Parm_Mech_Boiler_19">#REF!</definedName>
    <definedName name="Parm_Mech_Boiler_20">#REF!</definedName>
    <definedName name="Parm_Mech_Boiler_21">#REF!</definedName>
    <definedName name="Parm_Mech_Boiler_22">#REF!</definedName>
    <definedName name="Parm_Mech_Boiler_23">#REF!</definedName>
    <definedName name="Parm_Mech_Boiler_24">#REF!</definedName>
    <definedName name="Parm_Mech_BOP_01">#REF!</definedName>
    <definedName name="Parm_Mech_BOP_02">#REF!</definedName>
    <definedName name="Parm_Mech_BOP_03">#REF!</definedName>
    <definedName name="Parm_Mech_BOP_04">#REF!</definedName>
    <definedName name="Parm_Mech_BOP_05">#REF!</definedName>
    <definedName name="Parm_Mech_BOP_06">#REF!</definedName>
    <definedName name="Parm_Mech_BOP_07">#REF!</definedName>
    <definedName name="Parm_Mech_BOP_08">#REF!</definedName>
    <definedName name="Parm_Mech_BOP_09">#REF!</definedName>
    <definedName name="Parm_Mech_BOP_10">#REF!</definedName>
    <definedName name="Parm_Mech_BOP_11">#REF!</definedName>
    <definedName name="Parm_Mech_BOP_12">#REF!</definedName>
    <definedName name="Parm_Mech_BOP_13">#REF!</definedName>
    <definedName name="Parm_Mech_BOP_14">#REF!</definedName>
    <definedName name="Parm_Mech_BOP_15">#REF!</definedName>
    <definedName name="Parm_Mech_BOP_16">#REF!</definedName>
    <definedName name="Parm_Mech_BOP_17">#REF!</definedName>
    <definedName name="Parm_Mech_BOP_18">#REF!</definedName>
    <definedName name="Parm_Mech_BOP_19">#REF!</definedName>
    <definedName name="Parm_Mech_BOP_20">#REF!</definedName>
    <definedName name="Parm_Mech_BOP_21">#REF!</definedName>
    <definedName name="Parm_Mech_BOP_22">#REF!</definedName>
    <definedName name="Parm_Mech_BOP_23">#REF!</definedName>
    <definedName name="Parm_Mech_BOP_24">#REF!</definedName>
    <definedName name="Parm_Mech_BOP_25">#REF!</definedName>
    <definedName name="Parm_Mech_BOP_26">#REF!</definedName>
    <definedName name="Parm_Mech_BOP_27">#REF!</definedName>
    <definedName name="Parm_Mech_BOP_28">#REF!</definedName>
    <definedName name="Parm_Mech_BOP_29">#REF!</definedName>
    <definedName name="Parm_Mech_BOP_30">#REF!</definedName>
    <definedName name="Parm_Mech_BOP_31">#REF!</definedName>
    <definedName name="Parm_Mech_Emissions_01">#REF!</definedName>
    <definedName name="Parm_Mech_Emissions_02">#REF!</definedName>
    <definedName name="Parm_Mech_Emissions_03">#REF!</definedName>
    <definedName name="Parm_Mech_Emissions_04">#REF!</definedName>
    <definedName name="Parm_Mech_Emissions_05">#REF!</definedName>
    <definedName name="Parm_Mech_Emissions_06">#REF!</definedName>
    <definedName name="Parm_Mech_Emissions_07">#REF!</definedName>
    <definedName name="Parm_Mech_Emissions_08">#REF!</definedName>
    <definedName name="Parm_Mech_Emissions_09">#REF!</definedName>
    <definedName name="Parm_Mech_Emissions_10">#REF!</definedName>
    <definedName name="Parm_Mech_Emissions_11">#REF!</definedName>
    <definedName name="Parm_Mech_Emissions_12">#REF!</definedName>
    <definedName name="Parm_Mech_Emissions_13">#REF!</definedName>
    <definedName name="Parm_Mech_Emissions_14">#REF!</definedName>
    <definedName name="Parm_Mech_Emissions_15">#REF!</definedName>
    <definedName name="Parm_Mech_Emissions_16">#REF!</definedName>
    <definedName name="Parm_Mech_Emissions_17">#REF!</definedName>
    <definedName name="Parm_Mech_Emissions_18">#REF!</definedName>
    <definedName name="Parm_Mech_Emissions_19">#REF!</definedName>
    <definedName name="Parm_Mech_Emissions_20">#REF!</definedName>
    <definedName name="Parm_Mech_Emissions_21">#REF!</definedName>
    <definedName name="Parm_Mech_Emissions_22">#REF!</definedName>
    <definedName name="Parm_Mech_Emissions_23">#REF!</definedName>
    <definedName name="Parm_Mech_Emissions_24">#REF!</definedName>
    <definedName name="Parm_Mech_Emissions_25">#REF!</definedName>
    <definedName name="Parm_Mech_Emissions_26">#REF!</definedName>
    <definedName name="Parm_Mech_Emissions_27">#REF!</definedName>
    <definedName name="Parm_Mech_Emissions_28">#REF!</definedName>
    <definedName name="Parm_Mech_Emissions_29">#REF!</definedName>
    <definedName name="Parm_Mech_Emissions_30">#REF!</definedName>
    <definedName name="Parm_Mech_Fuel_01">#REF!</definedName>
    <definedName name="Parm_Mech_Fuel_02">#REF!</definedName>
    <definedName name="Parm_Mech_Fuel_03">#REF!</definedName>
    <definedName name="Parm_Mech_Fuel_04">#REF!</definedName>
    <definedName name="Parm_Mech_Fuel_05">#REF!</definedName>
    <definedName name="Parm_Mech_Fuel_06">#REF!</definedName>
    <definedName name="Parm_Mech_Fuel_07">#REF!</definedName>
    <definedName name="Parm_Mech_Fuel_08">#REF!</definedName>
    <definedName name="Parm_Mech_Fuel_09">#REF!</definedName>
    <definedName name="Parm_Mech_Fuel_10">#REF!</definedName>
    <definedName name="Parm_Mech_Fuel_11">#REF!</definedName>
    <definedName name="Parm_Mech_Fuel_12">#REF!</definedName>
    <definedName name="Parm_Mech_Fuel_13">#REF!</definedName>
    <definedName name="Parm_Mech_Fuel_14">#REF!</definedName>
    <definedName name="Parm_Mech_Fuel_15">#REF!</definedName>
    <definedName name="Parm_Mech_Fuel_16">#REF!</definedName>
    <definedName name="Parm_Mech_Mtlhd_01">#REF!</definedName>
    <definedName name="Parm_Mech_Mtlhd_02">#REF!</definedName>
    <definedName name="Parm_Mech_Mtlhd_03">#REF!</definedName>
    <definedName name="Parm_Mech_Mtlhd_04">#REF!</definedName>
    <definedName name="Parm_Mech_Mtlhd_05">#REF!</definedName>
    <definedName name="Parm_Mech_Mtlhd_06">#REF!</definedName>
    <definedName name="Parm_Mech_Mtlhd_07">#REF!</definedName>
    <definedName name="Parm_Mech_Mtlhd_08">#REF!</definedName>
    <definedName name="Parm_Mech_Mtlhd_09">#REF!</definedName>
    <definedName name="Parm_Mech_Mtlhd_10">#REF!</definedName>
    <definedName name="Parm_Mech_Mtlhd_11">#REF!</definedName>
    <definedName name="Parm_Mech_Mtlhd_12">#REF!</definedName>
    <definedName name="Parm_Mech_Mtlhd_13">#REF!</definedName>
    <definedName name="Parm_Mech_Mtlhd_14">#REF!</definedName>
    <definedName name="Parm_Mech_Mtlhd_15">#REF!</definedName>
    <definedName name="Parm_Mech_Mtlhd_16">#REF!</definedName>
    <definedName name="Parm_Mech_Mtlhd_17">#REF!</definedName>
    <definedName name="Parm_Mech_STG_01">#REF!</definedName>
    <definedName name="Parm_Mech_STG_02">#REF!</definedName>
    <definedName name="Parm_Mech_STG_03">#REF!</definedName>
    <definedName name="Parm_Mech_STG_04">#REF!</definedName>
    <definedName name="Parm_Mech_STG_05">#REF!</definedName>
    <definedName name="Parm_Mech_STG_06">#REF!</definedName>
    <definedName name="Parm_Mech_STG_07">#REF!</definedName>
    <definedName name="Parm_Mech_STG_08">#REF!</definedName>
    <definedName name="Parm_Mech_STG_09">#REF!</definedName>
    <definedName name="Parm_Mech_STG_10">#REF!</definedName>
    <definedName name="Parm_Mech_STG_11">#REF!</definedName>
    <definedName name="Parm_Mech_STG_12">#REF!</definedName>
    <definedName name="Parm_Mech_STG_13">#REF!</definedName>
    <definedName name="Parm_Mech_STG_14">#REF!</definedName>
    <definedName name="Parm_Mech_STG_15">#REF!</definedName>
    <definedName name="Parm_Mech_STG_16">#REF!</definedName>
    <definedName name="Parm_Mech_STG_17">#REF!</definedName>
    <definedName name="Parm_Mech_STG_18">#REF!</definedName>
    <definedName name="Parm_Mech_STG_19">#REF!</definedName>
    <definedName name="Parm_Mech_STG_20">#REF!</definedName>
    <definedName name="Parm_Mech_STG_21">#REF!</definedName>
    <definedName name="Parm_Mech_Storage_01">#REF!</definedName>
    <definedName name="Parm_Mech_Storage_02">#REF!</definedName>
    <definedName name="Parm_Mech_Storage_03">#REF!</definedName>
    <definedName name="Parm_Mech_Storage_04">#REF!</definedName>
    <definedName name="Parm_Mech_Storage_05">#REF!</definedName>
    <definedName name="Parm_Mech_Storage_06">#REF!</definedName>
    <definedName name="Parm_Mech_Storage_07">#REF!</definedName>
    <definedName name="Parm_Mech_Storage_08">#REF!</definedName>
    <definedName name="Parm_Mech_Storage_09">#REF!</definedName>
    <definedName name="Parm_Mech_Storage_10">#REF!</definedName>
    <definedName name="Parm_Mech_Storage_11">#REF!</definedName>
    <definedName name="Parm_Plant_Design_01">#REF!</definedName>
    <definedName name="Parm_Plant_Design_02">#REF!</definedName>
    <definedName name="Parm_Plant_Design_03">#REF!</definedName>
    <definedName name="Parm_Plant_Design_04">#REF!</definedName>
    <definedName name="Parm_Plant_Design_05">#REF!</definedName>
    <definedName name="Parm_Plant_Design_06">#REF!</definedName>
    <definedName name="Parm_Plant_Design_07">#REF!</definedName>
    <definedName name="Parm_Plant_Design_08">#REF!</definedName>
    <definedName name="Parm_Plant_Design_09">#REF!</definedName>
    <definedName name="Parm_Plant_Design_10">#REF!</definedName>
    <definedName name="Parm_Plant_Design_11">#REF!</definedName>
    <definedName name="Parm_Plant_Design_12">#REF!</definedName>
    <definedName name="Parm_Plant_Design_13">#REF!</definedName>
    <definedName name="Parm_Plant_Design_14">#REF!</definedName>
    <definedName name="Parm_Plant_Design_15">#REF!</definedName>
    <definedName name="Parm_Plant_Design_16">#REF!</definedName>
    <definedName name="Parm_Plant_Design_17">#REF!</definedName>
    <definedName name="Parm_Plant_Design_18">#REF!</definedName>
    <definedName name="Parm_Plant_Design_19">#REF!</definedName>
    <definedName name="Parm_Plant_Design_20">#REF!</definedName>
    <definedName name="Parm_Plant_Design_21">#REF!</definedName>
    <definedName name="Parm_Plant_Design_22">#REF!</definedName>
    <definedName name="Parm_Plant_Design_23">#REF!</definedName>
    <definedName name="Parm_Plant_Design_24">#REF!</definedName>
    <definedName name="Parm_Plant_Design_25">#REF!</definedName>
    <definedName name="Parm_Plant_Design_26">#REF!</definedName>
    <definedName name="Parm_Plant_Design_27">#REF!</definedName>
    <definedName name="Parm_Plant_Design_28">#REF!</definedName>
    <definedName name="Parm_Plant_Design_29">#REF!</definedName>
    <definedName name="part">'[259]RA-markate'!$A$389:$B$1034</definedName>
    <definedName name="PAS">#REF!</definedName>
    <definedName name="PASPE">#REF!</definedName>
    <definedName name="password">#REF!</definedName>
    <definedName name="PasteRange">#REF!</definedName>
    <definedName name="Pat">[28]!Pat</definedName>
    <definedName name="PATHWAY">#REF!</definedName>
    <definedName name="PAVING">#REF!</definedName>
    <definedName name="Paving_Data">#REF!</definedName>
    <definedName name="pavior">#REF!</definedName>
    <definedName name="paviorg">#REF!</definedName>
    <definedName name="PAY">#REF!</definedName>
    <definedName name="payback_gross">#REF!</definedName>
    <definedName name="payback_net">#REF!</definedName>
    <definedName name="PAYCRIT">#REF!</definedName>
    <definedName name="PAYITEM">#REF!</definedName>
    <definedName name="Payment_Date___0">#N/A</definedName>
    <definedName name="Payment_Date___10">#N/A</definedName>
    <definedName name="Payment_Date___2">#N/A</definedName>
    <definedName name="Payment_Date___3">#N/A</definedName>
    <definedName name="Payment_Date___4">#N/A</definedName>
    <definedName name="Payment_Date___5">#N/A</definedName>
    <definedName name="Payment_Date___6">#N/A</definedName>
    <definedName name="Payment_Date___7">#N/A</definedName>
    <definedName name="Payment_Date___8">#N/A</definedName>
    <definedName name="Payment_Date___9">#N/A</definedName>
    <definedName name="PAYMENT_SCHEDUL">'[29]Raw Data'!$X$185</definedName>
    <definedName name="PAYROLL">#REF!</definedName>
    <definedName name="PBA2L">[50]Factors!$E$33</definedName>
    <definedName name="PBA2M">[50]Factors!$E$32</definedName>
    <definedName name="PBALV100">#REF!</definedName>
    <definedName name="PBALV150">#REF!</definedName>
    <definedName name="PBALV20">#REF!</definedName>
    <definedName name="PBALV25">#REF!</definedName>
    <definedName name="PBALV50">#REF!</definedName>
    <definedName name="PBALV65">#REF!</definedName>
    <definedName name="PBALV80">#REF!</definedName>
    <definedName name="PBFLV25">#REF!</definedName>
    <definedName name="PBFV100">#REF!</definedName>
    <definedName name="PBFV150">#REF!</definedName>
    <definedName name="PBFV65">#REF!</definedName>
    <definedName name="PBFV80">#REF!</definedName>
    <definedName name="pbr">[103]Factors!$G$46</definedName>
    <definedName name="Pbx">[217]Design!#REF!</definedName>
    <definedName name="Pby">[217]Design!#REF!</definedName>
    <definedName name="PC_Hrs1">#REF!</definedName>
    <definedName name="PC_HRS2">#REF!</definedName>
    <definedName name="pcb">#REF!</definedName>
    <definedName name="pcbeam">#REF!</definedName>
    <definedName name="pcblk">#REF!</definedName>
    <definedName name="pcc">[194]concrete!$L$114</definedName>
    <definedName name="pcc_utility">#REF!</definedName>
    <definedName name="pccol">#REF!</definedName>
    <definedName name="pccut">#REF!</definedName>
    <definedName name="PCHAM.PTADJ">[69]Summary!$HC$193:$HC$194</definedName>
    <definedName name="pclouvre">#REF!</definedName>
    <definedName name="PCNOW.PTADJ">[69]Summary!$HC$195:$HC$196</definedName>
    <definedName name="PCWA.PTADJ">[69]Summary!$HC$197:$HC$198</definedName>
    <definedName name="pd">#REF!</definedName>
    <definedName name="pdf">#REF!</definedName>
    <definedName name="pdirect">#REF!</definedName>
    <definedName name="pdisr">[103]Factors!$G$47</definedName>
    <definedName name="pdrop1">#REF!</definedName>
    <definedName name="pdrop2">#REF!</definedName>
    <definedName name="pe.100">#REF!</definedName>
    <definedName name="pe.125">#REF!</definedName>
    <definedName name="pe.15">#REF!</definedName>
    <definedName name="pe.150">#REF!</definedName>
    <definedName name="pe.20">#REF!</definedName>
    <definedName name="pe.200">#REF!</definedName>
    <definedName name="pe.25">#REF!</definedName>
    <definedName name="pe.250">#REF!</definedName>
    <definedName name="pe.32">#REF!</definedName>
    <definedName name="pe.40">#REF!</definedName>
    <definedName name="pe.50">#REF!</definedName>
    <definedName name="pe.65">#REF!</definedName>
    <definedName name="pe.80">#REF!</definedName>
    <definedName name="PE10_110">#REF!</definedName>
    <definedName name="PE10_16">#REF!</definedName>
    <definedName name="PE10_160">#REF!</definedName>
    <definedName name="PE10_20">#REF!</definedName>
    <definedName name="PE10_200">#REF!</definedName>
    <definedName name="PE10_25">#REF!</definedName>
    <definedName name="PE10_250">#REF!</definedName>
    <definedName name="PE10_300">#REF!</definedName>
    <definedName name="PE10_32">#REF!</definedName>
    <definedName name="PE10_350">#REF!</definedName>
    <definedName name="PE10_40">#REF!</definedName>
    <definedName name="PE10_50">#REF!</definedName>
    <definedName name="PE10_63">#REF!</definedName>
    <definedName name="PE10_75">#REF!</definedName>
    <definedName name="PE10_90">#REF!</definedName>
    <definedName name="PE10_f110">#REF!</definedName>
    <definedName name="PE10_f16">#REF!</definedName>
    <definedName name="PE10_f160">#REF!</definedName>
    <definedName name="PE10_f20">#REF!</definedName>
    <definedName name="PE10_f200">#REF!</definedName>
    <definedName name="PE10_f25">#REF!</definedName>
    <definedName name="PE10_f250">#REF!</definedName>
    <definedName name="PE10_f300">#REF!</definedName>
    <definedName name="PE10_f32">#REF!</definedName>
    <definedName name="PE10_f350">#REF!</definedName>
    <definedName name="PE10_f40">#REF!</definedName>
    <definedName name="PE10_f50">#REF!</definedName>
    <definedName name="PE10_f63">#REF!</definedName>
    <definedName name="PE10_f75">#REF!</definedName>
    <definedName name="PE10_f90">#REF!</definedName>
    <definedName name="PE10_L110">#REF!</definedName>
    <definedName name="PE10_L16">#REF!</definedName>
    <definedName name="PE10_L160">#REF!</definedName>
    <definedName name="PE10_L20">#REF!</definedName>
    <definedName name="PE10_L200">#REF!</definedName>
    <definedName name="PE10_L25">#REF!</definedName>
    <definedName name="PE10_L250">#REF!</definedName>
    <definedName name="PE10_L300">#REF!</definedName>
    <definedName name="PE10_L32">#REF!</definedName>
    <definedName name="PE10_L350">#REF!</definedName>
    <definedName name="PE10_L40">#REF!</definedName>
    <definedName name="PE10_L50">#REF!</definedName>
    <definedName name="PE10_L63">#REF!</definedName>
    <definedName name="PE10_L75">#REF!</definedName>
    <definedName name="PE10_L90">#REF!</definedName>
    <definedName name="PE16_110">[49]Factors!$I$232</definedName>
    <definedName name="PE16_16">#REF!</definedName>
    <definedName name="PE16_160">#REF!</definedName>
    <definedName name="PE16_20">#REF!</definedName>
    <definedName name="PE16_200">#REF!</definedName>
    <definedName name="PE16_25">#REF!</definedName>
    <definedName name="PE16_250">#REF!</definedName>
    <definedName name="PE16_300">#REF!</definedName>
    <definedName name="PE16_32">#REF!</definedName>
    <definedName name="PE16_350">#REF!</definedName>
    <definedName name="PE16_40">#REF!</definedName>
    <definedName name="PE16_50">#REF!</definedName>
    <definedName name="PE16_63">#REF!</definedName>
    <definedName name="PE16_75">#REF!</definedName>
    <definedName name="PE16_90">#REF!</definedName>
    <definedName name="PE16_f110">#REF!</definedName>
    <definedName name="PE16_f16">#REF!</definedName>
    <definedName name="PE16_f160">#REF!</definedName>
    <definedName name="PE16_f20">#REF!</definedName>
    <definedName name="PE16_f200">#REF!</definedName>
    <definedName name="PE16_f25">#REF!</definedName>
    <definedName name="PE16_f250">#REF!</definedName>
    <definedName name="PE16_f300">#REF!</definedName>
    <definedName name="PE16_f32">#REF!</definedName>
    <definedName name="PE16_f350">#REF!</definedName>
    <definedName name="PE16_f40">#REF!</definedName>
    <definedName name="PE16_f50">#REF!</definedName>
    <definedName name="PE16_f63">#REF!</definedName>
    <definedName name="PE16_f75">#REF!</definedName>
    <definedName name="PE16_f90">#REF!</definedName>
    <definedName name="PE16_L110">#REF!</definedName>
    <definedName name="PE16_L16">#REF!</definedName>
    <definedName name="PE16_L160">#REF!</definedName>
    <definedName name="PE16_L20">#REF!</definedName>
    <definedName name="PE16_L200">#REF!</definedName>
    <definedName name="PE16_L25">#REF!</definedName>
    <definedName name="PE16_L250">#REF!</definedName>
    <definedName name="PE16_L300">#REF!</definedName>
    <definedName name="PE16_L32">#REF!</definedName>
    <definedName name="PE16_L350">#REF!</definedName>
    <definedName name="PE16_L40">#REF!</definedName>
    <definedName name="PE16_L50">#REF!</definedName>
    <definedName name="PE16_L63">#REF!</definedName>
    <definedName name="PE16_L75">#REF!</definedName>
    <definedName name="PE16_L90">#REF!</definedName>
    <definedName name="pebbleband">#REF!</definedName>
    <definedName name="pebbleflr">#REF!</definedName>
    <definedName name="pebblestep">#REF!</definedName>
    <definedName name="pebblewall">#REF!</definedName>
    <definedName name="pebblewash">#REF!</definedName>
    <definedName name="pedbas">'[201]Unit Rates-Duty Free'!$AA$309</definedName>
    <definedName name="pendent">#REF!</definedName>
    <definedName name="penetron">#REF!</definedName>
    <definedName name="Period">[72]INPUT!$B$12</definedName>
    <definedName name="Period_Const">'[34]#REF'!$E$31</definedName>
    <definedName name="Period_Excav">#REF!</definedName>
    <definedName name="Period_Struc">#REF!</definedName>
    <definedName name="peroxide" hidden="1">{#N/A,#N/A,FALSE,"CCTV"}</definedName>
    <definedName name="Perp">[251]Perp!$B$6:$J$298</definedName>
    <definedName name="Persh">[50]Factors!$D$377</definedName>
    <definedName name="PESO">#REF!</definedName>
    <definedName name="pext">#REF!</definedName>
    <definedName name="pf">'[139]Basement2 DB'!$M$2</definedName>
    <definedName name="PFJR100">#REF!</definedName>
    <definedName name="PFJR65">#REF!</definedName>
    <definedName name="PFJSUS15">#REF!</definedName>
    <definedName name="PFJSUS20">#REF!</definedName>
    <definedName name="PFJSUS25">#REF!</definedName>
    <definedName name="PFJSUS50">#REF!</definedName>
    <definedName name="PFSR">#REF!</definedName>
    <definedName name="PH.1">#REF!</definedName>
    <definedName name="ph1a">'[61]Cash Flow'!#REF!</definedName>
    <definedName name="ph1b">'[61]Cash Flow'!#REF!</definedName>
    <definedName name="ph1c">'[61]Cash Flow'!#REF!</definedName>
    <definedName name="Phase1and2_Area_of_Site">#REF!</definedName>
    <definedName name="Phase1and2_Creek_Area">#REF!</definedName>
    <definedName name="Phase1and2_Key_Wall_Length">#REF!</definedName>
    <definedName name="Phase1and2_Nof_BlocksperRow">#REF!</definedName>
    <definedName name="Phase3_Area_of_Site">#REF!</definedName>
    <definedName name="Phase3_Creek_Area">#REF!</definedName>
    <definedName name="Phase3_Key_Wall_Length">#REF!</definedName>
    <definedName name="Phase3_Nof_BlocksperRow">#REF!</definedName>
    <definedName name="PHD_rate">[90]Inputs!$G$5</definedName>
    <definedName name="phdpe">#REF!</definedName>
    <definedName name="Phone">#REF!</definedName>
    <definedName name="phonerange">[81]Phone_Sale!$A$2:$B$107</definedName>
    <definedName name="phoneunits">[81]Phone_Sale!$B$2:$B$107</definedName>
    <definedName name="pi.350">#REF!</definedName>
    <definedName name="pi.400">#REF!</definedName>
    <definedName name="pi.450">#REF!</definedName>
    <definedName name="PI.500">[50]Factors!$N$432</definedName>
    <definedName name="PI.90">#REF!</definedName>
    <definedName name="PID.8">#REF!</definedName>
    <definedName name="PIDF.8">#REF!</definedName>
    <definedName name="PIDL.8">#REF!</definedName>
    <definedName name="Pier_Cap_Data">#REF!</definedName>
    <definedName name="PIER_CAPS">#REF!</definedName>
    <definedName name="PIHUZOKU">#REF!</definedName>
    <definedName name="pile450">#REF!</definedName>
    <definedName name="pile600">#REF!</definedName>
    <definedName name="pilecap">#REF!</definedName>
    <definedName name="Piling_1m">#REF!</definedName>
    <definedName name="pillers">[194]concrete!$L$194</definedName>
    <definedName name="pipe.gi2">#REF!</definedName>
    <definedName name="PIPE_1">#REF!</definedName>
    <definedName name="PIPE_CLASS">#REF!</definedName>
    <definedName name="pipe_rack">#REF!</definedName>
    <definedName name="PIPE_RACK_TRAY">#REF!</definedName>
    <definedName name="pipe25">[221]SPRINKLER!$E$25</definedName>
    <definedName name="pipe3">'[4]5-pipe'!#REF!</definedName>
    <definedName name="pipe32">[221]SPRINKLER!$E$26</definedName>
    <definedName name="pipe50">[221]SPRINKLER!$E$27</definedName>
    <definedName name="PIPE50_CITY">#REF!</definedName>
    <definedName name="PIPE50_ESC">#REF!</definedName>
    <definedName name="PIPE50_OLD_CITY">#REF!</definedName>
    <definedName name="PIPE50_OLD_ESC">#REF!</definedName>
    <definedName name="PIPE50_OLD_PROD">#REF!</definedName>
    <definedName name="PIPE50_OLD_WAGE">#REF!</definedName>
    <definedName name="PIPE50_PROD">#REF!</definedName>
    <definedName name="PIPE50_WAGE">#REF!</definedName>
    <definedName name="PipeInfo">#REF!</definedName>
    <definedName name="PipeR">#N/A</definedName>
    <definedName name="PipeR_10">#N/A</definedName>
    <definedName name="PipeR_4">#REF!</definedName>
    <definedName name="PipeR_9">#N/A</definedName>
    <definedName name="PISIJI">#REF!</definedName>
    <definedName name="PK">'[260]conc-foot-gradeslab'!#REF!</definedName>
    <definedName name="pkerb">#REF!</definedName>
    <definedName name="PKK">'[260]conc-foot-gradeslab'!#REF!</definedName>
    <definedName name="PKZ">[261]Definitions!$B$3</definedName>
    <definedName name="pl">#REF!</definedName>
    <definedName name="pl.box">#REF!</definedName>
    <definedName name="pla">"$#REF!.$C$14"</definedName>
    <definedName name="pla_10">"$#REF!.$C$14"</definedName>
    <definedName name="pla_9">"$#REF!.$C$14"</definedName>
    <definedName name="plainsp">#REF!</definedName>
    <definedName name="PLAN">#REF!</definedName>
    <definedName name="pland">#REF!</definedName>
    <definedName name="planicrete">#REF!</definedName>
    <definedName name="planitop">#REF!</definedName>
    <definedName name="planning">'[262]INPUT SHEET'!$B$740:$C$767</definedName>
    <definedName name="Plant">[238]Rates!$B$42:$B$109</definedName>
    <definedName name="Plant_Name">'[223]Rate Sheet'!$B$49:$B$125</definedName>
    <definedName name="Plant_RBD">'[225]2.Machinery'!$B$6:$E$12</definedName>
    <definedName name="PlantName">#REF!</definedName>
    <definedName name="PlantName_RBD">'[225]2.Machinery'!$B$6:$B$12</definedName>
    <definedName name="PlantPPH">#REF!</definedName>
    <definedName name="Plantroom">#REF!</definedName>
    <definedName name="PLANTS">#REF!</definedName>
    <definedName name="PlantType">#REF!</definedName>
    <definedName name="plaster20mm">#REF!</definedName>
    <definedName name="plaster20mmext">'[134]SCH3'!$I$1</definedName>
    <definedName name="plaster20mmint">'[134]SCH3'!$J$1</definedName>
    <definedName name="plasterwithsteeltrowel20mm">#REF!</definedName>
    <definedName name="plasticiser">#REF!</definedName>
    <definedName name="plasticiser2">#REF!</definedName>
    <definedName name="plastikol">#REF!</definedName>
    <definedName name="plate_weight">#REF!</definedName>
    <definedName name="Platform_Fitout">#REF!</definedName>
    <definedName name="plbeams">#REF!</definedName>
    <definedName name="pls" hidden="1">#REF!</definedName>
    <definedName name="plu">#REF!</definedName>
    <definedName name="PLUG">#REF!</definedName>
    <definedName name="plumb">[174]Schedules!$A$5:$E$25</definedName>
    <definedName name="Plumbing">#REF!</definedName>
    <definedName name="plwg">#REF!</definedName>
    <definedName name="ply.door">#REF!</definedName>
    <definedName name="ply.door.m">#REF!</definedName>
    <definedName name="pm">"$#REF!.$#REF!$#REF!"</definedName>
    <definedName name="PM_Hrs">#REF!</definedName>
    <definedName name="PM_Rev">#REF!</definedName>
    <definedName name="pme">#REF!</definedName>
    <definedName name="pmf">[165]Factors!#REF!</definedName>
    <definedName name="pmirror">#REF!</definedName>
    <definedName name="PN">#REF!</definedName>
    <definedName name="pnsc">#REF!</definedName>
    <definedName name="pnss">#REF!</definedName>
    <definedName name="po">#REF!</definedName>
    <definedName name="PO_HRS">'[29]Raw Data'!$E$5</definedName>
    <definedName name="pofcv100">#REF!</definedName>
    <definedName name="pofcv125">#REF!</definedName>
    <definedName name="pofcv15">#REF!</definedName>
    <definedName name="pofcv150">#REF!</definedName>
    <definedName name="pofcv20">#REF!</definedName>
    <definedName name="pofcv25">#REF!</definedName>
    <definedName name="pofcv32">#REF!</definedName>
    <definedName name="pofcv40">#REF!</definedName>
    <definedName name="pofcv50">#REF!</definedName>
    <definedName name="pofcv65">#REF!</definedName>
    <definedName name="pofcv80">#REF!</definedName>
    <definedName name="poh">#REF!</definedName>
    <definedName name="poh_2">#REF!</definedName>
    <definedName name="POHA">#REF!</definedName>
    <definedName name="pohd">[238]Drainage!$G$3</definedName>
    <definedName name="pohe">#REF!</definedName>
    <definedName name="POHF">[241]BOQ!#REF!</definedName>
    <definedName name="poiuytr">#REF!</definedName>
    <definedName name="pol">#REF!</definedName>
    <definedName name="poli">#REF!</definedName>
    <definedName name="poly1">#REF!</definedName>
    <definedName name="poly2">#REF!</definedName>
    <definedName name="poly3">#REF!</definedName>
    <definedName name="polyinsulation50">#REF!</definedName>
    <definedName name="Polyinsulation50thk">'[71]Build Up rate'!$D$25</definedName>
    <definedName name="polythene">#REF!</definedName>
    <definedName name="pon">#REF!</definedName>
    <definedName name="pool">#REF!</definedName>
    <definedName name="pooltile">#REF!</definedName>
    <definedName name="POPidsToExcel">#REF!</definedName>
    <definedName name="Port1" hidden="1">{#N/A,#N/A,FALSE,"特殊室（ＢＱ表）"}</definedName>
    <definedName name="port11" hidden="1">{#N/A,#N/A,FALSE,"特殊室（ＢＱ表）"}</definedName>
    <definedName name="POSTL">#REF!</definedName>
    <definedName name="POSTM">#REF!</definedName>
    <definedName name="posttensionarearate">#REF!</definedName>
    <definedName name="posttensiontonrate">#REF!</definedName>
    <definedName name="pound">#REF!</definedName>
    <definedName name="powerfloat">#REF!</definedName>
    <definedName name="powergro">#REF!</definedName>
    <definedName name="pp">'[214]Material Prices'!$A$5:'[214]Material Prices'!$A$5:$F$65536</definedName>
    <definedName name="ppiling">#REF!</definedName>
    <definedName name="pplank">#REF!</definedName>
    <definedName name="pplank2">#REF!</definedName>
    <definedName name="PPnE_turns_fore">#REF!</definedName>
    <definedName name="PPPP">#REF!</definedName>
    <definedName name="pppppp">'[4]13-septic'!#REF!</definedName>
    <definedName name="ppr">'[169]BOQ PL'!#REF!</definedName>
    <definedName name="PPR.110">#REF!</definedName>
    <definedName name="ppr.125">#REF!</definedName>
    <definedName name="ppr.150">#REF!</definedName>
    <definedName name="PPR.160">#REF!</definedName>
    <definedName name="ppr.200">#REF!</definedName>
    <definedName name="ppr.250">#REF!</definedName>
    <definedName name="ppr.300">#REF!</definedName>
    <definedName name="ppr.32">#REF!</definedName>
    <definedName name="ppr.40">#REF!</definedName>
    <definedName name="ppr.50">#REF!</definedName>
    <definedName name="PPR.63">#REF!</definedName>
    <definedName name="ppr.c.5">#REF!</definedName>
    <definedName name="ppr.c.5_10">"$#REF!.$I$34"</definedName>
    <definedName name="ppr.c.5_4">#REF!</definedName>
    <definedName name="ppr.c.5_5">#REF!</definedName>
    <definedName name="ppr.c.5_9">"$#REF!.$I$34"</definedName>
    <definedName name="ppr.c.75">#REF!</definedName>
    <definedName name="ppr.c.75_10">"$#REF!.$I$33"</definedName>
    <definedName name="ppr.c.75_4">#REF!</definedName>
    <definedName name="ppr.c.75_5">#REF!</definedName>
    <definedName name="ppr.c.75_9">"$#REF!.$I$33"</definedName>
    <definedName name="ppr.c1">#REF!</definedName>
    <definedName name="ppr.c1.5">#REF!</definedName>
    <definedName name="ppr.c1.5_10">"$#REF!.$I$31"</definedName>
    <definedName name="ppr.c1.5_4">#REF!</definedName>
    <definedName name="ppr.c1.5_5">#REF!</definedName>
    <definedName name="ppr.c1.5_9">"$#REF!.$I$31"</definedName>
    <definedName name="ppr.c1_10">"$#REF!.$I$32"</definedName>
    <definedName name="ppr.c1_4">#REF!</definedName>
    <definedName name="ppr.c1_5">#REF!</definedName>
    <definedName name="ppr.c1_9">"$#REF!.$I$32"</definedName>
    <definedName name="ppr.c2">#REF!</definedName>
    <definedName name="ppr.c2.5">#REF!</definedName>
    <definedName name="ppr.c2.5_10">"$#REF!.$I$29"</definedName>
    <definedName name="ppr.c2.5_4">#REF!</definedName>
    <definedName name="ppr.c2.5_5">#REF!</definedName>
    <definedName name="ppr.c2.5_9">"$#REF!.$I$29"</definedName>
    <definedName name="ppr.c2_10">"$#REF!.$I$30"</definedName>
    <definedName name="ppr.c2_4">#REF!</definedName>
    <definedName name="ppr.c2_5">#REF!</definedName>
    <definedName name="ppr.c2_9">"$#REF!.$I$30"</definedName>
    <definedName name="ppr.c3">#REF!</definedName>
    <definedName name="ppr.c3_10">"$#REF!.$I$28"</definedName>
    <definedName name="ppr.c3_4">#REF!</definedName>
    <definedName name="ppr.c3_5">#REF!</definedName>
    <definedName name="ppr.c3_9">"$#REF!.$I$28"</definedName>
    <definedName name="ppr.c4">#REF!</definedName>
    <definedName name="ppr.c4_10">"$#REF!.$I$27"</definedName>
    <definedName name="ppr.c4_4">#REF!</definedName>
    <definedName name="ppr.c4_5">#REF!</definedName>
    <definedName name="ppr.c4_9">"$#REF!.$I$27"</definedName>
    <definedName name="ppr.c6">#REF!</definedName>
    <definedName name="ppr.c6_10">"$#REF!.$I$26"</definedName>
    <definedName name="ppr.c6_4">#REF!</definedName>
    <definedName name="ppr.c6_5">#REF!</definedName>
    <definedName name="ppr.c6_9">"$#REF!.$I$26"</definedName>
    <definedName name="ppr.h.5">#REF!</definedName>
    <definedName name="ppr.h.5_10">"$#REF!.$J$34"</definedName>
    <definedName name="ppr.h.5_4">#REF!</definedName>
    <definedName name="ppr.h.5_5">#REF!</definedName>
    <definedName name="ppr.h.5_9">"$#REF!.$J$34"</definedName>
    <definedName name="ppr.h.75">#REF!</definedName>
    <definedName name="ppr.h.75_10">"$#REF!.$J$33"</definedName>
    <definedName name="ppr.h.75_4">#REF!</definedName>
    <definedName name="ppr.h.75_5">#REF!</definedName>
    <definedName name="ppr.h.75_9">"$#REF!.$J$33"</definedName>
    <definedName name="ppr.h1">#REF!</definedName>
    <definedName name="ppr.h1.5">#REF!</definedName>
    <definedName name="ppr.h1.5_10">"$#REF!.$J$31"</definedName>
    <definedName name="ppr.h1.5_4">#REF!</definedName>
    <definedName name="ppr.h1.5_5">#REF!</definedName>
    <definedName name="ppr.h1.5_9">"$#REF!.$J$31"</definedName>
    <definedName name="ppr.h1_10">"$#REF!.$J$32"</definedName>
    <definedName name="ppr.h1_4">#REF!</definedName>
    <definedName name="ppr.h1_5">#REF!</definedName>
    <definedName name="ppr.h1_9">"$#REF!.$J$32"</definedName>
    <definedName name="ppr.h2">#REF!</definedName>
    <definedName name="ppr.h2.5">#REF!</definedName>
    <definedName name="ppr.h2.5_10">"$#REF!.$J$29"</definedName>
    <definedName name="ppr.h2.5_4">#REF!</definedName>
    <definedName name="ppr.h2.5_5">#REF!</definedName>
    <definedName name="ppr.h2.5_9">"$#REF!.$J$29"</definedName>
    <definedName name="ppr.h2_10">"$#REF!.$J$30"</definedName>
    <definedName name="ppr.h2_4">#REF!</definedName>
    <definedName name="ppr.h2_5">#REF!</definedName>
    <definedName name="ppr.h2_9">"$#REF!.$J$30"</definedName>
    <definedName name="ppr.h3">#REF!</definedName>
    <definedName name="ppr.h3_10">"$#REF!.$J$28"</definedName>
    <definedName name="ppr.h3_4">#REF!</definedName>
    <definedName name="ppr.h3_5">#REF!</definedName>
    <definedName name="ppr.h3_9">"$#REF!.$J$28"</definedName>
    <definedName name="ppr.h4">#REF!</definedName>
    <definedName name="ppr.h4_10">"$#REF!.$J$27"</definedName>
    <definedName name="ppr.h4_4">#REF!</definedName>
    <definedName name="ppr.h4_5">#REF!</definedName>
    <definedName name="ppr.h4_9">"$#REF!.$J$27"</definedName>
    <definedName name="ppr.h6">#REF!</definedName>
    <definedName name="ppr.h6_10">"$#REF!.$J$26"</definedName>
    <definedName name="ppr.h6_4">#REF!</definedName>
    <definedName name="ppr.h6_5">#REF!</definedName>
    <definedName name="ppr.h6_9">"$#REF!.$J$26"</definedName>
    <definedName name="PPR.IN">#REF!</definedName>
    <definedName name="ppr10_110">[49]Factors!$I$206</definedName>
    <definedName name="ppr10_15">#REF!</definedName>
    <definedName name="ppr10_160">#REF!</definedName>
    <definedName name="ppr10_20">[49]Factors!$I$198</definedName>
    <definedName name="ppr10_200">#REF!</definedName>
    <definedName name="ppr10_25">[49]Factors!$I$199</definedName>
    <definedName name="ppr10_250">#REF!</definedName>
    <definedName name="ppr10_315">#REF!</definedName>
    <definedName name="ppr10_32">[49]Factors!$I$200</definedName>
    <definedName name="ppr10_355">#REF!</definedName>
    <definedName name="ppr10_40">[49]Factors!$I$201</definedName>
    <definedName name="ppr10_50">[49]Factors!$I$202</definedName>
    <definedName name="ppr10_63">[49]Factors!$I$203</definedName>
    <definedName name="ppr10_75">[49]Factors!$I$204</definedName>
    <definedName name="ppr10_90">[49]Factors!$I$205</definedName>
    <definedName name="ppr10_f110">[49]Factors!$K$206</definedName>
    <definedName name="ppr10_f15">#REF!</definedName>
    <definedName name="ppr10_f160">#REF!</definedName>
    <definedName name="ppr10_f20">#REF!</definedName>
    <definedName name="ppr10_f25">[49]Factors!$K$199</definedName>
    <definedName name="ppr10_f32">[49]Factors!$K$200</definedName>
    <definedName name="ppr10_f40">[49]Factors!$K$201</definedName>
    <definedName name="ppr10_f50">[49]Factors!$K$202</definedName>
    <definedName name="ppr10_f63">[49]Factors!$K$203</definedName>
    <definedName name="ppr10_f75">[49]Factors!$K$204</definedName>
    <definedName name="ppr10_f90">[49]Factors!$K$205</definedName>
    <definedName name="ppr10_L110">[49]Factors!$J$206</definedName>
    <definedName name="ppr10_L15">#REF!</definedName>
    <definedName name="ppr10_L160">#REF!</definedName>
    <definedName name="ppr10_L20">[49]Factors!$J$198</definedName>
    <definedName name="ppr10_L200">#REF!</definedName>
    <definedName name="ppr10_L25">[49]Factors!$J$199</definedName>
    <definedName name="ppr10_L250">#REF!</definedName>
    <definedName name="ppr10_L315">#REF!</definedName>
    <definedName name="ppr10_L32">[49]Factors!$J$200</definedName>
    <definedName name="ppr10_L355">#REF!</definedName>
    <definedName name="ppr10_L40">[49]Factors!$J$201</definedName>
    <definedName name="ppr10_L50">[49]Factors!$J$202</definedName>
    <definedName name="ppr10_L63">[49]Factors!$J$203</definedName>
    <definedName name="ppr10_L75">[49]Factors!$J$204</definedName>
    <definedName name="ppr10_L90">[49]Factors!$J$205</definedName>
    <definedName name="ppr100.20">#REF!</definedName>
    <definedName name="ppr125.20">#REF!</definedName>
    <definedName name="ppr15.20">#REF!</definedName>
    <definedName name="ppr150.20">#REF!</definedName>
    <definedName name="ppr16_110">#REF!</definedName>
    <definedName name="ppr16_15">#REF!</definedName>
    <definedName name="ppr16_160">#REF!</definedName>
    <definedName name="ppr16_20">#REF!</definedName>
    <definedName name="ppr16_200">#REF!</definedName>
    <definedName name="ppr16_25">#REF!</definedName>
    <definedName name="ppr16_250">#REF!</definedName>
    <definedName name="ppr16_315">#REF!</definedName>
    <definedName name="ppr16_32">#REF!</definedName>
    <definedName name="ppr16_355">#REF!</definedName>
    <definedName name="ppr16_40">#REF!</definedName>
    <definedName name="ppr16_50">#REF!</definedName>
    <definedName name="ppr16_63">#REF!</definedName>
    <definedName name="ppr16_75">#REF!</definedName>
    <definedName name="ppr16_90">#REF!</definedName>
    <definedName name="ppr16_f110">#REF!</definedName>
    <definedName name="ppr16_f15">#REF!</definedName>
    <definedName name="ppr16_f160">#REF!</definedName>
    <definedName name="ppr16_f20">#REF!</definedName>
    <definedName name="ppr16_f25">[49]Factors!$F$199</definedName>
    <definedName name="ppr16_f32">#REF!</definedName>
    <definedName name="ppr16_f40">#REF!</definedName>
    <definedName name="ppr16_f50">#REF!</definedName>
    <definedName name="ppr16_f63">#REF!</definedName>
    <definedName name="ppr16_f75">#REF!</definedName>
    <definedName name="ppr16_f90">#REF!</definedName>
    <definedName name="ppr16_L110">#REF!</definedName>
    <definedName name="ppr16_L15">#REF!</definedName>
    <definedName name="ppr16_L160">#REF!</definedName>
    <definedName name="ppr16_L20">#REF!</definedName>
    <definedName name="ppr16_L25">[49]Factors!$E$199</definedName>
    <definedName name="ppr16_L32">#REF!</definedName>
    <definedName name="ppr16_L40">#REF!</definedName>
    <definedName name="ppr16_L50">#REF!</definedName>
    <definedName name="ppr16_L63">#REF!</definedName>
    <definedName name="ppr16_L75">#REF!</definedName>
    <definedName name="ppr16_L90">#REF!</definedName>
    <definedName name="PPR20.110">#REF!</definedName>
    <definedName name="PPR20.160">#REF!</definedName>
    <definedName name="ppr20.20">#REF!</definedName>
    <definedName name="PPR20.25">#REF!</definedName>
    <definedName name="PPR20.32">#REF!</definedName>
    <definedName name="PPR20.40">#REF!</definedName>
    <definedName name="PPR20.50">#REF!</definedName>
    <definedName name="PPR20.63">#REF!</definedName>
    <definedName name="ppr25.20">#REF!</definedName>
    <definedName name="ppr32.20">#REF!</definedName>
    <definedName name="ppr40.20">#REF!</definedName>
    <definedName name="ppr50.20">#REF!</definedName>
    <definedName name="ppr65.20">#REF!</definedName>
    <definedName name="ppr80.20">#REF!</definedName>
    <definedName name="pprf">#REF!</definedName>
    <definedName name="pprl">#REF!</definedName>
    <definedName name="PPRPN2020">'[243]PVC-Prices'!$I$57</definedName>
    <definedName name="PPRPN2025">'[243]PVC-Prices'!$I$58</definedName>
    <definedName name="PR.300">#REF!</definedName>
    <definedName name="PRA">#REF!</definedName>
    <definedName name="PRAGASH">#REF!</definedName>
    <definedName name="PRAYER" hidden="1">{#N/A,#N/A,FALSE,"CCTV"}</definedName>
    <definedName name="PRBurden">#REF!</definedName>
    <definedName name="PRE_LAB">#REF!</definedName>
    <definedName name="PRE_MAT">#REF!</definedName>
    <definedName name="PRE_TRACED_TUBE">#REF!</definedName>
    <definedName name="precast">#REF!</definedName>
    <definedName name="prefab">#REF!</definedName>
    <definedName name="Preferred_stock_growth_fore">#REF!</definedName>
    <definedName name="PRELIMS">#REF!</definedName>
    <definedName name="PREMIER_GATE">#REF!</definedName>
    <definedName name="premix">#REF!</definedName>
    <definedName name="Preparation">#REF!</definedName>
    <definedName name="Pres">#REF!</definedName>
    <definedName name="Pretax_income_fore">#REF!</definedName>
    <definedName name="PREVIOUS">#REF!</definedName>
    <definedName name="Previous_Valuation_No">#REF!</definedName>
    <definedName name="pri" hidden="1">{#N/A,#N/A,TRUE,"Str.";#N/A,#N/A,TRUE,"Steel &amp; Roof";#N/A,#N/A,TRUE,"Arc.";#N/A,#N/A,TRUE,"Preliminary";#N/A,#N/A,TRUE,"Sum_Prelim"}</definedName>
    <definedName name="Price_Acoust._Ceil">#REF!</definedName>
    <definedName name="Price_Block">#REF!</definedName>
    <definedName name="Price_Brick">#REF!</definedName>
    <definedName name="Price_Conc_4000">#REF!</definedName>
    <definedName name="Price_Conc_5000">#REF!</definedName>
    <definedName name="Price_Conc_6000">#REF!</definedName>
    <definedName name="Price_Form_Beam">#REF!</definedName>
    <definedName name="Price_Form_Colmn">#REF!</definedName>
    <definedName name="Price_Form_Core">#REF!</definedName>
    <definedName name="Price_Form_Slab">#REF!</definedName>
    <definedName name="Price_Form_Wall">#REF!</definedName>
    <definedName name="Price_Gyp._Ceil">#REF!</definedName>
    <definedName name="Price_Gyp.W_Both">#REF!</definedName>
    <definedName name="Price_Gyp.W_One">#REF!</definedName>
    <definedName name="Price_Incr1_Year">#REF!</definedName>
    <definedName name="Price_Incr2_Year">#REF!</definedName>
    <definedName name="Price_Incr3_Year">#REF!</definedName>
    <definedName name="Price_Increase_1">#REF!</definedName>
    <definedName name="Price_Increase_2">#REF!</definedName>
    <definedName name="Price_Increase_3">#REF!</definedName>
    <definedName name="Price_menu">#REF!</definedName>
    <definedName name="Price_Paint_Emulsn">#REF!</definedName>
    <definedName name="Price_Plaster_Ceil">#REF!</definedName>
    <definedName name="Price_Plaster_Ext">#REF!</definedName>
    <definedName name="Price_Plaster_Floor">#REF!</definedName>
    <definedName name="Price_Plaster_Wall">#REF!</definedName>
    <definedName name="Price_Rebar_High">#REF!</definedName>
    <definedName name="Price_Rebar_Mild">#REF!</definedName>
    <definedName name="Price_Stl.Door_D">#REF!</definedName>
    <definedName name="Price_Stl.Door_S">#REF!</definedName>
    <definedName name="Price_Stone_Floor">#REF!</definedName>
    <definedName name="Price_Stone_Wall">#REF!</definedName>
    <definedName name="Price_Wd.Door_D">#REF!</definedName>
    <definedName name="Price_Wd.Door_S">#REF!</definedName>
    <definedName name="Pricebook">#REF!</definedName>
    <definedName name="priced">#REF!</definedName>
    <definedName name="PRICELIST">[191]MATL!$D$3:$F$91</definedName>
    <definedName name="PriceSheetNoMargin" hidden="1">{"PriceSheetNoMargins",#N/A,FALSE,"PriceSheet"}</definedName>
    <definedName name="Priceunit">[138]Sheet2!$Q$1:$Q$2</definedName>
    <definedName name="primalas">#REF!</definedName>
    <definedName name="PrimeCoat">#N/A</definedName>
    <definedName name="primer">#REF!</definedName>
    <definedName name="prince">#REF!</definedName>
    <definedName name="prince1">#REF!</definedName>
    <definedName name="principal">#REF!</definedName>
    <definedName name="PRINT">#REF!</definedName>
    <definedName name="PRINT_1">'[29]Raw Data'!$F$56</definedName>
    <definedName name="Print_3">#REF!</definedName>
    <definedName name="Print_a">#REF!</definedName>
    <definedName name="Print_Area_MI___0">#REF!</definedName>
    <definedName name="Print_Area_MI___4">#REF!</definedName>
    <definedName name="PRINT_AREA_MI_4">"$#REF!.$#REF!$#REF!"</definedName>
    <definedName name="PRINT_AREA_MI_5">"$#REF!.$#REF!$#REF!"</definedName>
    <definedName name="PRINT_AREA_MI_6">"$#REF!.$#REF!$#REF!"</definedName>
    <definedName name="PRINT_AREA_MI_7">"$#REF!.$#REF!$#REF!"</definedName>
    <definedName name="Print_Area_Reset___0">#N/A</definedName>
    <definedName name="Print_Area_Reset___10">#N/A</definedName>
    <definedName name="Print_Area_Reset___2">#N/A</definedName>
    <definedName name="Print_Area_Reset___3">#N/A</definedName>
    <definedName name="Print_Area_Reset___4">#N/A</definedName>
    <definedName name="Print_Area_Reset___5">#N/A</definedName>
    <definedName name="Print_Area_Reset___6">#N/A</definedName>
    <definedName name="Print_Area_Reset___7">#N/A</definedName>
    <definedName name="Print_Area_Reset___8">#N/A</definedName>
    <definedName name="Print_Area_Reset___9">#N/A</definedName>
    <definedName name="Print_Titles_MI___4">#REF!</definedName>
    <definedName name="Print_Titles_MI_1">"#REF!"</definedName>
    <definedName name="Print_Titles_MI_8">"#REF!"</definedName>
    <definedName name="Print_Titles_MI_9">"#REF!"</definedName>
    <definedName name="Print2">#REF!</definedName>
    <definedName name="PrintLESummary">#REF!</definedName>
    <definedName name="PrintMainSummary">#REF!</definedName>
    <definedName name="PrintPPValuationSummary">#REF!</definedName>
    <definedName name="PrintProvSumAndProvQty">#REF!</definedName>
    <definedName name="PrintRange">[133]Input!$C$53:$C$58</definedName>
    <definedName name="PrintRange_PERCENTAGES">#REF!</definedName>
    <definedName name="PrintRange_PRODLINEDETAIL">#REF!</definedName>
    <definedName name="PrintTotal">'[29]Raw Data'!$A$1:$CE$125</definedName>
    <definedName name="PrintVOSummary">#REF!</definedName>
    <definedName name="prior_CM">[11]Prior_CM!$A$1:$N$516</definedName>
    <definedName name="priorlocal">[219]Start!$D$13:$E$24</definedName>
    <definedName name="PRJ_ELBK_CST_EDITBY">#REF!</definedName>
    <definedName name="PRJ_ELBK_CST_EDITDATE">#REF!</definedName>
    <definedName name="PRJ_ELEQ_CST_EDITBY">#REF!</definedName>
    <definedName name="PRJ_ELEQ_CST_EDITDATE">#REF!</definedName>
    <definedName name="PRJ_INSTR_CST_EDITBY">#REF!</definedName>
    <definedName name="PRJ_INSTR_CST_EDITDATE">#REF!</definedName>
    <definedName name="PrjN">'[34]#REF'!$E$4</definedName>
    <definedName name="prmonth">[144]Legend!#REF!</definedName>
    <definedName name="prmonthYTD">[133]Input!$E$20</definedName>
    <definedName name="PRN">#REF!</definedName>
    <definedName name="PRNT">#REF!</definedName>
    <definedName name="Prnt_A">#REF!</definedName>
    <definedName name="Proc_Hrs">#REF!</definedName>
    <definedName name="Proc_Rev">#REF!</definedName>
    <definedName name="PROCES">'[128]DETAIL '!#REF!</definedName>
    <definedName name="ProdForm" hidden="1">#REF!</definedName>
    <definedName name="Product" hidden="1">#REF!</definedName>
    <definedName name="productgoups">'[263]Product Groups'!$A$2:$A$89</definedName>
    <definedName name="PROF">#REF!</definedName>
    <definedName name="PROFIT1">[18]office!$B$21</definedName>
    <definedName name="prog">#REF!</definedName>
    <definedName name="PROJ">[113]LEGEND!$D$4</definedName>
    <definedName name="PROJ_OFF_HRS">'[29]Raw Data'!$E$9</definedName>
    <definedName name="PROJ_OFF_LAB">'[29]Raw Data'!$D$9</definedName>
    <definedName name="project">#REF!</definedName>
    <definedName name="Project_name">#REF!</definedName>
    <definedName name="PROJECT_NAME____Capsugel_Relocation_Project___0">#REF!</definedName>
    <definedName name="ProjectMonitoringMetro" hidden="1">#REF!</definedName>
    <definedName name="PROJLOC">#REF!</definedName>
    <definedName name="PROJNAME">#REF!</definedName>
    <definedName name="Protection">#REF!</definedName>
    <definedName name="prquarter">[144]Legend!#REF!</definedName>
    <definedName name="PRRaise">#REF!</definedName>
    <definedName name="PRT1ST5">#REF!</definedName>
    <definedName name="PRTBGT">#REF!</definedName>
    <definedName name="PRTFCST">#REF!</definedName>
    <definedName name="PRTYTD">#REF!</definedName>
    <definedName name="PS">#REF!</definedName>
    <definedName name="psand">#REF!</definedName>
    <definedName name="psg">[12]Plumbing!#REF!</definedName>
    <definedName name="psktg">#REF!</definedName>
    <definedName name="pspec">#REF!</definedName>
    <definedName name="pstair1">#REF!</definedName>
    <definedName name="pstair2">#REF!</definedName>
    <definedName name="pstep">#REF!</definedName>
    <definedName name="pstruct">#REF!</definedName>
    <definedName name="pt">#REF!</definedName>
    <definedName name="ptension">#REF!</definedName>
    <definedName name="pu">"$#REF!.$#REF!$#REF!"</definedName>
    <definedName name="PUB_FileID" hidden="1">"L10003649.xls"</definedName>
    <definedName name="PUB_UserID" hidden="1">"MAYERX"</definedName>
    <definedName name="pudlo">#REF!</definedName>
    <definedName name="pum">[236]BOQ!$N$4</definedName>
    <definedName name="PUMP">#REF!</definedName>
    <definedName name="PUMPING_IND.PTADJ">[69]Summary!$HC$199:$HC$200</definedName>
    <definedName name="PUMPING_TAM.PTADJ">[69]Summary!$HC$201:$HC$202</definedName>
    <definedName name="pupaint">#REF!</definedName>
    <definedName name="purchase">[102]Sheet2!$Z$1:$Z$3</definedName>
    <definedName name="puu">"$#REF!.$#REF!$#REF!"</definedName>
    <definedName name="Puz">[217]Design!#REF!</definedName>
    <definedName name="Pv">[218]PsychroData!$A$3:$B$57</definedName>
    <definedName name="PVC.IN">#REF!</definedName>
    <definedName name="PVC.UG">#REF!</definedName>
    <definedName name="pvc_300">#N/A</definedName>
    <definedName name="pvc_400">#N/A</definedName>
    <definedName name="pvc_600">#N/A</definedName>
    <definedName name="PVC_FLEXIBLE_PIPE">#REF!</definedName>
    <definedName name="PVC_PIPE">#REF!</definedName>
    <definedName name="pvcf">#REF!</definedName>
    <definedName name="pvcfmk">#REF!</definedName>
    <definedName name="pvcnosing">#REF!</definedName>
    <definedName name="pvcrose">#REF!</definedName>
    <definedName name="PVCT10110">#REF!</definedName>
    <definedName name="PVCT1032">#REF!</definedName>
    <definedName name="PVCT1050">#REF!</definedName>
    <definedName name="PVCT6040">'[243]PVC-Prices'!$I$18</definedName>
    <definedName name="PVCT6050">'[243]PVC-Prices'!$I$19</definedName>
    <definedName name="PVCT6063">'[243]PVC-Prices'!$I$20</definedName>
    <definedName name="pvq">#REF!</definedName>
    <definedName name="pwd">#REF!</definedName>
    <definedName name="PWR_BLK_TRAY">#REF!</definedName>
    <definedName name="PY">[178]Input!$B$19</definedName>
    <definedName name="PYActBud">#REF!</definedName>
    <definedName name="PYActual">#REF!</definedName>
    <definedName name="PYST100">#REF!</definedName>
    <definedName name="q.four">[31]Analysis!$E$6547</definedName>
    <definedName name="q.per">#REF!</definedName>
    <definedName name="q.two">[31]Analysis!$E$6471</definedName>
    <definedName name="q_June_2005_Cross_Tab_Query">#REF!</definedName>
    <definedName name="q_May_2005_Cross_Tab_Query">#REF!</definedName>
    <definedName name="Q3Detail">#REF!</definedName>
    <definedName name="Q3YTD">#REF!</definedName>
    <definedName name="Q4Detail\">#REF!</definedName>
    <definedName name="Q4YTD">#REF!</definedName>
    <definedName name="qa_graph">'[29]Raw Data'!$E$51:$AM$180</definedName>
    <definedName name="qa_schedule">'[29]Raw Data'!$B$2:$AN$38</definedName>
    <definedName name="QD">#REF!</definedName>
    <definedName name="QEFFDEF" hidden="1">{"PriceSheetNoMargins",#N/A,FALSE,"PriceSheet"}</definedName>
    <definedName name="QEFQEFQE" hidden="1">{"PriceSheetNoMargins",#N/A,FALSE,"PriceSheet"}</definedName>
    <definedName name="QEQefqeeqeqerqer" hidden="1">{"PriceSheetNoMargins",#N/A,FALSE,"PriceSheet"}</definedName>
    <definedName name="QERHGAQHRE" hidden="1">{"'Sheet1'!$A$1:$R$58"}</definedName>
    <definedName name="qewrvqertb">#REF!</definedName>
    <definedName name="QF">#REF!</definedName>
    <definedName name="QGLSUMM_0102">#REF!</definedName>
    <definedName name="QGLSumm_0104">#REF!</definedName>
    <definedName name="QGLSumm_0203">#REF!</definedName>
    <definedName name="QGLSumm_0204">#REF!</definedName>
    <definedName name="QGLSumm_0204_.2">#REF!</definedName>
    <definedName name="QGLSumm_0302">#REF!</definedName>
    <definedName name="QGLSumm_0304">#REF!</definedName>
    <definedName name="QGLSumm_0404">#REF!</definedName>
    <definedName name="QGLSumm_0503">#REF!</definedName>
    <definedName name="QGLSumm_0504">#REF!</definedName>
    <definedName name="QGLSumm_0604">#REF!</definedName>
    <definedName name="QGLSumm_0703">#REF!</definedName>
    <definedName name="QGLSumm_0704">#REF!</definedName>
    <definedName name="QGLSumm_0803">#REF!</definedName>
    <definedName name="QGLSumm_0804">#REF!</definedName>
    <definedName name="QGLSumm_0903">#REF!</definedName>
    <definedName name="QGLSumm_1003">#REF!</definedName>
    <definedName name="QGLSumm_1103">#REF!</definedName>
    <definedName name="QGLSUMM0202">#REF!</definedName>
    <definedName name="QGLSumm0402">#REF!</definedName>
    <definedName name="QGLSUMM0701">#REF!</definedName>
    <definedName name="QGLSumm0702">#REF!</definedName>
    <definedName name="QGLSumm0802">#REF!</definedName>
    <definedName name="QGLSumm0902">#REF!</definedName>
    <definedName name="QGLSumm1002">#REF!</definedName>
    <definedName name="QGLSumm1102">#REF!</definedName>
    <definedName name="QGLSumm1202">#REF!</definedName>
    <definedName name="QI">#REF!</definedName>
    <definedName name="qlda">[143]!qlda</definedName>
    <definedName name="qq">'[214]Material Prices'!$A$5:'[214]Material Prices'!$A$5:$F$65536</definedName>
    <definedName name="qqqq">[28]!qqqq</definedName>
    <definedName name="QQQQQQQQQQQQQQQQQQQQQQQQQQQQQQQQ">#REF!</definedName>
    <definedName name="QR">#REF!</definedName>
    <definedName name="QREWTYUIOYJHGFV">#REF!</definedName>
    <definedName name="QS">#REF!</definedName>
    <definedName name="QT">#REF!</definedName>
    <definedName name="QTR">#REF!</definedName>
    <definedName name="qtr_DSO">#REF!</definedName>
    <definedName name="Qty.">#REF!</definedName>
    <definedName name="qty___0">#REF!</definedName>
    <definedName name="Qty_Ceiling">#REF!</definedName>
    <definedName name="Qty_Conc">#REF!</definedName>
    <definedName name="QTY_DISC_MV">#REF!</definedName>
    <definedName name="Qty_Door.Window">#REF!</definedName>
    <definedName name="Qty_Excavation">#REF!</definedName>
    <definedName name="Qty_Form">#REF!</definedName>
    <definedName name="Qty_Masonry">#REF!</definedName>
    <definedName name="Qty_Painting">#REF!</definedName>
    <definedName name="Qty_Plastering">#REF!</definedName>
    <definedName name="Qty_Rebar">#REF!</definedName>
    <definedName name="Qty_Stone">#REF!</definedName>
    <definedName name="Qty_Wall">#REF!</definedName>
    <definedName name="QtyPlant">[102]Sheet2!$L$1:$L$2</definedName>
    <definedName name="QUARTER">#REF!</definedName>
    <definedName name="quarter_1">#REF!</definedName>
    <definedName name="quarter_2">#REF!</definedName>
    <definedName name="quarter_3">#REF!</definedName>
    <definedName name="quarter_4">#REF!</definedName>
    <definedName name="quarterly_report">#REF!</definedName>
    <definedName name="QueryNov02Rev">#REF!</definedName>
    <definedName name="QUICKTECH">#REF!</definedName>
    <definedName name="Quotation">[257]General!$A$4:$B$23</definedName>
    <definedName name="qw" hidden="1">{#N/A,#N/A,FALSE,"단가표지"}</definedName>
    <definedName name="qwe">#REF!</definedName>
    <definedName name="QWEFWEFF" hidden="1">{"PriceSheetNoMargins",#N/A,FALSE,"PriceSheet"}</definedName>
    <definedName name="qwetrqew">#REF!</definedName>
    <definedName name="QY">#REF!</definedName>
    <definedName name="R.C.C___SUB_STRUCTURE">#REF!</definedName>
    <definedName name="R.C.C___SUPER_STRUCTURE">#REF!</definedName>
    <definedName name="R.D.Allow_for_diversion_of_Exsisting_Services">'[65]BASIC RATES'!$A$88</definedName>
    <definedName name="R.D.Allow_for_diversion_of_Exsisting_Services_External_Works">'[65]BASIC RATES'!$A$260</definedName>
    <definedName name="R.D.Backfilling_between_earth_retaining_system_and_perimeter_wall">'[65]BASIC RATES'!$A$17</definedName>
    <definedName name="R.D.Breaking_Brick_Block_Work">'[65]BASIC RATES'!$A$21</definedName>
    <definedName name="R.D.Breaking_Mas_Concrete">'[65]BASIC RATES'!$A$19</definedName>
    <definedName name="R.D.Breaking_RF_Concrete">'[65]BASIC RATES'!$A$20</definedName>
    <definedName name="R.D.Breaking_Rock">'[65]BASIC RATES'!$A$18</definedName>
    <definedName name="R.D.Breaking_through_obstruction_irresoective_of_pile_size">'[65]BASIC RATES'!$A$35</definedName>
    <definedName name="R.D.Bulk_Excavation_0_1m">'[65]BASIC RATES'!$A$6</definedName>
    <definedName name="R.D.Bulk_Excavation_1_2m">'[65]BASIC RATES'!$A$7</definedName>
    <definedName name="R.D.Bulk_Excavation_10_11m">'[65]BASIC RATES'!$A$328</definedName>
    <definedName name="R.D.Bulk_Excavation_11_12m">'[65]BASIC RATES'!$A$329</definedName>
    <definedName name="R.D.Bulk_Excavation_2_3m">'[65]BASIC RATES'!$A$8</definedName>
    <definedName name="R.D.Bulk_Excavation_3_4m">'[65]BASIC RATES'!$A$9</definedName>
    <definedName name="R.D.Bulk_Excavation_4_5m">'[65]BASIC RATES'!$A$10</definedName>
    <definedName name="R.D.Bulk_Excavation_5_6m">'[65]BASIC RATES'!$A$11</definedName>
    <definedName name="R.D.Bulk_Excavation_6_7m">'[65]BASIC RATES'!$A$12</definedName>
    <definedName name="R.D.Bulk_Excavation_7_8m">'[65]BASIC RATES'!$A$325</definedName>
    <definedName name="R.D.Bulk_Excavation_8_9m">'[65]BASIC RATES'!$A$326</definedName>
    <definedName name="R.D.Bulk_Excavation_9_10m">'[65]BASIC RATES'!$A$327</definedName>
    <definedName name="R.D.Bulk_Excavation_for_Sump_0_1m">'[65]BASIC RATES'!$A$398</definedName>
    <definedName name="R.D.Bulk_Excavation_for_Sump_1_2m">'[65]BASIC RATES'!$A$399</definedName>
    <definedName name="R.D.Bulk_Excavation_for_sump_2_3.5m">'[65]BASIC RATES'!$A$400</definedName>
    <definedName name="R.D.Deflection_Monitering">'[65]BASIC RATES'!$A$37</definedName>
    <definedName name="R.D.Dewatering">'[65]BASIC RATES'!$A$24</definedName>
    <definedName name="R.D.Dewatering___URP_New">'[65]BASIC RATES'!$A$391</definedName>
    <definedName name="R.D.Dewatering_for_Sump_construction">'[65]BASIC RATES'!$A$401</definedName>
    <definedName name="R.D.Disposal_of_Excavated_Material_Off_site">'[65]BASIC RATES'!$A$25</definedName>
    <definedName name="R.D.Earth_work_support___Planking___strutting">'[65]BASIC RATES'!$A$341</definedName>
    <definedName name="R.D.Excavation_Below_Ground_Water_Level">'[65]BASIC RATES'!$A$16</definedName>
    <definedName name="R.D.Filling_With_Imported_Earth">'[65]BASIC RATES'!$A$261</definedName>
    <definedName name="R.D.Filling_with_query_dust">'[65]BASIC RATES'!$A$288</definedName>
    <definedName name="R.D.Permanent_Sheet_Pile_12m_Long">'[65]BASIC RATES'!$A$22</definedName>
    <definedName name="R.D.Pile_Hacking_1500mm_bored_piles">'[65]BASIC RATES'!$A$33</definedName>
    <definedName name="R.D.Pile_Hacking_1800mm_bored_piles">'[65]BASIC RATES'!$A$34</definedName>
    <definedName name="R.D.Pile_Hacking_600mm_bored_piles">'[65]BASIC RATES'!$A$31</definedName>
    <definedName name="R.D.Pile_Hacking_750mm_contigous_bored_piles">'[65]BASIC RATES'!$A$32</definedName>
    <definedName name="R.D.Pit_Excavation_0_1m">'[65]BASIC RATES'!$A$13</definedName>
    <definedName name="R.D.Pit_Excavation_1_2m">'[65]BASIC RATES'!$A$14</definedName>
    <definedName name="R.D.Pit_Excavation_2_3m">'[65]BASIC RATES'!$A$15</definedName>
    <definedName name="R.D.Sand_Filling">'[65]BASIC RATES'!$A$262</definedName>
    <definedName name="R.D.Site_clearing">'[65]BASIC RATES'!$A$390</definedName>
    <definedName name="R.D.Site_Preparation">'[65]BASIC RATES'!$A$5</definedName>
    <definedName name="R.D.Soil_Stabilisation.">'[65]BASIC RATES'!$A$30</definedName>
    <definedName name="R.D.Supervisory_staff_for_pile_hacking">'[65]BASIC RATES'!$A$36</definedName>
    <definedName name="R.D.Temporary_sheet_pile_6m_long">'[65]BASIC RATES'!$A$23</definedName>
    <definedName name="R.D.Termite_Treatment_Horizontal_Agenda">'[65]BASIC RATES'!$A$296</definedName>
    <definedName name="R.D.Termite_Treatment_Horizontal_Faces">'[65]BASIC RATES'!$A$26</definedName>
    <definedName name="R.D.Termite_Treatment_Pipe_Penitration">'[65]BASIC RATES'!$A$29</definedName>
    <definedName name="R.D.Termite_Treatment_Soil_Pack">'[65]BASIC RATES'!$A$28</definedName>
    <definedName name="R.D.Termite_Treatment_Vertical_Faces">'[65]BASIC RATES'!$A$27</definedName>
    <definedName name="R.F.400_x_400_x_175_mm_concrete_wall_pocket_with_R_F">'[65]BASIC RATES'!$A$347</definedName>
    <definedName name="R.F.400x900mm_Facia">'[65]BASIC RATES'!$A$140</definedName>
    <definedName name="R.F.40mm_dia_mechanical_splices">'[65]BASIC RATES'!$A$290</definedName>
    <definedName name="R.F.Construction__Maintain_and_Dismentaling_of_Batching_Plant">'[65]BASIC RATES'!$A$60</definedName>
    <definedName name="R.F.Cover_slabs_600_x_600mm">'[65]BASIC RATES'!$A$405</definedName>
    <definedName name="R.F.Form_work_by_TAC_System_for_Walls__Beams_Slabs">'[65]BASIC RATES'!$A$389</definedName>
    <definedName name="R.F.Formwork_Edges_of_slabs_n.e_150">'[65]BASIC RATES'!$A$84</definedName>
    <definedName name="R.F.Formwork_Edges_of_slabs_n.e_300">'[65]BASIC RATES'!$A$83</definedName>
    <definedName name="R.F.Formwork_Edges_of_slabs_n.e_300_Curved">'[65]BASIC RATES'!$A$159</definedName>
    <definedName name="R.F.Formwork_Sides_and_soffit_of_staircase">'[65]BASIC RATES'!$A$81</definedName>
    <definedName name="R.F.Formwork_Sides_and_soffits_of_attached_beams">'[65]BASIC RATES'!$A$76</definedName>
    <definedName name="R.F.Formwork_Sides_and_soffits_of_isolated_beams">'[65]BASIC RATES'!$A$77</definedName>
    <definedName name="R.F.Formwork_Sides_and_Soffits_of_Lintels">'[65]BASIC RATES'!$A$82</definedName>
    <definedName name="R.F.Formwork_Sides_of_attached_column">'[65]BASIC RATES'!$A$75</definedName>
    <definedName name="R.F.Formwork_Sides_of_curved_beams">'[65]BASIC RATES'!$A$72</definedName>
    <definedName name="R.F.Formwork_Sides_of_curved_walls">'[65]BASIC RATES'!$A$80</definedName>
    <definedName name="R.F.Formwork_Sides_of_Foundation">'[65]BASIC RATES'!$A$69</definedName>
    <definedName name="R.F.Formwork_Sides_of_Ground_Beam">'[65]BASIC RATES'!$A$71</definedName>
    <definedName name="R.F.Formwork_Sides_of_Isolated_column">'[65]BASIC RATES'!$A$74</definedName>
    <definedName name="R.F.Formwork_Sides_of_Kerbs">'[65]BASIC RATES'!$A$85</definedName>
    <definedName name="R.F.Formwork_Sides_of_Kerbs_Curved">'[65]BASIC RATES'!$A$160</definedName>
    <definedName name="R.F.Formwork_Sides_of_slabs_drops">'[65]BASIC RATES'!$A$73</definedName>
    <definedName name="R.F.Formwork_Sides_of_Stairflight_Riser">'[65]BASIC RATES'!$A$153</definedName>
    <definedName name="R.F.Formwork_Sides_of_upstand_Beam">'[65]BASIC RATES'!$A$156</definedName>
    <definedName name="R.F.Formwork_Sides_of_upstand_Beam_Curved">'[65]BASIC RATES'!$A$157</definedName>
    <definedName name="R.F.Formwork_Sides_of_Walls">'[65]BASIC RATES'!$A$70</definedName>
    <definedName name="R.F.Formwork_Sides_of_Walls_Height_e.3.5">'[65]BASIC RATES'!$A$155</definedName>
    <definedName name="R.F.Formwork_Soffit_of_slabs">'[65]BASIC RATES'!$A$78</definedName>
    <definedName name="R.F.Formwork_Soffit_of_slabs_height_e._5.0m">'[65]BASIC RATES'!$A$158</definedName>
    <definedName name="R.F.Formwork_Soffit_of_slabs_height_e.3.5">'[65]BASIC RATES'!$A$154</definedName>
    <definedName name="R.F.Formwork_Soffit_of_sloping_slabs">'[65]BASIC RATES'!$A$79</definedName>
    <definedName name="R.F.G_20_concrete___20mm_thk_for_roof_slab_sloping_screed">'[65]BASIC RATES'!$A$343</definedName>
    <definedName name="R.F.G_20_concrete_for_ramp">'[65]BASIC RATES'!$A$342</definedName>
    <definedName name="R.F.G_20_concrete_ledge___150_x_100_mm_size___with_f_w_and_r_f">'[65]BASIC RATES'!$A$345</definedName>
    <definedName name="R.F.G15_Concrete_100mm_thick_for_floor_slab">'[65]BASIC RATES'!$A$263</definedName>
    <definedName name="R.F.G15_concrete_cap_100mm_thick_with_FW">'[65]BASIC RATES'!$A$58</definedName>
    <definedName name="R.F.G15_Kerbs">'[65]BASIC RATES'!$A$55</definedName>
    <definedName name="R.F.G15_Lean_concrete_150_300mm_thick">'[65]BASIC RATES'!$A$54</definedName>
    <definedName name="R.F.G15_Lean_Concrete_150mm_thick">'[65]BASIC RATES'!$A$40</definedName>
    <definedName name="R.F.G15_Lean_concrete_50mm_thick">'[65]BASIC RATES'!$A$53</definedName>
    <definedName name="R.F.G15_Lean_Concrete_75mm_thick">'[65]BASIC RATES'!$A$38</definedName>
    <definedName name="R.F.G15_Lean_Concrete75_150mm_thick_sloping">'[65]BASIC RATES'!$A$39</definedName>
    <definedName name="R.F.G15_Ramp_Drain">'[65]BASIC RATES'!$A$57</definedName>
    <definedName name="R.F.G20_concrete___50mm_thk___protection_screed_for_roof">'[65]BASIC RATES'!$A$344</definedName>
    <definedName name="R.F.G20_concrete_for_100_x_80mm_size_ledges">'[65]BASIC RATES'!$A$346</definedName>
    <definedName name="R.F.G20_Lintels">'[65]BASIC RATES'!$A$52</definedName>
    <definedName name="R.F.G25_Concrete">'[65]BASIC RATES'!$A$404</definedName>
    <definedName name="R.F.G30_150x650_Curved_Facia">'[65]BASIC RATES'!$A$141</definedName>
    <definedName name="R.F.G30_950x175_Auditorium_TIers">'[65]BASIC RATES'!$A$150</definedName>
    <definedName name="R.F.G30_Attached_Beams_slabs">'[65]BASIC RATES'!$A$48</definedName>
    <definedName name="R.F.G30_Basement_Slab">'[65]BASIC RATES'!$A$46</definedName>
    <definedName name="R.F.G30_Concrete_for_slabs_with_construction_joints">'[65]BASIC RATES'!$A$388</definedName>
    <definedName name="R.F.G30_Foundation">'[65]BASIC RATES'!$A$264</definedName>
    <definedName name="R.F.G30_Isolated_and_Attached_column">'[65]BASIC RATES'!$A$149</definedName>
    <definedName name="R.F.G30_isolated_beams">'[65]BASIC RATES'!$A$59</definedName>
    <definedName name="R.F.G30_Kerbs">'[65]BASIC RATES'!$A$56</definedName>
    <definedName name="R.F.G30_stairs_landinGslab">'[65]BASIC RATES'!$A$51</definedName>
    <definedName name="R.F.G30_Walls_thickness_e_300">'[65]BASIC RATES'!$A$50</definedName>
    <definedName name="R.F.G30_Walls_thickness_n.e_300">'[65]BASIC RATES'!$A$49</definedName>
    <definedName name="R.F.G35_Isolated_and_Attached_column">'[65]BASIC RATES'!$A$147</definedName>
    <definedName name="R.F.G35_Walls_thickness_n.e_300">'[65]BASIC RATES'!$A$148</definedName>
    <definedName name="R.F.G35A_Concrete">'[65]BASIC RATES'!$A$402</definedName>
    <definedName name="R.F.G40_Curved_Beam">'[65]BASIC RATES'!$A$45</definedName>
    <definedName name="R.F.G40_Ground_Beam">'[65]BASIC RATES'!$A$44</definedName>
    <definedName name="R.F.G40_Isolated_and_Attached_column">'[65]BASIC RATES'!$A$146</definedName>
    <definedName name="R.F.G40_Pile_Cap">'[65]BASIC RATES'!$A$43</definedName>
    <definedName name="R.F.G40_Walls_thickness_e.300">'[65]BASIC RATES'!$A$42</definedName>
    <definedName name="R.F.G40_Walls_thickness_n.e_300">'[65]BASIC RATES'!$A$41</definedName>
    <definedName name="R.F.G50_Isolated_and_Attached_column">'[65]BASIC RATES'!$A$144</definedName>
    <definedName name="R.F.G50_Walls_thickness_n.e_300">'[65]BASIC RATES'!$A$145</definedName>
    <definedName name="R.F.G60_Isolated_and_Attached_column">'[65]BASIC RATES'!$A$142</definedName>
    <definedName name="R.F.G60_Walls_thickness_n.e_300">'[65]BASIC RATES'!$A$143</definedName>
    <definedName name="R.F.G65_Isolated_Attached_column_column">'[65]BASIC RATES'!$A$47</definedName>
    <definedName name="R.F.Laying_A142_Mesh">'[65]BASIC RATES'!$A$289</definedName>
    <definedName name="R.F.Lintel___100_x_150mm_all_inclusive">'[65]BASIC RATES'!$A$338</definedName>
    <definedName name="R.F.Precast_Concrete_Kerbs_600x150x125mm">'[65]BASIC RATES'!$A$152</definedName>
    <definedName name="R.F.Ready_Mix_Concrete_G15">'[65]BASIC RATES'!$A$61</definedName>
    <definedName name="R.F.Ready_Mix_Concrete_G20">'[65]BASIC RATES'!$A$62</definedName>
    <definedName name="R.F.Ready_Mix_Concrete_G30">'[65]BASIC RATES'!$A$63</definedName>
    <definedName name="R.F.Ready_Mix_Concrete_G35">'[65]BASIC RATES'!$A$64</definedName>
    <definedName name="R.F.Ready_Mix_Concrete_G40">'[65]BASIC RATES'!$A$65</definedName>
    <definedName name="R.F.Ready_Mix_Concrete_G50">'[65]BASIC RATES'!$A$66</definedName>
    <definedName name="R.F.Ready_Mix_Concrete_G60">'[65]BASIC RATES'!$A$67</definedName>
    <definedName name="R.F.Ready_Mix_Concrete_G65">'[65]BASIC RATES'!$A$68</definedName>
    <definedName name="R.F.Reinforcement">'[65]BASIC RATES'!$A$87</definedName>
    <definedName name="R.F.Reinforcement_with_Mechanical_Slices">'[65]BASIC RATES'!$A$86</definedName>
    <definedName name="R.F.Vanity_600x1000_2000mm">'[65]BASIC RATES'!$A$109</definedName>
    <definedName name="R.F.Vanity_600x2000_3000mm">'[65]BASIC RATES'!$A$110</definedName>
    <definedName name="R.F.Vanity_600x3000_4000mm">'[65]BASIC RATES'!$A$111</definedName>
    <definedName name="R.F.Vanity_600x4000_5000mm">'[65]BASIC RATES'!$A$112</definedName>
    <definedName name="R.F.Vanity_600x500_1000mm">'[65]BASIC RATES'!$A$151</definedName>
    <definedName name="R.F.vanity_counter___550_x_1750_x_80mm_size">'[65]BASIC RATES'!$A$348</definedName>
    <definedName name="R.F.W5__Pergolas">'[65]BASIC RATES'!$A$374</definedName>
    <definedName name="R.F.Water_bar_with_constrcuction_joints_for_sump">'[65]BASIC RATES'!$A$403</definedName>
    <definedName name="R.F.Water_testing_before_waterproof_the_Sump">'[65]BASIC RATES'!$A$407</definedName>
    <definedName name="R.G.100mm_and_200mm_Hollow_block_work_for_filling">'[65]BASIC RATES'!$A$96</definedName>
    <definedName name="R.G.100mm_and_200mm_solid_block_work_for_filling">'[65]BASIC RATES'!$A$95</definedName>
    <definedName name="R.G.100mm_hollow_block_walls_with_stiffners">'[65]BASIC RATES'!$A$350</definedName>
    <definedName name="R.G.100mm_thick_Hollow_Block_Work">'[65]BASIC RATES'!$A$92</definedName>
    <definedName name="R.G.100mm_thick_solid_Block_Work">'[65]BASIC RATES'!$A$89</definedName>
    <definedName name="R.G.100mm_thick_solid_Block_Work_height_3.5m_7.0m">'[65]BASIC RATES'!$A$104</definedName>
    <definedName name="R.G.100mm_thick_solid_Block_Work_height_7.0m_10.5m">'[65]BASIC RATES'!$A$105</definedName>
    <definedName name="R.G.112mm_Brick_Work">'[65]BASIC RATES'!$A$106</definedName>
    <definedName name="R.G.150mm_solid_block_walls_with_stiffners">'[65]BASIC RATES'!$A$349</definedName>
    <definedName name="R.G.150mm_thick_Hollow_Block_Work">'[65]BASIC RATES'!$A$93</definedName>
    <definedName name="R.G.150mm_thick_solid_Block_Work">'[65]BASIC RATES'!$A$90</definedName>
    <definedName name="R.G.200mm_thick_Hollow_Block_Work">'[65]BASIC RATES'!$A$94</definedName>
    <definedName name="R.G.200mm_thick_Hollow_Block_Work_Curved">'[65]BASIC RATES'!$A$97</definedName>
    <definedName name="R.G.200mm_thick_solid_Block_Work">'[65]BASIC RATES'!$A$91</definedName>
    <definedName name="R.G.200mm_thick_solid_Block_Work_height_3.5m_7.0m">'[65]BASIC RATES'!$A$107</definedName>
    <definedName name="R.G.200mm_thick_solid_Block_Work_height_7.0m_10.5m">'[65]BASIC RATES'!$A$108</definedName>
    <definedName name="R.G.300mm_thick_Solid_Block_Work">'[65]BASIC RATES'!$A$98</definedName>
    <definedName name="R.G.350mm_thick_Solid_Block_Work">'[65]BASIC RATES'!$A$101</definedName>
    <definedName name="R.G.400mm_thick_Solid_Block_Work">'[65]BASIC RATES'!$A$99</definedName>
    <definedName name="R.G.450mm_thick_Solid_Block_Work">'[65]BASIC RATES'!$A$102</definedName>
    <definedName name="R.G.500mm_thick_Solid_Block_Work">'[65]BASIC RATES'!$A$103</definedName>
    <definedName name="R.G.600mm_thick_Solid_Block_Work">'[65]BASIC RATES'!$A$100</definedName>
    <definedName name="R.G.Random_Rubble_MAsonary_Wall">'[65]BASIC RATES'!$A$265</definedName>
    <definedName name="R.H.200mm_thick_Extruded_polytyrene_insulation_board">'[65]BASIC RATES'!$A$139</definedName>
    <definedName name="R.H.200mm_wide_3mm_thick_mild_steel_water_bar">'[65]BASIC RATES'!$A$121</definedName>
    <definedName name="R.H.25mm__thick_insulation_layer">'[65]BASIC RATES'!$A$356</definedName>
    <definedName name="R.H.40mm_thick_insulation_boards">'[65]BASIC RATES'!$A$355</definedName>
    <definedName name="R.H.50mm_thick_Extruded_polytyrene_insulation_board">'[65]BASIC RATES'!$A$137</definedName>
    <definedName name="R.H.Damp_proof_membrane_G1000_Polythene">'[65]BASIC RATES'!$A$130</definedName>
    <definedName name="R.H.Protection_Screed_G20_Concrete_Including_Mesh_and_Expansion_Joint">'[65]BASIC RATES'!$A$138</definedName>
    <definedName name="R.H.waterproofing_by_Barralastic">'[65]BASIC RATES'!$A$351</definedName>
    <definedName name="R.H.waterproofing_by_barralastic_for_water_tank_base">'[65]BASIC RATES'!$A$354</definedName>
    <definedName name="R.H.Waterproofing_by_Roofseal_p">'[65]BASIC RATES'!$A$353</definedName>
    <definedName name="R.H.waterproofing_by_xypex">'[65]BASIC RATES'!$A$352</definedName>
    <definedName name="R.H.Waterproofing_Type_01_Horizontal">'[65]BASIC RATES'!$A$117</definedName>
    <definedName name="R.H.Waterproofing_Type_01_Horizontal_n.e.300mm">'[65]BASIC RATES'!$A$126</definedName>
    <definedName name="R.H.Waterproofing_Type_01_Vertical">'[65]BASIC RATES'!$A$113</definedName>
    <definedName name="R.H.Waterproofing_Type_01_Vertical_n.e.300mm">'[65]BASIC RATES'!$A$122</definedName>
    <definedName name="R.H.Waterproofing_Type_02_Horizontal">'[65]BASIC RATES'!$A$118</definedName>
    <definedName name="R.H.Waterproofing_Type_02_Horizontal_n.e.300mm">'[65]BASIC RATES'!$A$127</definedName>
    <definedName name="R.H.Waterproofing_Type_02_Vertical">'[65]BASIC RATES'!$A$114</definedName>
    <definedName name="R.H.Waterproofing_Type_02_Vertical_n.e.300mm">'[65]BASIC RATES'!$A$123</definedName>
    <definedName name="R.H.Waterproofing_Type_03_Horizontal">'[65]BASIC RATES'!$A$119</definedName>
    <definedName name="R.H.Waterproofing_Type_03_Horizontal_n.e.300mm">'[65]BASIC RATES'!$A$128</definedName>
    <definedName name="R.H.Waterproofing_Type_03_Vertical">'[65]BASIC RATES'!$A$115</definedName>
    <definedName name="R.H.Waterproofing_Type_03_Vertical_n.e.300mm">'[65]BASIC RATES'!$A$124</definedName>
    <definedName name="R.H.Waterproofing_Type_04_Horizontal">'[65]BASIC RATES'!$A$120</definedName>
    <definedName name="R.H.Waterproofing_Type_04_Horizontal_n.e.300mm">'[65]BASIC RATES'!$A$129</definedName>
    <definedName name="R.H.Waterproofing_Type_04_Vertical">'[65]BASIC RATES'!$A$116</definedName>
    <definedName name="R.H.Waterproofing_Type_04_Vertical_n.e.300mm">'[65]BASIC RATES'!$A$125</definedName>
    <definedName name="R.K.2000x1000_mm_size_Aluminium_framed_glazed_louvers">'[65]BASIC RATES'!$A$396</definedName>
    <definedName name="R.K.2900x1000mm_size_aluminium_louvers">'[65]BASIC RATES'!$A$397</definedName>
    <definedName name="R.K.40x40x6mm_MS_angle_Iron_for_S_C_Nosing">'[65]BASIC RATES'!$A$394</definedName>
    <definedName name="R.K.Cast_Iron_Grating_300mm">'[65]BASIC RATES'!$A$164</definedName>
    <definedName name="R.K.Cast_Iron_Grating_380mm">'[65]BASIC RATES'!$A$163</definedName>
    <definedName name="R.K.CD__Collapsible_door">'[65]BASIC RATES'!$A$367</definedName>
    <definedName name="R.K.CD1__Poller_shutter">'[65]BASIC RATES'!$A$369</definedName>
    <definedName name="R.K.CD2__Roller_shutter">'[65]BASIC RATES'!$A$368</definedName>
    <definedName name="R.K.D11__Aluminium_Frame___Louvered_door">'[65]BASIC RATES'!$A$364</definedName>
    <definedName name="R.K.D14_Aluminium_framed_louvered_door">'[65]BASIC RATES'!$A$365</definedName>
    <definedName name="R.K.D15_Aluminium_framed_with_louvered_door">'[65]BASIC RATES'!$A$366</definedName>
    <definedName name="R.K.D4__Al._framed__Al_louvered___Glass_door">'[65]BASIC RATES'!$A$361</definedName>
    <definedName name="R.K.D9___Aluminium_framed_louvered_door">'[65]BASIC RATES'!$A$381</definedName>
    <definedName name="R.K.D9_Aluminium_framed_Aluminium_louvered_door">'[65]BASIC RATES'!#REF!</definedName>
    <definedName name="R.K.F1__fanlight">'[65]BASIC RATES'!$A$382</definedName>
    <definedName name="R.K.GI_Hand_rail_for_walk_ways">'[65]BASIC RATES'!$A$393</definedName>
    <definedName name="R.K.GI_Hand_rail_with_brackets">'[65]BASIC RATES'!$A$392</definedName>
    <definedName name="R.K.Handrail_SS_1200mm_height_50mm_topp_rail">'[65]BASIC RATES'!$A$162</definedName>
    <definedName name="R.K.Handrail_SS_900mm_height_50mm_topp_rail">'[65]BASIC RATES'!$A$161</definedName>
    <definedName name="R.K.House_number_identification_boards">'[65]BASIC RATES'!$A$383</definedName>
    <definedName name="R.K.Ladder_GA">'[65]BASIC RATES'!$A$171</definedName>
    <definedName name="R.K.Manhole_Cover__CI_HD_DS_1000x2000mm">'[65]BASIC RATES'!$A$168</definedName>
    <definedName name="R.K.Manhole_Cover__CI_HD_DS_1100x1100">'[65]BASIC RATES'!$A$166</definedName>
    <definedName name="R.K.Manhole_Cover__CI_HD_DS_600x1200mm">'[65]BASIC RATES'!$A$169</definedName>
    <definedName name="R.K.Manhole_Cover__CI_HD_DS_600x600">'[65]BASIC RATES'!$A$165</definedName>
    <definedName name="R.K.Manhole_Cover__CI_HD_DS_800x600">'[65]BASIC RATES'!$A$167</definedName>
    <definedName name="R.K.P1__Aluminium_Glazed_Partition">'[65]BASIC RATES'!$A$370</definedName>
    <definedName name="R.K.Rungs_SS_staggered_Patern">'[65]BASIC RATES'!$A$170</definedName>
    <definedName name="R.K.Steel_Door_Type_GD1">'[65]BASIC RATES'!$A$268</definedName>
    <definedName name="R.K.Steel_Door_Type_GD2">'[65]BASIC RATES'!$A$269</definedName>
    <definedName name="R.K.Steel_Fence_2300mm_Height">'[65]BASIC RATES'!$A$267</definedName>
    <definedName name="R.K.Steel_Gate_1800x3200">'[65]BASIC RATES'!$A$266</definedName>
    <definedName name="R.K.W1_Aluminium_glazed_window">'[65]BASIC RATES'!$A$371</definedName>
    <definedName name="R.K.W10__Glazed_window">'[65]BASIC RATES'!$A$380</definedName>
    <definedName name="R.K.W2__Aluminium_glassed_window">'[65]BASIC RATES'!$A$372</definedName>
    <definedName name="R.K.W3__Aluminium_glassed_window">'[65]BASIC RATES'!$A$373</definedName>
    <definedName name="R.K.W4_Al._frame_with_louvers">'[65]BASIC RATES'!$A$375</definedName>
    <definedName name="R.K.W6_Glazed_window">'[65]BASIC RATES'!$A$376</definedName>
    <definedName name="R.K.W7_Fixed_louvered_window">'[65]BASIC RATES'!$A$377</definedName>
    <definedName name="R.K.W8_Fixed_louver">'[65]BASIC RATES'!$A$378</definedName>
    <definedName name="R.K.W9_window">'[65]BASIC RATES'!$A$379</definedName>
    <definedName name="R.L.D2_Aluminium_framed_Plywood_door">'[65]BASIC RATES'!$A$358</definedName>
    <definedName name="R.L.D3_Pvc_Door_with_Aluminium_frame">'[65]BASIC RATES'!$A$359</definedName>
    <definedName name="R.L.D5__Timber_framed_Fire_Door">'[65]BASIC RATES'!$A$362</definedName>
    <definedName name="R.L.D8__Timber_Door">'[65]BASIC RATES'!$A$363</definedName>
    <definedName name="R.L.DW1___Door_Window">'[65]BASIC RATES'!$A$360</definedName>
    <definedName name="R.L.Supply___Installation_of_D1_solid_timber_Door">'[65]BASIC RATES'!$A$357</definedName>
    <definedName name="R.M.Aluminium_CLading">'[65]BASIC RATES'!$A$174</definedName>
    <definedName name="R.N.Ceiling_Type_C1_Metal_Linear">'[65]BASIC RATES'!$A$175</definedName>
    <definedName name="R.N.Ceiling_Type_C1_Metal_Linear_Suspended_Height_3.30m">'[65]BASIC RATES'!$A$183</definedName>
    <definedName name="R.N.Ceiling_Type_C2_PVC_Laminated">'[65]BASIC RATES'!$A$176</definedName>
    <definedName name="R.N.Ceiling_Type_C3_Metal_Clipon">'[65]BASIC RATES'!$A$177</definedName>
    <definedName name="R.N.Ceiling_Type_C4_Minaral_Fibre">'[65]BASIC RATES'!$A$179</definedName>
    <definedName name="R.N.Ceiling_Type_C4_Minaral_Fibre_Vertical">'[65]BASIC RATES'!$A$184</definedName>
    <definedName name="R.N.Ceiling_Type_C5_Coffered__Gypsum_Board_H">'[65]BASIC RATES'!$A$180</definedName>
    <definedName name="R.N.Ceiling_Type_C5_Coffered__Gypsum_Board_V">'[65]BASIC RATES'!$A$181</definedName>
    <definedName name="R.N.Ceiling_Type_C5a_Coffered__Gypsum_Decorative">'[65]BASIC RATES'!$A$185</definedName>
    <definedName name="R.N.Ceiling_Type_C5a_Coffered__Gypsum_Decorative_E.6.5m">'[65]BASIC RATES'!$A$186</definedName>
    <definedName name="R.N.Ceiling_Type_CMC_Metal">'[65]BASIC RATES'!$A$178</definedName>
    <definedName name="R.N.Gypsum_Plaster_Decoratiove_Moulder_80x100mm">'[65]BASIC RATES'!$A$182</definedName>
    <definedName name="R.P.Polycarbonate_roof_with_Powder_coated_Aluminium_frame_work">'[65]BASIC RATES'!$A$395</definedName>
    <definedName name="R.Q.63mm_dia_puddle_flange">'[65]BASIC RATES'!$A$406</definedName>
    <definedName name="R.T.100mm_hight_cement_skirting">'[65]BASIC RATES'!$A$196</definedName>
    <definedName name="R.T.100mm_hight_Marble_granite_skirting">'[65]BASIC RATES'!$A$195</definedName>
    <definedName name="R.T.100mm_hight_porcelain_Mat_finish_floor_tile_skirting">'[65]BASIC RATES'!$A$192</definedName>
    <definedName name="R.T.100mm_hight_porcelain_polished_finish_floor_tile_skirting">'[65]BASIC RATES'!$A$191</definedName>
    <definedName name="R.T.100mm_hight_timber_skirting">'[65]BASIC RATES'!$A$221</definedName>
    <definedName name="R.T.100mm_Wall_tile_Marble_Granite_Moulding_to_Lift">'[65]BASIC RATES'!$A$235</definedName>
    <definedName name="R.T.150x150_Floor_Tile_Porcelain_NonSlip_F1">'[65]BASIC RATES'!$A$206</definedName>
    <definedName name="R.T.16mm_External_Plaster_Coping">'[65]BASIC RATES'!$A$243</definedName>
    <definedName name="R.T.16mm_thick_internal_plaster_finish_semi_rough">'[65]BASIC RATES'!$A$233</definedName>
    <definedName name="R.T.16mm_thick_internal_plaster_finish_semi_rough_height_e.3.5m">'[65]BASIC RATES'!$A$241</definedName>
    <definedName name="R.T.16mm_thick_internal_plaster_finish_semi_rough_height_e.7.0m">'[65]BASIC RATES'!$A$242</definedName>
    <definedName name="R.T.16mm_thick_internal_plaster_finish_smooth">'[65]BASIC RATES'!$A$232</definedName>
    <definedName name="R.T.16mm_thick_internal_plaster_finish_smooth_height_e.3.5m">'[65]BASIC RATES'!$A$239</definedName>
    <definedName name="R.T.16mm_thick_internal_plaster_finish_smooth_height_e.7.0m">'[65]BASIC RATES'!$A$240</definedName>
    <definedName name="R.T.16mm_thick_rough_plaster_to_External_Walls">'[65]BASIC RATES'!$A$238</definedName>
    <definedName name="R.T.200mm_hight_cement_skirting">'[65]BASIC RATES'!$A$193</definedName>
    <definedName name="R.T.200mm_hight_cement_skirting_curved">'[65]BASIC RATES'!$A$194</definedName>
    <definedName name="R.T.20mm_thick_internal_soffit_plaster_Sloping_Width_e_300">'[65]BASIC RATES'!$A$244</definedName>
    <definedName name="R.T.20mm_thick_internal_soffit_plaster_Sloping_Width_ne_300">'[65]BASIC RATES'!$A$245</definedName>
    <definedName name="R.T.20mm_thick_internal_soffit_plaster_with_cement_floating">'[65]BASIC RATES'!$A$293</definedName>
    <definedName name="R.T.20mm_thk._cement_rendering_with_3mm_thk._glass_strips">'[65]BASIC RATES'!$A$339</definedName>
    <definedName name="R.T.300x300_FLoor_Tile_Mat_Finish_F14">'[65]BASIC RATES'!$A$230</definedName>
    <definedName name="R.T.300x300_Floor_Tile_Porcelain_Mat_F5">'[65]BASIC RATES'!$A$200</definedName>
    <definedName name="R.T.300x300_Floor_Tile_Porcelain_Rustic_F6">'[65]BASIC RATES'!$A$231</definedName>
    <definedName name="R.T.600x300_Floor_Tile_Porcelain_Mat_F3">'[65]BASIC RATES'!$A$188</definedName>
    <definedName name="R.T.600x300_Floor_Tile_Porcelain_Mat_F3_LM">'[65]BASIC RATES'!$A$224</definedName>
    <definedName name="R.T.600x300mm_Wall_tile_Porcelain_Polished_finish">'[65]BASIC RATES'!$A$236</definedName>
    <definedName name="R.T.600x600_Floor_Tile_Granite_Polished_F13">'[65]BASIC RATES'!$A$216</definedName>
    <definedName name="R.T.600x600_Floor_Tile_Porcelain_Polished_F2">'[65]BASIC RATES'!$A$187</definedName>
    <definedName name="R.T.600x600mm_Wall_tile_Marble_Granite">'[65]BASIC RATES'!$A$234</definedName>
    <definedName name="R.T.608x608_Vinyle_Tiles_F11">'[65]BASIC RATES'!$A$212</definedName>
    <definedName name="R.T.Cement_cut_and_Polished_finish">'[65]BASIC RATES'!$A$287</definedName>
    <definedName name="R.T.Cement_Rendering_15mm">'[65]BASIC RATES'!$A$131</definedName>
    <definedName name="R.T.Cement_Rendering_15mm_Gray_Cement_Floating">'[65]BASIC RATES'!$A$134</definedName>
    <definedName name="R.T.Cement_Rendering_20mm">'[65]BASIC RATES'!$A$132</definedName>
    <definedName name="R.T.Cement_Rendering_20mm_Gray_Cement_Floating">'[65]BASIC RATES'!$A$135</definedName>
    <definedName name="R.T.Cement_Rendering_30mm">'[65]BASIC RATES'!$A$133</definedName>
    <definedName name="R.T.Cement_Rendering_30mm_Gray_Cement_Floating">'[65]BASIC RATES'!$A$136</definedName>
    <definedName name="R.T.Cement_Rendering_with_Neat_cement_floating">'[65]BASIC RATES'!$A$201</definedName>
    <definedName name="R.T.Cement_Rendering_with_Pudlo">'[65]BASIC RATES'!$A$197</definedName>
    <definedName name="R.T.Cut_Pile_Carpet">'[65]BASIC RATES'!$A$217</definedName>
    <definedName name="R.T.Fair_face___Block_walls">'[65]BASIC RATES'!$A$384</definedName>
    <definedName name="R.T.Fair_face_for_concrete_walls">'[65]BASIC RATES'!$A$385</definedName>
    <definedName name="R.T.Faire_Face_Rubble_Facing">'[65]BASIC RATES'!$A$297</definedName>
    <definedName name="R.T.Granite_cladding">'[65]BASIC RATES'!$A$237</definedName>
    <definedName name="R.T.Granite_cladding_Internal">'[65]BASIC RATES'!$A$292</definedName>
    <definedName name="R.T.Granite_cladding_n.e_300">'[65]BASIC RATES'!$A$291</definedName>
    <definedName name="R.T.Granolathic_finish_with_Horizontal_Grooves">'[65]BASIC RATES'!$A$190</definedName>
    <definedName name="R.T.Honey_comb_repair_in_reveals">'[65]BASIC RATES'!$A$386</definedName>
    <definedName name="R.T.make_drip_edge_size_25_x_12mm">'[65]BASIC RATES'!$A$340</definedName>
    <definedName name="R.T.Plaster_Plinth_20mm_thick_with_coloured_cement_flaoting">'[65]BASIC RATES'!$A$270</definedName>
    <definedName name="R.T.Power_Float_finish_Monolothic_Concrete">'[65]BASIC RATES'!$A$189</definedName>
    <definedName name="R.T.Threshold_granite_100x25mm">'[65]BASIC RATES'!$A$199</definedName>
    <definedName name="R.T.Threshold_granite_112.5x25mm">'[65]BASIC RATES'!$A$202</definedName>
    <definedName name="R.T.Threshold_granite_150x25mm">'[65]BASIC RATES'!$A$213</definedName>
    <definedName name="R.T.Threshold_granite_200x25mm">'[65]BASIC RATES'!$A$227</definedName>
    <definedName name="R.T.Threshold_granite_225x25mm">'[65]BASIC RATES'!$A$198</definedName>
    <definedName name="R.T.Timber_Floor_F12">'[65]BASIC RATES'!$A$218</definedName>
    <definedName name="R.T.Timber_Floor_F12_900x1000">'[65]BASIC RATES'!$A$220</definedName>
    <definedName name="R.T.Timber_Steps_F12_2000x1000">'[65]BASIC RATES'!$A$219</definedName>
    <definedName name="R.T.Vanity_Counters_1250x600">'[65]BASIC RATES'!$A$204</definedName>
    <definedName name="R.T.Vanity_Counters_1825x600">'[65]BASIC RATES'!$A$203</definedName>
    <definedName name="R.T.Vanity_Counters_1962x600">'[65]BASIC RATES'!$A$211</definedName>
    <definedName name="R.T.Vanity_Counters_2040x600">'[65]BASIC RATES'!$A$223</definedName>
    <definedName name="R.T.Vanity_Counters_2487x600">'[65]BASIC RATES'!$A$215</definedName>
    <definedName name="R.T.Vanity_Counters_2500x600">'[65]BASIC RATES'!$A$205</definedName>
    <definedName name="R.T.Vanity_Counters_2530x600">'[65]BASIC RATES'!$A$225</definedName>
    <definedName name="R.T.Vanity_Counters_3115x600">'[65]BASIC RATES'!$A$228</definedName>
    <definedName name="R.T.Vanity_Counters_3990x600">'[65]BASIC RATES'!$A$222</definedName>
    <definedName name="R.T.Vanity_Counters_4038x600">'[65]BASIC RATES'!$A$214</definedName>
    <definedName name="R.T.Vanity_Counters_4490x600">'[65]BASIC RATES'!$A$226</definedName>
    <definedName name="R.T.Vanity_Counters_4500x600">'[65]BASIC RATES'!$A$207</definedName>
    <definedName name="R.T.Vanity_Counters_4587x600">'[65]BASIC RATES'!$A$208</definedName>
    <definedName name="R.T.Vanity_Counters_4650x600">'[65]BASIC RATES'!$A$209</definedName>
    <definedName name="R.T.Vanity_Counters_4665x600">'[65]BASIC RATES'!$A$229</definedName>
    <definedName name="R.T.Vanity_Counters_956x600">'[65]BASIC RATES'!$A$210</definedName>
    <definedName name="R.V.Emulsion_paint_to_concrete_faces_attached_column_to_block_wall">'[65]BASIC RATES'!$A$252</definedName>
    <definedName name="R.V.Emulsion_paint_to_concrete_faces_curved_walls_attached_column">'[65]BASIC RATES'!$A$249</definedName>
    <definedName name="R.V.Emulsion_paint_to_concrete_faces_isolated_column">'[65]BASIC RATES'!$A$250</definedName>
    <definedName name="R.V.Emulsion_paint_to_concrete_faces_walls_attached_column">'[65]BASIC RATES'!$A$248</definedName>
    <definedName name="R.V.Emulsion_paint_to_semi_rough_faces">'[65]BASIC RATES'!$A$247</definedName>
    <definedName name="R.V.Emulsion_paint_to_smooth_faces">'[65]BASIC RATES'!$A$246</definedName>
    <definedName name="R.V.Emulsion_paint_to_smooth_faces_two_to_three_coats">'[65]BASIC RATES'!$A$295</definedName>
    <definedName name="R.V.Emulsion_paint_to_soffits_concrete">'[65]BASIC RATES'!$A$253</definedName>
    <definedName name="R.V.Emulsion_paint_to_soffits_concrete_width_n.e_300mm">'[65]BASIC RATES'!$A$255</definedName>
    <definedName name="R.V.Emulsion_paint_to_soffits_smooth_faces">'[65]BASIC RATES'!$A$254</definedName>
    <definedName name="R.V.Five_Coat_Paint_System_External_walls">'[65]BASIC RATES'!$A$251</definedName>
    <definedName name="R.V.Five_Coat_Paint_System_External_walls_LM">'[65]BASIC RATES'!$A$256</definedName>
    <definedName name="R.V.Sign_Column_Corner_Guard">'[65]BASIC RATES'!$A$258</definedName>
    <definedName name="R.V.Sign_Wall__corner_guard">'[65]BASIC RATES'!$A$259</definedName>
    <definedName name="R.V.Texture_Based_Paint">'[65]BASIC RATES'!$A$257</definedName>
    <definedName name="R.V.Texture_Based_Paint_to_Concrete_Faces">'[65]BASIC RATES'!$A$294</definedName>
    <definedName name="R.V.Weathershield_paint">'[65]BASIC RATES'!$A$387</definedName>
    <definedName name="R.W.Hume_Pipe_200mm_dia">'[65]BASIC RATES'!$A$298</definedName>
    <definedName name="R.W.Hume_Pipe_300mm_dia">'[65]BASIC RATES'!$A$299</definedName>
    <definedName name="R.W.Hume_Pipe_400mm_dia">'[65]BASIC RATES'!$A$300</definedName>
    <definedName name="R.W.Hume_Pipe_600mm_dia">'[65]BASIC RATES'!$A$301</definedName>
    <definedName name="R.W.Manhole_Garbage_Waste_450x450x450">'[65]BASIC RATES'!$A$317</definedName>
    <definedName name="R.W.Manhole_Garbage_Waste_450x450x600">'[65]BASIC RATES'!$A$318</definedName>
    <definedName name="R.W.Manhole_Grease_Trap_2000x1000x1200">'[65]BASIC RATES'!$A$319</definedName>
    <definedName name="R.W.Manhole_Sewer_1000x1000x1075">'[65]BASIC RATES'!$A$309</definedName>
    <definedName name="R.W.Manhole_Sewer_1000x1000x1200">'[65]BASIC RATES'!$A$310</definedName>
    <definedName name="R.W.Manhole_Sewer_1000x1000x950">'[65]BASIC RATES'!$A$308</definedName>
    <definedName name="R.W.Manhole_Sewer_450x450x450">'[65]BASIC RATES'!$A$302</definedName>
    <definedName name="R.W.Manhole_Sewer_600x600x500">'[65]BASIC RATES'!$A$303</definedName>
    <definedName name="R.W.Manhole_Sewer_600x600x650">'[65]BASIC RATES'!$A$304</definedName>
    <definedName name="R.W.Manhole_Sewer_900x900x775">'[65]BASIC RATES'!$A$305</definedName>
    <definedName name="R.W.Manhole_Sewer_900x900x875">'[65]BASIC RATES'!$A$306</definedName>
    <definedName name="R.W.Manhole_Sewer_900x900x900">'[65]BASIC RATES'!$A$307</definedName>
    <definedName name="R.W.Manhole_Sewer_Intercepter_1000x1000x1300">'[65]BASIC RATES'!$A$311</definedName>
    <definedName name="R.W.Manhole_Storm_Water_1200x1200x1250">'[65]BASIC RATES'!$A$320</definedName>
    <definedName name="R.W.Manhole_Storm_Water_1200x1200x2000">'[65]BASIC RATES'!$A$324</definedName>
    <definedName name="R.W.Manhole_Storm_Water_600x600x300">'[65]BASIC RATES'!$A$323</definedName>
    <definedName name="R.W.Manhole_Storm_Water_800x800x800">'[65]BASIC RATES'!$A$322</definedName>
    <definedName name="R.W.Manhole_Storm_Water_900x900x900">'[65]BASIC RATES'!$A$321</definedName>
    <definedName name="R.W.Manhole_waste_600x600x500">'[65]BASIC RATES'!$A$312</definedName>
    <definedName name="R.W.Manhole_waste_600x600x650">'[65]BASIC RATES'!$A$313</definedName>
    <definedName name="R.W.Manhole_waste_trap_300x300x200">'[65]BASIC RATES'!$A$314</definedName>
    <definedName name="R.W.Manhole_waste_trap_900x900x725">'[65]BASIC RATES'!$A$315</definedName>
    <definedName name="R.W.Manhole_waste_trap_900x900x750">'[65]BASIC RATES'!$A$316</definedName>
    <definedName name="R.X.220x110x80mm_Interlocking_Paving_Block">'[65]BASIC RATES'!$A$272</definedName>
    <definedName name="R.X.450x450x50mm_prcast_paving_slabs">'[65]BASIC RATES'!$A$273</definedName>
    <definedName name="R.X.900x250x100mm_RCC_precast_kerb">'[65]BASIC RATES'!$A$274</definedName>
    <definedName name="R.X.Automatic_Gate_Barrier">'[65]BASIC RATES'!$A$271</definedName>
    <definedName name="R_">[24]A!#REF!</definedName>
    <definedName name="R_D">#REF!</definedName>
    <definedName name="R_DATA">#REF!</definedName>
    <definedName name="raams">#REF!</definedName>
    <definedName name="RAASDRASDRYYASY" hidden="1">{"PriceSheetNoMargins",#N/A,FALSE,"PriceSheet"}</definedName>
    <definedName name="RADAR">[6]radar!$F$10</definedName>
    <definedName name="rag.600">#REF!</definedName>
    <definedName name="rag.b">#REF!</definedName>
    <definedName name="rag250x250">[55]Factors!$T$382</definedName>
    <definedName name="rag500x500">[55]Factors!$T$383</definedName>
    <definedName name="railingaluminium">#REF!</definedName>
    <definedName name="railingaluwallmounted">'[71]Build Up rate'!$D$69</definedName>
    <definedName name="railinggalvanized">#REF!</definedName>
    <definedName name="railingssteel">#REF!</definedName>
    <definedName name="railingssteelwallmounted">#REF!</definedName>
    <definedName name="railingsteel">#REF!</definedName>
    <definedName name="railingwallmounted">#REF!</definedName>
    <definedName name="raj">#REF!</definedName>
    <definedName name="RAJESH">#REF!</definedName>
    <definedName name="ram">#REF!</definedName>
    <definedName name="range">[264]RANGE!$A$8:$B$28</definedName>
    <definedName name="range1">#REF!</definedName>
    <definedName name="range11">#REF!</definedName>
    <definedName name="range2">[265]BOM!$K$1:$T$65536</definedName>
    <definedName name="RANGE21">#REF!</definedName>
    <definedName name="range3">#REF!</definedName>
    <definedName name="RANGE5">'[266]costing sheet'!$K$1:$Q$4092</definedName>
    <definedName name="Ranhxay" hidden="1">{"'Sheet1'!$L$16"}</definedName>
    <definedName name="rare">#REF!</definedName>
    <definedName name="rarewt" hidden="1">{#N/A,#N/A,FALSE,"CCTV"}</definedName>
    <definedName name="RatAna">#REF!</definedName>
    <definedName name="Rate_type">#REF!</definedName>
    <definedName name="rate11">#REF!</definedName>
    <definedName name="Rates">[238]Rates!$B:$E</definedName>
    <definedName name="RATIO">#REF!</definedName>
    <definedName name="rawl_plug">#REF!</definedName>
    <definedName name="rb" hidden="1">#REF!</definedName>
    <definedName name="RB7.4" hidden="1">#REF!</definedName>
    <definedName name="RBDCoad">[267]RBD!$F:$H</definedName>
    <definedName name="Rc_Costs">#REF!</definedName>
    <definedName name="RC_Mhrs">#REF!</definedName>
    <definedName name="RCArea" hidden="1">#REF!</definedName>
    <definedName name="rcc">#REF!</definedName>
    <definedName name="rcc_columns">#REF!</definedName>
    <definedName name="RCCA" hidden="1">{"'Sheet1'!$A$1:$R$58"}</definedName>
    <definedName name="RCdrain600x1000">#N/A</definedName>
    <definedName name="rchute1">#REF!</definedName>
    <definedName name="rchute2">#REF!</definedName>
    <definedName name="rClient">'[29]Raw Data'!$D$7</definedName>
    <definedName name="RCpile200Start9m">#N/A</definedName>
    <definedName name="rcwbgl">#REF!</definedName>
    <definedName name="rcwbgl2">#REF!</definedName>
    <definedName name="rDate">'[29]Raw Data'!$D$5</definedName>
    <definedName name="rDesc">'[29]Raw Data'!$D$9</definedName>
    <definedName name="RDX">#REF!</definedName>
    <definedName name="Re_En">[268]Summary!$A$2,[268]Summary!$A$1:$H$4,[268]Summary!$A$7:$B$7,[268]Summary!$A$6:$H$7,[268]Summary!$A$8:$H$8,[268]Summary!$A$9:$H$10,[268]Summary!$A$11:$H$12,[268]Summary!$A$13:$H$14,[268]Summary!$A$15:$H$16,[268]Summary!$A$17:$H$18,[268]Summary!$A$19:$H$21,[268]Summary!$A$22:$H$23</definedName>
    <definedName name="RE_SIZE">#REF!</definedName>
    <definedName name="ReaderProximity">[125]CCTV_EST1!#REF!</definedName>
    <definedName name="ReaderWiegand">'[155]ACS(1)'!#REF!</definedName>
    <definedName name="Rear">[269]COLUMN!#REF!</definedName>
    <definedName name="rear1">[269]COLUMN!#REF!</definedName>
    <definedName name="REARS">[269]COLUMN!#REF!</definedName>
    <definedName name="ReasonForDiff">#REF!</definedName>
    <definedName name="rebarperton">#REF!</definedName>
    <definedName name="rebarton">'[71]Build Up rate'!$D$7</definedName>
    <definedName name="rec">'[270]SAN REDUCED 1'!#REF!</definedName>
    <definedName name="RECEPT">#REF!</definedName>
    <definedName name="recess">#REF!</definedName>
    <definedName name="RECON">'[266]Main-Material'!#REF!</definedName>
    <definedName name="record">#REF!</definedName>
    <definedName name="rect_4_415">#REF!</definedName>
    <definedName name="RED">#REF!</definedName>
    <definedName name="redo" hidden="1">{#N/A,#N/A,FALSE,"ACQ_GRAPHS";#N/A,#N/A,FALSE,"T_1 GRAPHS";#N/A,#N/A,FALSE,"T_2 GRAPHS";#N/A,#N/A,FALSE,"COMB_GRAPHS"}</definedName>
    <definedName name="REERHAEHRA" hidden="1">{"'Sheet1'!$A$1:$R$58"}</definedName>
    <definedName name="Ref._No.____17169_GA_2006">"range4"</definedName>
    <definedName name="Ref.gas">[66]Price!$D$113</definedName>
    <definedName name="Ref.liq">[66]Price!$D$112</definedName>
    <definedName name="RefMWeGross">#REF!</definedName>
    <definedName name="RefPlant">#REF!</definedName>
    <definedName name="RefPlantBasis">#REF!</definedName>
    <definedName name="RefPlantDate">#REF!</definedName>
    <definedName name="RefPlantPPH">#REF!</definedName>
    <definedName name="REG">#REF!</definedName>
    <definedName name="REGION">#REF!</definedName>
    <definedName name="region_depts">#REF!</definedName>
    <definedName name="RegionTable">#REF!</definedName>
    <definedName name="REGIONYTD">#REF!</definedName>
    <definedName name="REGULAR_STAFF">#REF!</definedName>
    <definedName name="REGULAR_STAFF_ENTRY">#REF!</definedName>
    <definedName name="regulator">#REF!</definedName>
    <definedName name="REHEQTH" hidden="1">{"'Sheet1'!$A$1:$R$58"}</definedName>
    <definedName name="rehh">#REF!</definedName>
    <definedName name="reimb">'[29]Raw Data'!#REF!</definedName>
    <definedName name="Reinforced_concrete">#REF!</definedName>
    <definedName name="Reinstate">#REF!</definedName>
    <definedName name="Reinstatement">#REF!</definedName>
    <definedName name="Relocation_Allowance">'[29]Raw Data'!$I$25:$J$26</definedName>
    <definedName name="Remarks">#REF!</definedName>
    <definedName name="Remeasurement">#REF!</definedName>
    <definedName name="removalonly">#REF!</definedName>
    <definedName name="RemoveSurcharge">#N/A</definedName>
    <definedName name="REP">#REF!</definedName>
    <definedName name="repet">"$#REF!.$#REF!$#REF!"</definedName>
    <definedName name="repet_10">"$#REF!.$#REF!$#REF!"</definedName>
    <definedName name="repet_9">"$#REF!.$#REF!$#REF!"</definedName>
    <definedName name="repeterpanal">"$#REF!.$AC$28"</definedName>
    <definedName name="report">#REF!</definedName>
    <definedName name="report1" hidden="1">{#N/A,#N/A,FALSE,"特殊室（ＢＱ表）"}</definedName>
    <definedName name="report2" hidden="1">{#N/A,#N/A,FALSE,"特殊室（ＢＱ表）"}</definedName>
    <definedName name="ReportingHierarchy">#REF!</definedName>
    <definedName name="reportlist">[133]Input!$L$13:$L$32</definedName>
    <definedName name="reports">[133]Input!$E$52</definedName>
    <definedName name="ReportVersion">[133]Input!$B$12</definedName>
    <definedName name="Request">#REF!</definedName>
    <definedName name="RES">#REF!</definedName>
    <definedName name="resal_rate">#REF!</definedName>
    <definedName name="resale_cost">#REF!</definedName>
    <definedName name="ResaleComm">'[110]Dist Controls'!#REF!</definedName>
    <definedName name="ResaleResi">#REF!</definedName>
    <definedName name="resansc">'[132]NEW PRODUCT SALES FORCE'!$C$19</definedName>
    <definedName name="ResDoa">'[164]Distributor Details'!$G$3:$G$10</definedName>
    <definedName name="resetamountline">#REF!</definedName>
    <definedName name="resetstatline">#REF!</definedName>
    <definedName name="ResiEscRate">#REF!</definedName>
    <definedName name="ResiOHOther">#REF!</definedName>
    <definedName name="resource">'[271]Bill No. 2 - Carpark'!$A$1:$C$97</definedName>
    <definedName name="Response_Cost">#REF!</definedName>
    <definedName name="ResPricing">#REF!</definedName>
    <definedName name="rEstimator">'[29]Raw Data'!$D$11</definedName>
    <definedName name="RESTR">#REF!</definedName>
    <definedName name="Restructuring_charges_growth_fore">#REF!</definedName>
    <definedName name="Retail">#REF!</definedName>
    <definedName name="retail.cfa">[126]Summary!$E$2</definedName>
    <definedName name="RETAINING_WALL">#REF!</definedName>
    <definedName name="Retaining_Walls_Data">#REF!</definedName>
    <definedName name="Retention_percent1">#REF!</definedName>
    <definedName name="Retention_percent2">#REF!</definedName>
    <definedName name="rev_account">'[273]Calc Inputs'!$B$16</definedName>
    <definedName name="rev_appl">'[273]Calc Inputs'!$B$19</definedName>
    <definedName name="rev_category">'[273]Calc Inputs'!$B$15</definedName>
    <definedName name="rev_date">'[273]Calc Inputs'!$B$17</definedName>
    <definedName name="rev_freq">'[273]Calc Inputs'!$B$18</definedName>
    <definedName name="Rev_No">#REF!</definedName>
    <definedName name="rev_share">#REF!</definedName>
    <definedName name="rev_share_year">#REF!</definedName>
    <definedName name="RevDate">#REF!</definedName>
    <definedName name="Revision">#REF!</definedName>
    <definedName name="revision1">#REF!</definedName>
    <definedName name="REW" hidden="1">#REF!</definedName>
    <definedName name="RFcover">'[76]Ra  stair'!#REF!</definedName>
    <definedName name="rfloor">#REF!</definedName>
    <definedName name="RFQ" hidden="1">{#N/A,#N/A,FALSE,"BOX RFQ SHEET"}</definedName>
    <definedName name="RFstructure">'[76]Ra  stair'!#REF!</definedName>
    <definedName name="RFTGLKYHY">#REF!</definedName>
    <definedName name="RFV" hidden="1">{#N/A,#N/A,FALSE,"CCTV"}</definedName>
    <definedName name="RG.1">#REF!</definedName>
    <definedName name="rg.10">#REF!</definedName>
    <definedName name="RG.2">#REF!</definedName>
    <definedName name="RG.3">#REF!</definedName>
    <definedName name="RG.4">#REF!</definedName>
    <definedName name="RG.5">#REF!</definedName>
    <definedName name="rg.6">#REF!</definedName>
    <definedName name="rg.7">#REF!</definedName>
    <definedName name="rg.8">#REF!</definedName>
    <definedName name="rg.9">#REF!</definedName>
    <definedName name="RGERGRG" hidden="1">#REF!</definedName>
    <definedName name="RGFGFTQWRGFT" hidden="1">{"PriceSheetNoMargins",#N/A,FALSE,"PriceSheet"}</definedName>
    <definedName name="rgtawerg" hidden="1">{"PriceSheetNoMargins",#N/A,FALSE,"PriceSheet"}</definedName>
    <definedName name="RGTBHDGBHADGB" hidden="1">{"PriceSheetNoMargins",#N/A,FALSE,"PriceSheet"}</definedName>
    <definedName name="RHS">#REF!</definedName>
    <definedName name="ridge.t">#REF!</definedName>
    <definedName name="rinolclear">#REF!</definedName>
    <definedName name="rinolcr1">#REF!</definedName>
    <definedName name="rinolcr2">#REF!</definedName>
    <definedName name="rinolcr3">#REF!</definedName>
    <definedName name="rinolep">#REF!</definedName>
    <definedName name="rinolepoxy">#REF!</definedName>
    <definedName name="rinolpu700">#REF!</definedName>
    <definedName name="rinolstd">#REF!</definedName>
    <definedName name="riser">#REF!</definedName>
    <definedName name="Riser110">#REF!</definedName>
    <definedName name="Riser32">#REF!</definedName>
    <definedName name="risk">#REF!</definedName>
    <definedName name="RiskAfterRecalcMacro">"FailureLoop"</definedName>
    <definedName name="RiskAutoStopPercChange">1.5</definedName>
    <definedName name="RiskBeforeSimMacro">"Initialise_Model"</definedName>
    <definedName name="RiskCollectDistributionSamples">2</definedName>
    <definedName name="RiskCorrelationSheet">'[29]Raw Data'!#REF!</definedName>
    <definedName name="RiskExcelReportsGoInNewWorkbook">TRUE</definedName>
    <definedName name="RiskExcelReportsToGenerate">0</definedName>
    <definedName name="RiskFixedSeed">1</definedName>
    <definedName name="RiskGenerateExcelReportsAtEndOfSimulation">FALSE</definedName>
    <definedName name="RiskHasSettings">TRUE</definedName>
    <definedName name="RiskMinimizeOnStart">FALSE</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0</definedName>
    <definedName name="RiskStatFunctionsUpdateFreq">1</definedName>
    <definedName name="RiskTemplateSheetName">"myTemplate"</definedName>
    <definedName name="RiskUpdateStatFunctions">TRUE</definedName>
    <definedName name="RiskUseDifferentSeedForEachSim">FALSE</definedName>
    <definedName name="RiskUseFixedSeed">FALSE</definedName>
    <definedName name="RiskUseMultipleCPUs">FALSE</definedName>
    <definedName name="riverpebble">#REF!</definedName>
    <definedName name="rkd" hidden="1">{#N/A,#N/A,FALSE,"CCTV"}</definedName>
    <definedName name="rLocation">'[29]Raw Data'!$D$8</definedName>
    <definedName name="RM">#REF!</definedName>
    <definedName name="RMB">#REF!</definedName>
    <definedName name="rmkpimp">#REF!</definedName>
    <definedName name="rmkploc">#REF!</definedName>
    <definedName name="RNAME">#REF!</definedName>
    <definedName name="RND">#REF!</definedName>
    <definedName name="RnD_expense_fore">#REF!</definedName>
    <definedName name="RnD_expense_growth_fore">#REF!</definedName>
    <definedName name="RnD_expenses_fore">#REF!</definedName>
    <definedName name="RNN">[19]COLUMN!#REF!</definedName>
    <definedName name="Road">#REF!</definedName>
    <definedName name="Road_Diversion">#REF!</definedName>
    <definedName name="Roads">#REF!</definedName>
    <definedName name="ROADWAY_FIXT">#REF!</definedName>
    <definedName name="roof2" hidden="1">{#N/A,#N/A,FALSE,"Sub2.1";#N/A,#N/A,FALSE,"Conc2.2";#N/A,#N/A,FALSE,"Block2.3";#N/A,#N/A,FALSE,"Roof2.4";#N/A,#N/A,FALSE,"wood2.5";#N/A,#N/A,FALSE,"Door2.6";#N/A,#N/A,FALSE,"Finish2.7";#N/A,#N/A,FALSE,"Service2.8";#N/A,#N/A,FALSE,"Summary2"}</definedName>
    <definedName name="Roofstructure">'[76]Ra  stair'!#REF!</definedName>
    <definedName name="Room_No.">#REF!</definedName>
    <definedName name="Room_Reference">#REF!</definedName>
    <definedName name="ROUND">#REF!</definedName>
    <definedName name="Round_Column_Data">#REF!</definedName>
    <definedName name="ROUND_COLUMNS">#REF!</definedName>
    <definedName name="ROW">#REF!</definedName>
    <definedName name="rowend">[133]Input!$B$125</definedName>
    <definedName name="rowref">#REF!</definedName>
    <definedName name="RowRIFRollL">[110]Forecast!#REF!</definedName>
    <definedName name="RowRIFRollN">[110]Forecast!#REF!</definedName>
    <definedName name="RowRIFRollO">[110]Forecast!#REF!</definedName>
    <definedName name="RowRIFRollS">[110]Forecast!#REF!</definedName>
    <definedName name="rowstart">[133]Input!$B$52</definedName>
    <definedName name="RP">#REF!</definedName>
    <definedName name="RPI54.1">#REF!</definedName>
    <definedName name="rplab">"$#REF!.$Y$26"</definedName>
    <definedName name="rpmat">"$#REF!.$AC$26"</definedName>
    <definedName name="RPP_Typ">[261]Definitions!$B$4</definedName>
    <definedName name="rProjectNo">'[29]Raw Data'!$D$6</definedName>
    <definedName name="Rpt_CurrYr">#REF!</definedName>
    <definedName name="rr" hidden="1">#REF!</definedName>
    <definedName name="rrawt" hidden="1">{"PriceSheetNoMargins",#N/A,FALSE,"PriceSheet"}</definedName>
    <definedName name="RRERW" hidden="1">{#N/A,#N/A,FALSE,"CCTV"}</definedName>
    <definedName name="RRGHSDFHSDFH" hidden="1">{"PriceSheetNoMargins",#N/A,FALSE,"PriceSheet"}</definedName>
    <definedName name="RRHHH">#REF!</definedName>
    <definedName name="rrqrer">[28]!rrqrer</definedName>
    <definedName name="rrrr">#REF!</definedName>
    <definedName name="rrrrrrrrrrrrrrrrrrrrrrrrrrrrrrrrae" hidden="1">{"PriceSheetNoMargins",#N/A,FALSE,"PriceSheet"}</definedName>
    <definedName name="RRRWA\" hidden="1">{"PriceSheetNoMargins",#N/A,FALSE,"PriceSheet"}</definedName>
    <definedName name="RRTTG" hidden="1">{"PriceSheetNoMargins",#N/A,FALSE,"PriceSheet"}</definedName>
    <definedName name="rrwre">#REF!</definedName>
    <definedName name="rshutter1">#REF!</definedName>
    <definedName name="rshutter2">#REF!</definedName>
    <definedName name="rshutter3">#REF!</definedName>
    <definedName name="rshutter4">#REF!</definedName>
    <definedName name="rshutter5">#REF!</definedName>
    <definedName name="rshutter6">#REF!</definedName>
    <definedName name="rsktg">#REF!</definedName>
    <definedName name="RsmName">'[164]Distributor Details'!$D$3:$D$16</definedName>
    <definedName name="rt1e">'[274]RT2-D'!#REF!</definedName>
    <definedName name="rt2d">'[274]RT2-D'!#REF!</definedName>
    <definedName name="RTAWRT" hidden="1">{"PriceSheetNoMargins",#N/A,FALSE,"PriceSheet"}</definedName>
    <definedName name="rtertaqtwer" hidden="1">{"PriceSheetNoMargins",#N/A,FALSE,"PriceSheet"}</definedName>
    <definedName name="rtgh"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rtr">'[110]Bill 5 - Carpark'!#REF!</definedName>
    <definedName name="rtrg">#REF!</definedName>
    <definedName name="rtrrrrrtrtr" hidden="1">{#N/A,#N/A,FALSE,"Cust.Disc.Profile";#N/A,#N/A,FALSE,"Referral 1";#N/A,#N/A,FALSE,"Referral 2";#N/A,#N/A,FALSE,"Referral 3";#N/A,#N/A,FALSE,"Approval+Reportback "}</definedName>
    <definedName name="RTRTRT" hidden="1">{"PriceSheetNoMargins",#N/A,FALSE,"PriceSheet"}</definedName>
    <definedName name="rtrtrtrtrtrtrtrtrtrtrtrt">#REF!</definedName>
    <definedName name="RTY" hidden="1">{"'Sheet1'!$A$1:$R$58"}</definedName>
    <definedName name="rub">#REF!</definedName>
    <definedName name="rubberwall">#REF!</definedName>
    <definedName name="ruy">#REF!</definedName>
    <definedName name="rw">#REF!</definedName>
    <definedName name="rwaqgftr" hidden="1">{"PriceSheetNoMargins",#N/A,FALSE,"PriceSheet"}</definedName>
    <definedName name="rwatt">#REF!</definedName>
    <definedName name="rwdp">#REF!</definedName>
    <definedName name="rwmf">#REF!</definedName>
    <definedName name="rWorkWeek">'[29]Raw Data'!$G$11</definedName>
    <definedName name="RWSDVSDAVGDV" hidden="1">{"PriceSheetNoMargins",#N/A,FALSE,"PriceSheet"}</definedName>
    <definedName name="rwwwwwwwwwwwwwwwww" hidden="1">{"PriceSheetNoMargins",#N/A,FALSE,"PriceSheet"}</definedName>
    <definedName name="RYJURYDJUDJU" hidden="1">{"PriceSheetNoMargins",#N/A,FALSE,"PriceSheet"}</definedName>
    <definedName name="RYRYUDRJUS" hidden="1">{"PriceSheetNoMargins",#N/A,FALSE,"PriceSheet"}</definedName>
    <definedName name="S.2000_x_1000mm_size_Aluminium_louvers">[65]RESOURCES!$A$356</definedName>
    <definedName name="S.2900x1000mm_size_aluminium_louvers">[65]RESOURCES!$A$357</definedName>
    <definedName name="S.38mm_thk._963_x_2269mm_size_solid_timber_door">[65]RESOURCES!$A$303</definedName>
    <definedName name="S.40x40x6mm_Ms_Angle_Iron_for_S_C_Nosing_by_Pit_top_railings">[65]RESOURCES!$A$354</definedName>
    <definedName name="S.Allow_for_Fabricate_and_FIx_Silt_Trap_for_Dewatering">[65]RESOURCES!$A$51</definedName>
    <definedName name="S.Aluminium_Clading">[65]RESOURCES!$A$144</definedName>
    <definedName name="S.Aluminium_frame_work___D2">[65]RESOURCES!$A$310</definedName>
    <definedName name="S.Aluminium_frame_work___D3">[65]RESOURCES!$A$311</definedName>
    <definedName name="S.Application_of_Barra_Emulsion">[65]RESOURCES!$A$344</definedName>
    <definedName name="S.Automatic_Gate_Barrier">[65]RESOURCES!$A$201</definedName>
    <definedName name="S.Barrel_Bolt___Pull_ring___Brass">[65]RESOURCES!$A$307</definedName>
    <definedName name="s.Carpark_Safty_Accessories">[65]RESOURCES!$A$196</definedName>
    <definedName name="S.Casr_Iron_Grating">[65]RESOURCES!$A$131</definedName>
    <definedName name="S.CD__Door_suuplied_by_Sharp_line">[65]RESOURCES!$A$324</definedName>
    <definedName name="S.CD1__Door_supplied_by_Sharp_line">[65]RESOURCES!$A$326</definedName>
    <definedName name="S.CD2__Door_supplied_by_Sharp_line">[65]RESOURCES!$A$325</definedName>
    <definedName name="S.Ceiling">[65]RESOURCES!$A$145</definedName>
    <definedName name="S.Cement_cut_and_polished_finish">[65]RESOURCES!$A$210</definedName>
    <definedName name="S.Concrete_Breaking_Sub_Contractor">[65]RESOURCES!$A$41</definedName>
    <definedName name="S.construction_joint_by_FINCO">[65]RESOURCES!$A$345</definedName>
    <definedName name="S.Cut_Pile_Carpet">[65]RESOURCES!$A$169</definedName>
    <definedName name="S.D1_Timber_frame_work">[65]RESOURCES!$A$302</definedName>
    <definedName name="S.D11__Door_supplied_by_Sharp_line">[65]RESOURCES!$A$321</definedName>
    <definedName name="S.D14__Door_supplied_by_Sharp_line">[65]RESOURCES!$A$322</definedName>
    <definedName name="S.D15__Door_supplied_by_Sharp_line">[65]RESOURCES!$A$323</definedName>
    <definedName name="S.D4_Door_Supplied_by_Sharp_line">[65]RESOURCES!$A$317</definedName>
    <definedName name="S.D5_Door_suuplied_by_Instyle">[65]RESOURCES!$A$318</definedName>
    <definedName name="S.D8__Door_supplied_by_Instyle">[65]RESOURCES!$A$319</definedName>
    <definedName name="S.D9__Door_by_Sharp_line">[65]RESOURCES!$A$320</definedName>
    <definedName name="S.Damper">[66]Price!$D$76</definedName>
    <definedName name="S.Deflection_Monitering_System">[65]RESOURCES!$A$219</definedName>
    <definedName name="S.Disposal_of_earth">[65]RESOURCES!$A$348</definedName>
    <definedName name="S.earth_work_support___planking___strtting___by_sub_contractor">[65]RESOURCES!$A$290</definedName>
    <definedName name="S.F1__fanlight_by_sharp_line">[65]RESOURCES!$A$337</definedName>
    <definedName name="S.Faire_Face_Rubble_Facing">[65]RESOURCES!$A$235</definedName>
    <definedName name="s.Five_Coat_Paint_System">[65]RESOURCES!$A$192</definedName>
    <definedName name="S.Fixing_Door">[65]RESOURCES!$A$308</definedName>
    <definedName name="S.GA_Ladder">[65]RESOURCES!$A$138</definedName>
    <definedName name="S.GI_Hand_rail_for_walk_ways_by_Pit_top_railings">[65]RESOURCES!$A$353</definedName>
    <definedName name="S.GI_Hand_rail_with_Brackets_by_Pit_top_Railings">[65]RESOURCES!$A$352</definedName>
    <definedName name="S.Granite_Threshold">[65]RESOURCES!$A$160</definedName>
    <definedName name="S.Granite_Work">[65]RESOURCES!$A$233</definedName>
    <definedName name="S.House_number_identification_board_by_S_C">[65]RESOURCES!$A$338</definedName>
    <definedName name="S.L.WALL">#REF!</definedName>
    <definedName name="S.olycarbonate_roof_with_frame_work_by_S_C">[65]RESOURCES!$A$355</definedName>
    <definedName name="S.P1__Aluminium_Glazed_Partition">[65]RESOURCES!$A$327</definedName>
    <definedName name="S.Pile_Hacking">[65]RESOURCES!$A$217</definedName>
    <definedName name="S.Repiare_Construction_Joint">[65]RESOURCES!$A$231</definedName>
    <definedName name="S.Rock_Blasting_Subcontractor">[65]RESOURCES!$A$40</definedName>
    <definedName name="s.s.5">#REF!</definedName>
    <definedName name="s.s.5_10">"$#REF!.$G$34"</definedName>
    <definedName name="s.s.5_4">#REF!</definedName>
    <definedName name="s.s.5_5">#REF!</definedName>
    <definedName name="s.s.5_9">"$#REF!.$G$34"</definedName>
    <definedName name="s.s.75">#REF!</definedName>
    <definedName name="s.s.75_10">"$#REF!.$G$33"</definedName>
    <definedName name="s.s.75_4">#REF!</definedName>
    <definedName name="s.s.75_5">#REF!</definedName>
    <definedName name="s.s.75_9">"$#REF!.$G$33"</definedName>
    <definedName name="S.S.WALL">#REF!</definedName>
    <definedName name="s.s1">#REF!</definedName>
    <definedName name="s.s1.5">#REF!</definedName>
    <definedName name="s.s1.5_10">"$#REF!.$G$31"</definedName>
    <definedName name="s.s1.5_4">#REF!</definedName>
    <definedName name="s.s1.5_5">#REF!</definedName>
    <definedName name="s.s1.5_9">"$#REF!.$G$31"</definedName>
    <definedName name="s.s1_10">"$#REF!.$G$32"</definedName>
    <definedName name="s.s1_4">#REF!</definedName>
    <definedName name="s.s1_5">#REF!</definedName>
    <definedName name="s.s1_9">"$#REF!.$G$32"</definedName>
    <definedName name="s.s2">#REF!</definedName>
    <definedName name="s.s2.5">#REF!</definedName>
    <definedName name="s.s2.5_10">"$#REF!.$G$29"</definedName>
    <definedName name="s.s2.5_4">#REF!</definedName>
    <definedName name="s.s2.5_5">#REF!</definedName>
    <definedName name="s.s2.5_9">"$#REF!.$G$29"</definedName>
    <definedName name="s.s2_10">"$#REF!.$G$30"</definedName>
    <definedName name="s.s2_4">#REF!</definedName>
    <definedName name="s.s2_5">#REF!</definedName>
    <definedName name="s.s2_9">"$#REF!.$G$30"</definedName>
    <definedName name="s.s3">#REF!</definedName>
    <definedName name="s.s3_10">"$#REF!.$G$28"</definedName>
    <definedName name="s.s3_4">#REF!</definedName>
    <definedName name="s.s3_5">#REF!</definedName>
    <definedName name="s.s3_9">"$#REF!.$G$28"</definedName>
    <definedName name="s.s4">#REF!</definedName>
    <definedName name="s.s4_10">"$#REF!.$G$27"</definedName>
    <definedName name="s.s4_4">#REF!</definedName>
    <definedName name="s.s4_5">#REF!</definedName>
    <definedName name="s.s4_9">"$#REF!.$G$27"</definedName>
    <definedName name="s.s6">#REF!</definedName>
    <definedName name="s.s6_10">"$#REF!.$G$26"</definedName>
    <definedName name="s.s6_4">#REF!</definedName>
    <definedName name="s.s6_5">#REF!</definedName>
    <definedName name="s.s6_9">"$#REF!.$G$26"</definedName>
    <definedName name="S.Soil_stabilisation_with_chemical_grouting">[65]RESOURCES!$A$216</definedName>
    <definedName name="S.SS_Rungs">[65]RESOURCES!$A$137</definedName>
    <definedName name="S.Stainless_Steel">[65]RESOURCES!$A$232</definedName>
    <definedName name="S.Steel_Gate_and_Fence">[65]RESOURCES!$A$198</definedName>
    <definedName name="S.Supply___applying_of_paint">[65]RESOURCES!$A$306</definedName>
    <definedName name="S.Termite_Treatment">[65]RESOURCES!$A$52</definedName>
    <definedName name="s.Texture_Based_Paint_System">[65]RESOURCES!$A$193</definedName>
    <definedName name="S.Timber_Earthwork_Supports">[65]RESOURCES!$A$274</definedName>
    <definedName name="S.Timber_Flooring">[65]RESOURCES!$A$170</definedName>
    <definedName name="S.Timber_Skirting">[65]RESOURCES!$A$171</definedName>
    <definedName name="S.Vinyle_Carpet_Delamage">[65]RESOURCES!$A$166</definedName>
    <definedName name="S.W1_Aluminium_Window_by_sub_contractor">[65]RESOURCES!$A$316</definedName>
    <definedName name="S.W10__by_sharp_line">[65]RESOURCES!$A$336</definedName>
    <definedName name="S.W2___by_sharp_line">[65]RESOURCES!$A$328</definedName>
    <definedName name="S.W3__by_sharp_line">[65]RESOURCES!$A$329</definedName>
    <definedName name="S.W4__Window_by_sharp_line">[65]RESOURCES!$A$331</definedName>
    <definedName name="S.W5__Pergola">[65]RESOURCES!$A$330</definedName>
    <definedName name="S.W6_Window_supplied_by_sharp_line">[65]RESOURCES!$A$332</definedName>
    <definedName name="S.W7_Window_by_sharp_line">[65]RESOURCES!$A$333</definedName>
    <definedName name="S.W8__Louver_by_Sharp_line">[65]RESOURCES!$A$334</definedName>
    <definedName name="S.W9_window_by_sharp_line">[65]RESOURCES!$A$335</definedName>
    <definedName name="S.Waterproofing_Subcontractor">[65]RESOURCES!$A$116</definedName>
    <definedName name="s___0">#REF!</definedName>
    <definedName name="S_D_S_D___D__AP">#N/A</definedName>
    <definedName name="S_N">#REF!</definedName>
    <definedName name="S_NO">#REF!</definedName>
    <definedName name="S_Strobr">#REF!</definedName>
    <definedName name="S0">#REF!</definedName>
    <definedName name="s110w">'[201]Unit Rates-Duty Free'!$AA$219</definedName>
    <definedName name="s160w">'[201]Unit Rates-Duty Free'!$AA$207</definedName>
    <definedName name="S1sbm">#REF!</definedName>
    <definedName name="S2Sbm">#REF!</definedName>
    <definedName name="S304L_Sheet_cost">#REF!</definedName>
    <definedName name="S3Sbm">#REF!</definedName>
    <definedName name="S4Sbm">#REF!</definedName>
    <definedName name="s50w">'[201]Unit Rates-Duty Free'!$AA$233</definedName>
    <definedName name="SA.1">#REF!</definedName>
    <definedName name="SA.2">#REF!</definedName>
    <definedName name="SA.3">#REF!</definedName>
    <definedName name="SA.4">#REF!</definedName>
    <definedName name="SA.5">#REF!</definedName>
    <definedName name="SAB">[1]内訳書!#REF!</definedName>
    <definedName name="SAD">#REF!</definedName>
    <definedName name="sadfsd">'[61]Cash Flow'!#REF!</definedName>
    <definedName name="safdasg">#REF!</definedName>
    <definedName name="SAG">[66]Price!$D$85</definedName>
    <definedName name="sag1200x900">[55]Factors!$I$385</definedName>
    <definedName name="sag300x300">[55]Factors!$I$382</definedName>
    <definedName name="sag350x350">[55]Factors!$I$383</definedName>
    <definedName name="sag400x400">[55]Factors!$I$384</definedName>
    <definedName name="sag450x300">[55]Factors!$I$387</definedName>
    <definedName name="sag500x500">[55]Factors!$I$386</definedName>
    <definedName name="sagv">#REF!</definedName>
    <definedName name="Sal.Escal_Korean">#REF!</definedName>
    <definedName name="Sal.Escal_Local.Reg">#REF!</definedName>
    <definedName name="Sal.Escal_Third.N">#REF!</definedName>
    <definedName name="Salary_Korean">#REF!</definedName>
    <definedName name="Salary_Local.Reg">#REF!</definedName>
    <definedName name="Salary_Third.N">#REF!</definedName>
    <definedName name="Sales_growth_avg">#REF!</definedName>
    <definedName name="SalesCommC">'[110]Dist Controls'!#REF!</definedName>
    <definedName name="salesCommN">'[110]Dist Controls'!#REF!</definedName>
    <definedName name="SalesCommR">'[110]Dist Controls'!#REF!</definedName>
    <definedName name="SalesCommS">'[110]Dist Controls'!#REF!</definedName>
    <definedName name="SALESYTD">'[275]SLS CM'!#REF!</definedName>
    <definedName name="SAM">#REF!</definedName>
    <definedName name="samp">#REF!</definedName>
    <definedName name="san">'[75]DETAIL '!#REF!</definedName>
    <definedName name="sand.p">#REF!</definedName>
    <definedName name="sand_10">"$#REF!.$P$3"</definedName>
    <definedName name="sand_4">#REF!</definedName>
    <definedName name="sand_5">#REF!</definedName>
    <definedName name="sand_9">"$#REF!.$P$3"</definedName>
    <definedName name="sandfill">#REF!</definedName>
    <definedName name="SAPA">#REF!</definedName>
    <definedName name="SAPBEXhrIndnt" hidden="1">"Wide"</definedName>
    <definedName name="SAPsysID" hidden="1">"708C5W7SBKP804JT78WJ0JNKI"</definedName>
    <definedName name="SAPwbID" hidden="1">"ARS"</definedName>
    <definedName name="SAREA">#REF!</definedName>
    <definedName name="sasa" hidden="1">{#N/A,#N/A,FALSE,"CCTV"}</definedName>
    <definedName name="SASA1" hidden="1">{#N/A,#N/A,FALSE,"CCTV"}</definedName>
    <definedName name="sasgv">#REF!</definedName>
    <definedName name="sat">[218]PsychroData!$B$3:$C$57</definedName>
    <definedName name="SAVE">#REF!</definedName>
    <definedName name="sb1rref">#REF!</definedName>
    <definedName name="SBGrowth">#REF!</definedName>
    <definedName name="SBGS" hidden="1">{"PriceSheetNoMargins",#N/A,FALSE,"PriceSheet"}</definedName>
    <definedName name="SBOSMgn">#REF!</definedName>
    <definedName name="sbsi">#REF!</definedName>
    <definedName name="sc">[28]!sc</definedName>
    <definedName name="SC_MAT_EQUIP">'[29]Raw Data'!$D$16</definedName>
    <definedName name="SCALE_UP">'[29]Raw Data'!$AE$266</definedName>
    <definedName name="scarce" hidden="1">{#N/A,#N/A,FALSE,"Summary";#N/A,#N/A,FALSE,"3TJ";#N/A,#N/A,FALSE,"3TN";#N/A,#N/A,FALSE,"3TP";#N/A,#N/A,FALSE,"3SJ";#N/A,#N/A,FALSE,"3CJ";#N/A,#N/A,FALSE,"3CN";#N/A,#N/A,FALSE,"3CP";#N/A,#N/A,FALSE,"3A"}</definedName>
    <definedName name="Scenario">[178]Input!$B$16</definedName>
    <definedName name="Scenario_BS_Input">#REF!</definedName>
    <definedName name="Scenario_BS_Out">#REF!</definedName>
    <definedName name="Scenario_BS_Results">#REF!</definedName>
    <definedName name="Scenario_CF_Out">#REF!</definedName>
    <definedName name="Scenario_CFS_Out">#REF!</definedName>
    <definedName name="Scenario_CurSel">#REF!</definedName>
    <definedName name="Scenario_FY05Bridge_Input">#REF!</definedName>
    <definedName name="Scenario_History">#REF!</definedName>
    <definedName name="Scenario_IS_Input">#REF!</definedName>
    <definedName name="Scenario_IS_Out">#REF!</definedName>
    <definedName name="Scenario_IS_Results">#REF!</definedName>
    <definedName name="Scenario_ISS_Out">#REF!</definedName>
    <definedName name="Scenario_MemoCFA_Input">#REF!</definedName>
    <definedName name="scfsser">[28]!scfsser</definedName>
    <definedName name="Sch_Elevator">[276]LET_BAFO!$U$1</definedName>
    <definedName name="Sch_Escal_Travel">[276]LET_BAFO!$U$2</definedName>
    <definedName name="Sch_VE">#REF!</definedName>
    <definedName name="Schindler">#REF!</definedName>
    <definedName name="schoolbldg.">#REF!</definedName>
    <definedName name="schools">#REF!</definedName>
    <definedName name="SCHrs">#N/A</definedName>
    <definedName name="SCHrs1">#N/A</definedName>
    <definedName name="SCLAD0.4">#REF!</definedName>
    <definedName name="scoping">#REF!</definedName>
    <definedName name="scott">[28]!scott</definedName>
    <definedName name="Screed_Flooring">#REF!</definedName>
    <definedName name="screw12.b">#REF!</definedName>
    <definedName name="screw20.b">#REF!</definedName>
    <definedName name="screw37.b">#REF!</definedName>
    <definedName name="SCS20mmthk">'[71]Build Up rate'!$D$33</definedName>
    <definedName name="scupper2">#REF!</definedName>
    <definedName name="scurtain">#REF!</definedName>
    <definedName name="SCURVE" hidden="1">#REF!</definedName>
    <definedName name="sdacce">#REF!</definedName>
    <definedName name="sdaDFDF" hidden="1">{"PriceSheetNoMargins",#N/A,FALSE,"PriceSheet"}</definedName>
    <definedName name="sdahu">#REF!</definedName>
    <definedName name="sdahuh">#REF!</definedName>
    <definedName name="sdahuv">#REF!</definedName>
    <definedName name="sdarv">[49]Factors!$T$62</definedName>
    <definedName name="sdasdsa">[28]!sdasdsa</definedName>
    <definedName name="sdbc">[49]Factors!$T$40</definedName>
    <definedName name="sdblv">[165]Factors!$O$73</definedName>
    <definedName name="sdbv">[49]Factors!$Y$40</definedName>
    <definedName name="sdcndwp">#REF!</definedName>
    <definedName name="sdcpvc">[49]Factors!$T$191</definedName>
    <definedName name="sddgg">#REF!</definedName>
    <definedName name="sddig">#REF!</definedName>
    <definedName name="SDDS" hidden="1">#REF!</definedName>
    <definedName name="SDF" hidden="1">{#N/A,#N/A,FALSE,"전력간선"}</definedName>
    <definedName name="SDFBHZDHBH" hidden="1">{"PriceSheetNoMargins",#N/A,FALSE,"PriceSheet"}</definedName>
    <definedName name="sdFCU">#REF!</definedName>
    <definedName name="sdffd">#REF!</definedName>
    <definedName name="sdffhsh">#REF!</definedName>
    <definedName name="sdfg">#REF!</definedName>
    <definedName name="SDFGASDFASDFG" hidden="1">{"PriceSheetNoMargins",#N/A,FALSE,"PriceSheet"}</definedName>
    <definedName name="sdfgasfg" hidden="1">{"PriceSheetNoMargins",#N/A,FALSE,"PriceSheet"}</definedName>
    <definedName name="sdfghjkl">'[14]1-G1'!#REF!</definedName>
    <definedName name="sdfghsdfhsdk" hidden="1">[23]FitOutConfCentre!#REF!</definedName>
    <definedName name="SDFGSDFGASG" hidden="1">{"PriceSheetNoMargins",#N/A,FALSE,"PriceSheet"}</definedName>
    <definedName name="SDFGSDFGSAG" hidden="1">{"PriceSheetNoMargins",#N/A,FALSE,"PriceSheet"}</definedName>
    <definedName name="SDFHBBHSD" hidden="1">{"PriceSheetNoMargins",#N/A,FALSE,"PriceSheet"}</definedName>
    <definedName name="sdfld">#REF!</definedName>
    <definedName name="sdflw">[49]Factors!$Y$110</definedName>
    <definedName name="SDFPE10">[49]Factors!$E$217</definedName>
    <definedName name="SDFPE16">[49]Factors!$J$217</definedName>
    <definedName name="SDFPPR10">[49]Factors!$J$191</definedName>
    <definedName name="SDFPPR16">[49]Factors!$E$191</definedName>
    <definedName name="sdfr">#REF!</definedName>
    <definedName name="sdfrs">#REF!</definedName>
    <definedName name="sdfsdfsd" hidden="1">{"'Sheet1'!$L$16"}</definedName>
    <definedName name="sdgg">[28]!sdgg</definedName>
    <definedName name="SDGHDHDTHB" hidden="1">{"PriceSheetNoMargins",#N/A,FALSE,"PriceSheet"}</definedName>
    <definedName name="SDGHSDGBHDGS" hidden="1">{"PriceSheetNoMargins",#N/A,FALSE,"PriceSheet"}</definedName>
    <definedName name="SDGTHSDGH" hidden="1">{"PriceSheetNoMargins",#N/A,FALSE,"PriceSheet"}</definedName>
    <definedName name="SDHINS">[49]Factors!$R$312</definedName>
    <definedName name="sdhpi">#REF!</definedName>
    <definedName name="SDi">#REF!</definedName>
    <definedName name="sdicv">#REF!</definedName>
    <definedName name="sdinsu">#REF!</definedName>
    <definedName name="sdlbg">#REF!</definedName>
    <definedName name="SDM">#REF!</definedName>
    <definedName name="sdmcv">#REF!</definedName>
    <definedName name="sdmv">[49]Factors!$T$84</definedName>
    <definedName name="sdofcv">#REF!</definedName>
    <definedName name="sdpcp">#REF!</definedName>
    <definedName name="sdpe">#REF!</definedName>
    <definedName name="sdpg">#REF!</definedName>
    <definedName name="sdpid">#REF!</definedName>
    <definedName name="sdppr10">#REF!</definedName>
    <definedName name="sdppr20">#REF!</definedName>
    <definedName name="sdr">#REF!</definedName>
    <definedName name="SDRD">#REF!</definedName>
    <definedName name="sds">[277]total!#REF!</definedName>
    <definedName name="sdsads" hidden="1">#REF!</definedName>
    <definedName name="SDSDSDSDSDSDSDSDSDSDSDSDSDSDSD" hidden="1">{"PriceSheetNoMargins",#N/A,FALSE,"PriceSheet"}</definedName>
    <definedName name="sdsinsu">[49]Factors!$U$266</definedName>
    <definedName name="SDSP">#REF!</definedName>
    <definedName name="sdspd">#REF!</definedName>
    <definedName name="sdsv">[49]Factors!$Y$84</definedName>
    <definedName name="SDTSDTYDTY" hidden="1">{"PriceSheetNoMargins",#N/A,FALSE,"PriceSheet"}</definedName>
    <definedName name="sdvs">#REF!</definedName>
    <definedName name="sdvsdv" hidden="1">#REF!</definedName>
    <definedName name="sdwm">[49]Factors!$P$97</definedName>
    <definedName name="se">"$#REF!.$#REF!$#REF!"</definedName>
    <definedName name="sealant">#REF!</definedName>
    <definedName name="seat.cover">#REF!</definedName>
    <definedName name="SEAVC">#REF!</definedName>
    <definedName name="sec_goodwill">'[167]Goodwill Calculation'!$D$16</definedName>
    <definedName name="SectA">Arch-[32]Master01!$J$2:$J$65536</definedName>
    <definedName name="SectB">Arch-[32]Master01!$K$2:$K$65536</definedName>
    <definedName name="SectC">Arch-[32]Master01!$L$2:$L$65536</definedName>
    <definedName name="SectD">Arch-[32]Master01!$M$2:$M$65536</definedName>
    <definedName name="SectE">Arch-[32]Master01!$N$2:$N$65536</definedName>
    <definedName name="SectF">Arch-[32]Master01!$O$2:$O$65536</definedName>
    <definedName name="SectG">Arch-[32]Master01!$P$2:$P$65536</definedName>
    <definedName name="SECTION">#REF!</definedName>
    <definedName name="see">#REF!</definedName>
    <definedName name="Seed_Money_FY2002_Qry">#REF!</definedName>
    <definedName name="SegCharge">#REF!</definedName>
    <definedName name="Segment1_income_fore">#REF!</definedName>
    <definedName name="Segment1_income_growth_fore">#REF!</definedName>
    <definedName name="Segment2_income_fore">#REF!</definedName>
    <definedName name="Segment2_income_growth_fore">#REF!</definedName>
    <definedName name="sel">"$#REF!.$#REF!$#REF!"</definedName>
    <definedName name="Sela">"$#REF!.$#REF!$#REF!"</definedName>
    <definedName name="SelectedEntity">[263]sys_System!$D$3</definedName>
    <definedName name="sell">#REF!</definedName>
    <definedName name="SELL_NET">#REF!</definedName>
    <definedName name="SENIORFLEX.PTADJ">[69]Summary!$HC$203:$HC$204</definedName>
    <definedName name="sep">[278]sep_data!$A:$Y</definedName>
    <definedName name="separationlayer">#REF!</definedName>
    <definedName name="SEPCONC">#REF!</definedName>
    <definedName name="Serendra" hidden="1">#REF!</definedName>
    <definedName name="sertyiuoihyjgvfd">#REF!</definedName>
    <definedName name="serv">#REF!</definedName>
    <definedName name="server">#REF!</definedName>
    <definedName name="SERVICE">[250]BQLIST!$E:$E</definedName>
    <definedName name="Services2" hidden="1">{#N/A,#N/A,FALSE,"Pricing";#N/A,#N/A,FALSE,"Summary";#N/A,#N/A,FALSE,"CompProd";#N/A,#N/A,FALSE,"CompJobhrs";#N/A,#N/A,FALSE,"Escalation";#N/A,#N/A,FALSE,"Contingency";#N/A,#N/A,FALSE,"GM";#N/A,#N/A,FALSE,"CompWage";#N/A,#N/A,FALSE,"costSum"}</definedName>
    <definedName name="Setflag">#REF!</definedName>
    <definedName name="SettingOut">#REF!</definedName>
    <definedName name="SettingOut_Protection">#REF!</definedName>
    <definedName name="SETUP">'[29]Raw Data'!$AM$192:$AO$193</definedName>
    <definedName name="seven">[91]ANALISYS!$E$84</definedName>
    <definedName name="Seven_Eleven">'[144]Monthly Trend Act MOR pv'!$W$5</definedName>
    <definedName name="seventeen">[91]ANALISYS!$E$218</definedName>
    <definedName name="Sewerage_system">#REF!</definedName>
    <definedName name="sfasf" hidden="1">#REF!</definedName>
    <definedName name="sfbjdf" hidden="1">#REF!</definedName>
    <definedName name="SFC">#REF!</definedName>
    <definedName name="sffff" hidden="1">{#N/A,#N/A,FALSE,"SumD";#N/A,#N/A,FALSE,"ElecD";#N/A,#N/A,FALSE,"MechD";#N/A,#N/A,FALSE,"GeotD";#N/A,#N/A,FALSE,"PrcsD";#N/A,#N/A,FALSE,"TunnD";#N/A,#N/A,FALSE,"CivlD";#N/A,#N/A,FALSE,"NtwkD";#N/A,#N/A,FALSE,"EstgD";#N/A,#N/A,FALSE,"PEngD"}</definedName>
    <definedName name="SFFSFSADADA">#REF!</definedName>
    <definedName name="sfgasdfg" hidden="1">{"PriceSheetNoMargins",#N/A,FALSE,"PriceSheet"}</definedName>
    <definedName name="sfgasfgf" hidden="1">{"PriceSheetNoMargins",#N/A,FALSE,"PriceSheet"}</definedName>
    <definedName name="sfgasfsfg" hidden="1">{"PriceSheetNoMargins",#N/A,FALSE,"PriceSheet"}</definedName>
    <definedName name="SFGSFGSFG" hidden="1">{"PriceSheetNoMargins",#N/A,FALSE,"PriceSheet"}</definedName>
    <definedName name="sfi">[279]Factors!$B$24</definedName>
    <definedName name="sfmk">#REF!</definedName>
    <definedName name="sfr">#REF!</definedName>
    <definedName name="Sfri">"$#REF!.$#REF!$#REF!"</definedName>
    <definedName name="sfrs">#REF!</definedName>
    <definedName name="sfsd">#REF!</definedName>
    <definedName name="sFSDFDS">[28]!sFSDFDS</definedName>
    <definedName name="SFSF">#REF!</definedName>
    <definedName name="sft" hidden="1">#REF!</definedName>
    <definedName name="sfwqg">#REF!</definedName>
    <definedName name="SG_MGMT">#REF!</definedName>
    <definedName name="SG_v3">#REF!</definedName>
    <definedName name="SGA_fore">#REF!</definedName>
    <definedName name="SGA_growth_avg">#REF!</definedName>
    <definedName name="SGA_growth_fore">#REF!</definedName>
    <definedName name="SGA_margin_fore">#REF!</definedName>
    <definedName name="SGD">[280]Chiller!#REF!</definedName>
    <definedName name="SGFASDFGADG" hidden="1">{"PriceSheetNoMargins",#N/A,FALSE,"PriceSheet"}</definedName>
    <definedName name="sgggdgs1242" hidden="1">#REF!</definedName>
    <definedName name="SGMGMT">#REF!</definedName>
    <definedName name="SGSADFGAG" hidden="1">{"PriceSheetNoMargins",#N/A,FALSE,"PriceSheet"}</definedName>
    <definedName name="SGSDFG" hidden="1">{"PriceSheetNoMargins",#N/A,FALSE,"PriceSheet"}</definedName>
    <definedName name="SGSGSAGSFGSGASGASGSAGAASGASF" hidden="1">{"PriceSheetNoMargins",#N/A,FALSE,"PriceSheet"}</definedName>
    <definedName name="SGTFSS2">#REF!</definedName>
    <definedName name="sh0.6">"$#REF!.$#REF!$#REF!"</definedName>
    <definedName name="sh0.8">"$#REF!.$#REF!$#REF!"</definedName>
    <definedName name="sh1.0">"$#REF!.$#REF!$#REF!"</definedName>
    <definedName name="sh1.2">"$#REF!.$#REF!$#REF!"</definedName>
    <definedName name="shade">#REF!</definedName>
    <definedName name="shape.codes" hidden="1">[100]SCHEDULE!$BJ$9:$CR$9</definedName>
    <definedName name="shapecode">#REF!</definedName>
    <definedName name="shapetable">#REF!</definedName>
    <definedName name="shapetofun">#REF!</definedName>
    <definedName name="Shares_fore">#REF!</definedName>
    <definedName name="Shares_growth_fore">#REF!</definedName>
    <definedName name="SHASHIKA">#REF!</definedName>
    <definedName name="shear1">#REF!</definedName>
    <definedName name="shear2">#REF!</definedName>
    <definedName name="shear3">#REF!</definedName>
    <definedName name="shear4">#REF!</definedName>
    <definedName name="shear5">#REF!</definedName>
    <definedName name="Sheduled_new_paymentsw">#REF!</definedName>
    <definedName name="Sheet" hidden="1">#REF!</definedName>
    <definedName name="Sheet_Pile">#REF!</definedName>
    <definedName name="sheet1">#REF!</definedName>
    <definedName name="sheete">#REF!</definedName>
    <definedName name="sheetformat">#REF!</definedName>
    <definedName name="sheetNO">[281]sheetNO!$A$1:$C$6</definedName>
    <definedName name="shfo" hidden="1">{#N/A,#N/A,FALSE,"구조2"}</definedName>
    <definedName name="shi">"$#REF!.$#REF!$#REF!"</definedName>
    <definedName name="SHIN">#REF!</definedName>
    <definedName name="SHINO">#REF!</definedName>
    <definedName name="sht" hidden="1">#REF!</definedName>
    <definedName name="shut_reqt">#REF!</definedName>
    <definedName name="shutter">#REF!</definedName>
    <definedName name="shuttering">#REF!</definedName>
    <definedName name="siac1">#REF!</definedName>
    <definedName name="siac2">#REF!</definedName>
    <definedName name="siac3">#REF!</definedName>
    <definedName name="siac4">#REF!</definedName>
    <definedName name="siac5">#REF!</definedName>
    <definedName name="Sidewalk_Data">#REF!</definedName>
    <definedName name="SIDEWALKS">#REF!</definedName>
    <definedName name="SIGN">[282]Parameters!$G:$J</definedName>
    <definedName name="sika">#REF!</definedName>
    <definedName name="silexcolor">#REF!</definedName>
    <definedName name="silexprimer">#REF!</definedName>
    <definedName name="silica">#REF!</definedName>
    <definedName name="sing_dollrs">'[29]Raw Data'!$F$133</definedName>
    <definedName name="singD">#REF!</definedName>
    <definedName name="SINGLEMODE" hidden="1">{#N/A,#N/A,FALSE,"BOX RFQ SHEET"}</definedName>
    <definedName name="SINGLEMODE3" hidden="1">{#N/A,#N/A,FALSE,"BOX RFQ SHEET"}</definedName>
    <definedName name="singlereport">[133]Input!$L$13</definedName>
    <definedName name="sink.l">#REF!</definedName>
    <definedName name="sink.steel">#REF!</definedName>
    <definedName name="sitc">[283]FS!$J$11</definedName>
    <definedName name="Site_clearance">#REF!</definedName>
    <definedName name="SiteArea">#REF!</definedName>
    <definedName name="SiteClear">#N/A</definedName>
    <definedName name="SiteexRatio">#REF!</definedName>
    <definedName name="SiteGrub">#N/A</definedName>
    <definedName name="six">[91]ANALISYS!$E$73</definedName>
    <definedName name="sixteen">[91]ANALISYS!$E$201</definedName>
    <definedName name="SIZE_A">#REF!</definedName>
    <definedName name="SIZEC">#REF!</definedName>
    <definedName name="SizeH">#REF!</definedName>
    <definedName name="SizeL">#REF!</definedName>
    <definedName name="SizeW">#REF!</definedName>
    <definedName name="SK.1">#REF!</definedName>
    <definedName name="SK.2">#REF!</definedName>
    <definedName name="skerb">#REF!</definedName>
    <definedName name="skimcoatwithpaint">#REF!</definedName>
    <definedName name="skiml">#REF!</definedName>
    <definedName name="Skirting__B">#REF!</definedName>
    <definedName name="sktg">#REF!</definedName>
    <definedName name="SLAB_LEAVE_OUT">#REF!</definedName>
    <definedName name="Slab_Leave_Out_Data">#REF!</definedName>
    <definedName name="SLAB_ON_DECK">#REF!</definedName>
    <definedName name="Slab_on_Deck_Data">#REF!</definedName>
    <definedName name="SLAB_ON_GRADE">#REF!</definedName>
    <definedName name="Slab_on_Grade_Data">#REF!</definedName>
    <definedName name="SLAB1">#REF!</definedName>
    <definedName name="slate1">#REF!</definedName>
    <definedName name="slate2">#REF!</definedName>
    <definedName name="sle">'[138]BOQ PP'!$G$5</definedName>
    <definedName name="Sleeve_Details_Master_Plan_updated_Sheet1_List">#REF!</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idehide1">#REF!</definedName>
    <definedName name="slidehide2">#REF!</definedName>
    <definedName name="SLIP_RD_SIGNAGE">#REF!</definedName>
    <definedName name="Slist">#REF!</definedName>
    <definedName name="slroffer">[103]Factors!$C$10</definedName>
    <definedName name="sls_contract2">[112]Admin!$B$11</definedName>
    <definedName name="SM_Tot">#REF!</definedName>
    <definedName name="Small">#REF!</definedName>
    <definedName name="smde">"$#REF!.$#REF!$#REF!"</definedName>
    <definedName name="smde_10">"$#REF!.$#REF!$#REF!"</definedName>
    <definedName name="smde_9">"$#REF!.$#REF!$#REF!"</definedName>
    <definedName name="smoke">"$#REF!.$AC$23"</definedName>
    <definedName name="smokelab">"$#REF!.$AC$23"</definedName>
    <definedName name="snd">#REF!</definedName>
    <definedName name="SNM_EXPAT">'[29]Raw Data'!$D$13</definedName>
    <definedName name="SNM_EXPAT_HRS">'[29]Raw Data'!$E$13</definedName>
    <definedName name="SNM_FOREIGN">'[29]Raw Data'!$D$14</definedName>
    <definedName name="SNM_FOREIGN_HRS">'[29]Raw Data'!$E$14</definedName>
    <definedName name="SNM_HRS">'[29]Raw Data'!$E$12</definedName>
    <definedName name="SNM_LAB">'[29]Raw Data'!$D$12</definedName>
    <definedName name="snow">#REF!</definedName>
    <definedName name="sob">#REF!</definedName>
    <definedName name="socket15">#REF!</definedName>
    <definedName name="socket5">#REF!</definedName>
    <definedName name="SOCTU6">'[248]NKC6'!$D$3:$D$506</definedName>
    <definedName name="Soffit110">'[243]pipe supports cost'!$G$45</definedName>
    <definedName name="soffit150">#REF!</definedName>
    <definedName name="soffit20">'[243]pipe supports cost'!$G$52</definedName>
    <definedName name="soffit200">#REF!</definedName>
    <definedName name="soffit25">'[243]pipe supports cost'!$G$51</definedName>
    <definedName name="soffit300">#REF!</definedName>
    <definedName name="soffit32">'[243]pipe supports cost'!$G$50</definedName>
    <definedName name="soffit63">'[243]pipe supports cost'!$G$48</definedName>
    <definedName name="soffit75">#REF!</definedName>
    <definedName name="SOL">#REF!</definedName>
    <definedName name="sol.ct">#REF!</definedName>
    <definedName name="sold">#REF!</definedName>
    <definedName name="somsak">#N/A</definedName>
    <definedName name="sone">[91]ANALISYS!$E$6523</definedName>
    <definedName name="sop">#REF!</definedName>
    <definedName name="SOR">'[169]BOQ PL'!#REF!</definedName>
    <definedName name="SOTIEN6">'[248]NKC6'!$I$3:$I$506</definedName>
    <definedName name="Sou">'[87]Equipment Schedule'!$L$16</definedName>
    <definedName name="sounder">"$#REF!.$AC$26"</definedName>
    <definedName name="Sounder_strobei">#REF!</definedName>
    <definedName name="Sounderi">#REF!</definedName>
    <definedName name="sounderlab">"$#REF!.$Y$24"</definedName>
    <definedName name="soundermat">"$#REF!.$AC$24"</definedName>
    <definedName name="Sounderr">#REF!</definedName>
    <definedName name="sp.sk">#REF!</definedName>
    <definedName name="SP_AREA">[80]Calendar!$K:$K</definedName>
    <definedName name="spacing">#REF!</definedName>
    <definedName name="spacingL">#REF!</definedName>
    <definedName name="Spanner_Auto_File">"C:\My Documents\tinh cdo.x2a"</definedName>
    <definedName name="SPARE">#REF!</definedName>
    <definedName name="SpBarge">#REF!</definedName>
    <definedName name="SPD">#REF!</definedName>
    <definedName name="SPEC_1">#REF!</definedName>
    <definedName name="SPEC_10">#REF!</definedName>
    <definedName name="SPEC_11">#REF!</definedName>
    <definedName name="SPEC_12">#REF!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#REF!</definedName>
    <definedName name="SPEC_20">#REF!</definedName>
    <definedName name="SPEC_21">#REF!</definedName>
    <definedName name="SPEC_22">#REF!</definedName>
    <definedName name="SPEC_23">#REF!</definedName>
    <definedName name="SPEC_24">#REF!</definedName>
    <definedName name="SPEC_25">#REF!</definedName>
    <definedName name="SPEC_3">#REF!</definedName>
    <definedName name="SPEC_4">#REF!</definedName>
    <definedName name="SPEC_5">#REF!</definedName>
    <definedName name="SPEC_6">#REF!</definedName>
    <definedName name="SPEC_7">#REF!</definedName>
    <definedName name="SPEC_8">#REF!</definedName>
    <definedName name="SPEC_9">#REF!</definedName>
    <definedName name="SpecialPrice" hidden="1">#REF!</definedName>
    <definedName name="Specification">'[284]d-safe DELUXE'!#REF!</definedName>
    <definedName name="Spend">[28]!Spend</definedName>
    <definedName name="spi.100">#REF!</definedName>
    <definedName name="SPI.125">#REF!</definedName>
    <definedName name="spi.15">#REF!</definedName>
    <definedName name="SPI.150">#REF!</definedName>
    <definedName name="spi.160">#REF!</definedName>
    <definedName name="spi.20">#REF!</definedName>
    <definedName name="spi.200">#REF!</definedName>
    <definedName name="spi.25">#REF!</definedName>
    <definedName name="spi.250">#REF!</definedName>
    <definedName name="spi.315">#REF!</definedName>
    <definedName name="spi.32">#REF!</definedName>
    <definedName name="spi.355">#REF!</definedName>
    <definedName name="spi.40">#REF!</definedName>
    <definedName name="spi.50">#REF!</definedName>
    <definedName name="spi.65">#REF!</definedName>
    <definedName name="spi.80">#REF!</definedName>
    <definedName name="spiralstair">#REF!</definedName>
    <definedName name="Spk">'[87]Equipment Schedule'!$L$19</definedName>
    <definedName name="SPK.WJR1.JockeyPump.I">[285]Price!$C$91</definedName>
    <definedName name="SPK.WJR1.JockeyPump.M">[285]Price!$B$91</definedName>
    <definedName name="SPLIT">#REF!</definedName>
    <definedName name="sports">#REF!</definedName>
    <definedName name="spreader">#REF!</definedName>
    <definedName name="sprkldf">[165]Factors!#REF!</definedName>
    <definedName name="spur">#REF!</definedName>
    <definedName name="sq.pan.m">#REF!</definedName>
    <definedName name="SQ300pile">'[71]Build Up rate'!$D$9</definedName>
    <definedName name="squarepile300">#REF!</definedName>
    <definedName name="srf">#REF!</definedName>
    <definedName name="SRL">#REF!</definedName>
    <definedName name="SRM">#REF!</definedName>
    <definedName name="SRX">#REF!</definedName>
    <definedName name="SS.1">#REF!</definedName>
    <definedName name="SS.2">#REF!</definedName>
    <definedName name="ss___0">NA()</definedName>
    <definedName name="ss___10">NA()</definedName>
    <definedName name="ss___2">NA()</definedName>
    <definedName name="ss___3">NA()</definedName>
    <definedName name="ss___4">NA()</definedName>
    <definedName name="ss___5">NA()</definedName>
    <definedName name="ss___6">NA()</definedName>
    <definedName name="ss___7">NA()</definedName>
    <definedName name="ss___8">NA()</definedName>
    <definedName name="ss___9">NA()</definedName>
    <definedName name="SS_density">#REF!</definedName>
    <definedName name="ss0.5">#REF!</definedName>
    <definedName name="SS0801D">#REF!</definedName>
    <definedName name="SS0801L">#REF!</definedName>
    <definedName name="SS0801Y">#REF!</definedName>
    <definedName name="SS1001D">#REF!</definedName>
    <definedName name="SS1001L">#REF!</definedName>
    <definedName name="SS1001Y">#REF!</definedName>
    <definedName name="SS304L_Sheet_cost">'[254]Cavity Inputs'!$B$12</definedName>
    <definedName name="sscupper">#REF!</definedName>
    <definedName name="ssd">[84]Factors!$G$23</definedName>
    <definedName name="SSD_2">#REF!</definedName>
    <definedName name="ssdd">"$#REF!.$#REF!$#REF!"</definedName>
    <definedName name="SSDSDSD" hidden="1">{"PriceSheetNoMargins",#N/A,FALSE,"PriceSheet"}</definedName>
    <definedName name="Ssec1">#REF!</definedName>
    <definedName name="Ssec2">#REF!</definedName>
    <definedName name="Ssec3">#REF!</definedName>
    <definedName name="Ssec4">#REF!</definedName>
    <definedName name="Ssec5">#REF!</definedName>
    <definedName name="Ssec6">#REF!</definedName>
    <definedName name="ssection1">#REF!</definedName>
    <definedName name="ssection2">#REF!</definedName>
    <definedName name="ssf">#REF!</definedName>
    <definedName name="ssktg">#REF!</definedName>
    <definedName name="sspaint">#REF!</definedName>
    <definedName name="sspanel">#REF!</definedName>
    <definedName name="SSPR">[77]BUR!$E$14</definedName>
    <definedName name="SSR">[77]BUR!$E$13</definedName>
    <definedName name="sss0.5">#REF!</definedName>
    <definedName name="sssh">Arch-[32]Master01!$K$2:$K$65536</definedName>
    <definedName name="ssshhh" hidden="1">{#N/A,#N/A,FALSE,"SumG";#N/A,#N/A,FALSE,"ElecG";#N/A,#N/A,FALSE,"MechG";#N/A,#N/A,FALSE,"GeotG";#N/A,#N/A,FALSE,"PrcsG";#N/A,#N/A,FALSE,"TunnG";#N/A,#N/A,FALSE,"CivlG";#N/A,#N/A,FALSE,"NtwkG";#N/A,#N/A,FALSE,"EstgG";#N/A,#N/A,FALSE,"PEngG"}</definedName>
    <definedName name="sssss" hidden="1">{#N/A,#N/A,FALSE,"SumD";#N/A,#N/A,FALSE,"ElecD";#N/A,#N/A,FALSE,"MechD";#N/A,#N/A,FALSE,"GeotD";#N/A,#N/A,FALSE,"PrcsD";#N/A,#N/A,FALSE,"TunnD";#N/A,#N/A,FALSE,"CivlD";#N/A,#N/A,FALSE,"NtwkD";#N/A,#N/A,FALSE,"EstgD";#N/A,#N/A,FALSE,"PEngD"}</definedName>
    <definedName name="ｓｓｓｓｓｆ">Arch-[32]Master01!$N$2:$N$65536</definedName>
    <definedName name="sssssss">'[242]PLT-SUM'!#REF!</definedName>
    <definedName name="SSSSSSSSSSFSDFSD" hidden="1">{"PriceSheetNoMargins",#N/A,FALSE,"PriceSheet"}</definedName>
    <definedName name="SSSSSSSSSSSSSSC" hidden="1">{"PriceSheetNoMargins",#N/A,FALSE,"PriceSheet"}</definedName>
    <definedName name="ssssssssssssssssss">[28]!ssssssssssssssssss</definedName>
    <definedName name="ssssssssssssssssssssssssssssssssssss">#REF!</definedName>
    <definedName name="ssteel">#REF!</definedName>
    <definedName name="sstile">#REF!</definedName>
    <definedName name="sstype3drop">#REF!</definedName>
    <definedName name="SSTYPE3DROP1">#REF!</definedName>
    <definedName name="sstype3slab">#REF!</definedName>
    <definedName name="SSTYPESLAB1">#REF!</definedName>
    <definedName name="ST.300">#REF!</definedName>
    <definedName name="st_100">"$#REF!.$#REF!$#REF!"</definedName>
    <definedName name="st_150">"$#REF!.$#REF!$#REF!"</definedName>
    <definedName name="st_200">"$#REF!.$#REF!$#REF!"</definedName>
    <definedName name="st_25">"$#REF!.$#REF!$#REF!"</definedName>
    <definedName name="st_250">"$#REF!.$#REF!$#REF!"</definedName>
    <definedName name="st_300">"$#REF!.$#REF!$#REF!"</definedName>
    <definedName name="st_32">"$#REF!.$#REF!$#REF!"</definedName>
    <definedName name="st_40">"$#REF!.$#REF!$#REF!"</definedName>
    <definedName name="st_50">"$#REF!.$#REF!$#REF!"</definedName>
    <definedName name="st_65">"$#REF!.$#REF!$#REF!"</definedName>
    <definedName name="st_80">"$#REF!.$#REF!$#REF!"</definedName>
    <definedName name="ST_debt_growth_fore">#REF!</definedName>
    <definedName name="sta">#REF!</definedName>
    <definedName name="stac">#REF!</definedName>
    <definedName name="staff">#REF!</definedName>
    <definedName name="staffmonth">'[95]1010'!$F$84</definedName>
    <definedName name="staffno">'[95]1010'!$F$81</definedName>
    <definedName name="stage">#REF!</definedName>
    <definedName name="stair1">#REF!</definedName>
    <definedName name="stair2">#REF!</definedName>
    <definedName name="stair3">#REF!</definedName>
    <definedName name="stair4">#REF!</definedName>
    <definedName name="Staircase2">#REF!</definedName>
    <definedName name="stairriserform">#REF!</definedName>
    <definedName name="Stairs">'[76]Ra  stair'!#REF!</definedName>
    <definedName name="stairsidingform">#REF!</definedName>
    <definedName name="STANDARD_BUS_SHELTER">'[227]11.Bus Shelter-Bay'!#REF!</definedName>
    <definedName name="start">[133]Input!$A$52</definedName>
    <definedName name="START2">#REF!</definedName>
    <definedName name="Startentities">[133]Input!$A$53</definedName>
    <definedName name="State">#REF!</definedName>
    <definedName name="Statement">#REF!</definedName>
    <definedName name="Station_drainage">#REF!</definedName>
    <definedName name="Station_Fitout">#REF!</definedName>
    <definedName name="steam">'[169]BOQ PL'!#REF!</definedName>
    <definedName name="steam_trap">#REF!</definedName>
    <definedName name="stee">#REF!</definedName>
    <definedName name="STEEL_CITY">#REF!</definedName>
    <definedName name="STEEL_ESC">#REF!</definedName>
    <definedName name="STEEL_OLD_CITY">#REF!</definedName>
    <definedName name="STEEL_OLD_ESC">#REF!</definedName>
    <definedName name="STEEL_OLD_PROD">#REF!</definedName>
    <definedName name="STEEL_OLD_WAGE">#REF!</definedName>
    <definedName name="STEEL_PROD">#REF!</definedName>
    <definedName name="STEEL_WAGE">#REF!</definedName>
    <definedName name="steeldoor1">#REF!</definedName>
    <definedName name="steeldoor2">#REF!</definedName>
    <definedName name="steelstaircase">#REF!</definedName>
    <definedName name="steelstr">#REF!</definedName>
    <definedName name="steelstrcanopy">#REF!</definedName>
    <definedName name="steelstrroofgarden">#REF!</definedName>
    <definedName name="steelstrskylight">#REF!</definedName>
    <definedName name="steelstrstair08">#REF!</definedName>
    <definedName name="steelstrut">'[134]SCH1'!$H$1</definedName>
    <definedName name="steeltocanopy">'[71]Build Up rate'!$D$15</definedName>
    <definedName name="steeltodulux">'[71]Build Up rate'!$D$16</definedName>
    <definedName name="steeltone">#REF!</definedName>
    <definedName name="steeltoST08">'[71]Build Up rate'!$D$17</definedName>
    <definedName name="step">#REF!</definedName>
    <definedName name="stg">#REF!</definedName>
    <definedName name="Sthk">#REF!</definedName>
    <definedName name="sthree">[91]ANALISYS!$E$6563</definedName>
    <definedName name="stl">[241]BOQ!#REF!</definedName>
    <definedName name="ＳＴla">#REF!</definedName>
    <definedName name="Stm">#REF!</definedName>
    <definedName name="stm1stm">#REF!</definedName>
    <definedName name="Stmms">[286]Schedules!$A$5:$E$25</definedName>
    <definedName name="Stockcode">[138]Sheet2!$O$1:$O$4</definedName>
    <definedName name="StockItem">[102]Sheet2!$F$1:$F$2</definedName>
    <definedName name="stonefloorfinish">#REF!</definedName>
    <definedName name="stopper">#REF!</definedName>
    <definedName name="storey">#REF!</definedName>
    <definedName name="storm">#REF!</definedName>
    <definedName name="Story_Basement">#REF!</definedName>
    <definedName name="Story_Podium">#REF!</definedName>
    <definedName name="Story_Total">'[34]#REF'!$E$25</definedName>
    <definedName name="Story_Tower">#REF!</definedName>
    <definedName name="stp">[145]Factors!$C$5</definedName>
    <definedName name="StripPave">#N/A</definedName>
    <definedName name="STRUC_LAB">#REF!</definedName>
    <definedName name="STRUC_MAT">#REF!</definedName>
    <definedName name="Struct_Steel_1">#REF!</definedName>
    <definedName name="Struct_Steel_10">#REF!</definedName>
    <definedName name="Struct_Steel_100">#REF!</definedName>
    <definedName name="Struct_Steel_20">#REF!</definedName>
    <definedName name="Struct_Steel_30">#REF!</definedName>
    <definedName name="Struct_Steel_40">#REF!</definedName>
    <definedName name="Struct_Steel_50">#REF!</definedName>
    <definedName name="Struct_Steel_60">#REF!</definedName>
    <definedName name="Struct_Steel_70">#REF!</definedName>
    <definedName name="Struct_Steel_80">#REF!</definedName>
    <definedName name="Struct_Steel_90">#REF!</definedName>
    <definedName name="Struct_Type">'[34]#REF'!$E$26</definedName>
    <definedName name="structs">#REF!</definedName>
    <definedName name="Structural">#REF!</definedName>
    <definedName name="Structural_steelwork">#REF!</definedName>
    <definedName name="structure" hidden="1">{#N/A,#N/A,FALSE,"이정표"}</definedName>
    <definedName name="Strut">#REF!</definedName>
    <definedName name="STS">[77]BUR!$E$11</definedName>
    <definedName name="stsggd">#REF!</definedName>
    <definedName name="STtrp">#REF!</definedName>
    <definedName name="stwo">[91]ANALISYS!$E$6544</definedName>
    <definedName name="stype2drop">#REF!</definedName>
    <definedName name="STYPE2DROP1">#REF!</definedName>
    <definedName name="stype2slab">#REF!</definedName>
    <definedName name="STYPE2SLAB1">#REF!</definedName>
    <definedName name="stype3drop">#REF!</definedName>
    <definedName name="STYPE3DROP2">#REF!</definedName>
    <definedName name="stype3slab">#REF!</definedName>
    <definedName name="STYPE3SLAB1">#REF!</definedName>
    <definedName name="SUB">[1]内訳書!#REF!</definedName>
    <definedName name="Sub_Fac_old">[158]Sheet2!$B$89:$C$390</definedName>
    <definedName name="Subbase">#N/A</definedName>
    <definedName name="Subcon_List">OFFSET('[234]SUBCON OR OTHER'!$XEZ$11,0,0,COUNTA('[234]SUBCON OR OTHER'!$XEZ$11:$XEZ$999),1)</definedName>
    <definedName name="SUBCONTRACT_MTRL_UNIT_COST">'[29]Raw Data'!$L$12:$L$16,'[29]Raw Data'!$L$19:$L$30,'[29]Raw Data'!$L$33:$L$36,'[29]Raw Data'!$L$39:$L$40,'[29]Raw Data'!$L$42:$L$48,'[29]Raw Data'!$L$51:$L$55,'[29]Raw Data'!$L$66</definedName>
    <definedName name="SUBHEAD2">#REF!</definedName>
    <definedName name="SUBHEAD3">#REF!</definedName>
    <definedName name="SUBHEAD4">#REF!</definedName>
    <definedName name="SUBHEAD5">#REF!</definedName>
    <definedName name="SUBHEAD6">#REF!</definedName>
    <definedName name="SubscriberDep">#REF!</definedName>
    <definedName name="SubsoilDrain5m">#N/A</definedName>
    <definedName name="substructure">#REF!</definedName>
    <definedName name="SUM_1.1">#REF!</definedName>
    <definedName name="SUM_1.2">#REF!</definedName>
    <definedName name="SUM_1.5">#REF!</definedName>
    <definedName name="SUM_DATA">#REF!</definedName>
    <definedName name="SUMAD">#REF!</definedName>
    <definedName name="SUMD1">#REF!</definedName>
    <definedName name="SUMFINAL">#REF!</definedName>
    <definedName name="SUML1">#REF!</definedName>
    <definedName name="summar" hidden="1">{#N/A,#N/A,TRUE,"SUM";#N/A,#N/A,TRUE,"EE";#N/A,#N/A,TRUE,"AC";#N/A,#N/A,TRUE,"SN"}</definedName>
    <definedName name="summarkup">#REF!</definedName>
    <definedName name="SUMMARY_1">#N/A</definedName>
    <definedName name="SUMMARY_2">#N/A</definedName>
    <definedName name="SUMMARY_SOFT">#N/A</definedName>
    <definedName name="Summary1">#REF!</definedName>
    <definedName name="summary12">#REF!</definedName>
    <definedName name="summaryone">#REF!</definedName>
    <definedName name="summaryone111">#REF!</definedName>
    <definedName name="SUMMARYT" hidden="1">#REF!</definedName>
    <definedName name="Summery_1" hidden="1">#REF!</definedName>
    <definedName name="SUMY1">#REF!</definedName>
    <definedName name="SUMY2">#REF!</definedName>
    <definedName name="SUN">[247]BQ!#REF!</definedName>
    <definedName name="sundries4">'[11]BILL 4 NEW multi'!$H$904</definedName>
    <definedName name="SUNIL">#REF!</definedName>
    <definedName name="SUNIL1">#REF!</definedName>
    <definedName name="SUNIL3">#REF!</definedName>
    <definedName name="sunk">#REF!</definedName>
    <definedName name="Sunshade">'[76]Ra  stair'!#REF!</definedName>
    <definedName name="SUPA">#REF!</definedName>
    <definedName name="super">1</definedName>
    <definedName name="superseded" hidden="1">{#N/A,#N/A,FALSE,"GS";#N/A,#N/A,FALSE,"Cost Code Summary";#N/A,#N/A,FALSE,"VO";#N/A,#N/A,FALSE,"CUM FLUCT";#N/A,#N/A,FALSE,"Fluct";#N/A,#N/A,FALSE,"Bill 3";#N/A,#N/A,FALSE,"Bill 4";#N/A,#N/A,FALSE,"bill 5";#N/A,#N/A,FALSE,"Bill 7";#N/A,#N/A,FALSE,"Bill 8";#N/A,#N/A,FALSE,"Bill 10";#N/A,#N/A,FALSE,"Bill 12"}</definedName>
    <definedName name="superseded1" hidden="1">{#N/A,#N/A,FALSE,"GS";#N/A,#N/A,FALSE,"Cost Code Summary";#N/A,#N/A,FALSE,"VO";#N/A,#N/A,FALSE,"CUM FLUCT";#N/A,#N/A,FALSE,"Fluct";#N/A,#N/A,FALSE,"Bill 3";#N/A,#N/A,FALSE,"Bill 4";#N/A,#N/A,FALSE,"bill 5";#N/A,#N/A,FALSE,"Bill 7";#N/A,#N/A,FALSE,"Bill 8";#N/A,#N/A,FALSE,"Bill 10";#N/A,#N/A,FALSE,"Bill 12"}</definedName>
    <definedName name="Superstructure2">#REF!</definedName>
    <definedName name="Supplier">#REF!</definedName>
    <definedName name="SUPPO">#REF!</definedName>
    <definedName name="supturn">#REF!</definedName>
    <definedName name="sur_2">#REF!</definedName>
    <definedName name="surang">'[3]Ra  stair'!#REF!</definedName>
    <definedName name="suranga">'[119]1-Excavation'!#REF!</definedName>
    <definedName name="SURF_AREA">[80]Calendar!$L:$L</definedName>
    <definedName name="SURFACE4">'[11]BILL 4 NEW multi'!$H$879</definedName>
    <definedName name="SurveyAoyaRd">#N/A</definedName>
    <definedName name="SURYA">#REF!</definedName>
    <definedName name="sus.5">#REF!</definedName>
    <definedName name="SUSA" hidden="1">{#N/A,#N/A,FALSE,"BOX RFQ SHEET"}</definedName>
    <definedName name="SUSHIL">#REF!</definedName>
    <definedName name="SV">#REF!</definedName>
    <definedName name="sv.100">#REF!</definedName>
    <definedName name="sv.125">#REF!</definedName>
    <definedName name="sv.15">#REF!</definedName>
    <definedName name="sv.150">#REF!</definedName>
    <definedName name="sv.20">#REF!</definedName>
    <definedName name="sv.200">#REF!</definedName>
    <definedName name="sv.25">#REF!</definedName>
    <definedName name="sv.250">#REF!</definedName>
    <definedName name="sv.300">#REF!</definedName>
    <definedName name="sv.32">#REF!</definedName>
    <definedName name="sv.40">#REF!</definedName>
    <definedName name="sv.50">#REF!</definedName>
    <definedName name="sv.65">#REF!</definedName>
    <definedName name="sv.80">#REF!</definedName>
    <definedName name="svanity">#REF!</definedName>
    <definedName name="svarnish">#REF!</definedName>
    <definedName name="svdf">#REF!</definedName>
    <definedName name="svgasffafgasfgasfgasfgasfgasfg" hidden="1">{"PriceSheetNoMargins",#N/A,FALSE,"PriceSheet"}</definedName>
    <definedName name="swares">#REF!</definedName>
    <definedName name="swi">#REF!</definedName>
    <definedName name="SwimmingPool">#REF!</definedName>
    <definedName name="SWITCH">#REF!</definedName>
    <definedName name="swm">#REF!</definedName>
    <definedName name="swmf">#REF!</definedName>
    <definedName name="swt">#REF!</definedName>
    <definedName name="swvp">#REF!</definedName>
    <definedName name="SWYD_DUCT_SIZE">#REF!</definedName>
    <definedName name="Swyd_Scope">#REF!</definedName>
    <definedName name="SWYD_TYPE">#REF!</definedName>
    <definedName name="SX">[28]!SX</definedName>
    <definedName name="SX_USEL">#REF!</definedName>
    <definedName name="SXS">#REF!</definedName>
    <definedName name="SXX">#REF!</definedName>
    <definedName name="syntheticturf">#REF!</definedName>
    <definedName name="SYS">#REF!</definedName>
    <definedName name="SYSTEM">#REF!</definedName>
    <definedName name="SZ">#REF!</definedName>
    <definedName name="T.">#N/A</definedName>
    <definedName name="t.bracket">#REF!</definedName>
    <definedName name="T_">#N/A</definedName>
    <definedName name="T_and_m">#REF!</definedName>
    <definedName name="T0">#REF!</definedName>
    <definedName name="t43qretbvq34t">#REF!</definedName>
    <definedName name="Table">#REF!</definedName>
    <definedName name="table_WageStructure">#REF!</definedName>
    <definedName name="Table3">#REF!</definedName>
    <definedName name="TABLE5KV">#REF!</definedName>
    <definedName name="TableRange">#REF!</definedName>
    <definedName name="Tables" hidden="1">{"sales",#N/A,FALSE,"Sales";"sales existing",#N/A,FALSE,"Sales";"sales rd1",#N/A,FALSE,"Sales";"sales rd2",#N/A,FALSE,"Sales"}</definedName>
    <definedName name="tacggiu">#REF!</definedName>
    <definedName name="TackCoat">#N/A</definedName>
    <definedName name="talent">'[215]1A'!#REF!</definedName>
    <definedName name="tank2">[148]rate!$H$12</definedName>
    <definedName name="tap.pil">#REF!</definedName>
    <definedName name="tap.sawn">#REF!</definedName>
    <definedName name="tape">#REF!</definedName>
    <definedName name="tape_10">"$#REF!.$R$2"</definedName>
    <definedName name="tape_4">#REF!</definedName>
    <definedName name="tape_5">#REF!</definedName>
    <definedName name="tape_9">"$#REF!.$R$2"</definedName>
    <definedName name="tar">#REF!</definedName>
    <definedName name="Target_debt_to_capital">#REF!</definedName>
    <definedName name="tav">[287]Factors!$F$9</definedName>
    <definedName name="TAWRTAWRTW" hidden="1">{"PriceSheetNoMargins",#N/A,FALSE,"PriceSheet"}</definedName>
    <definedName name="TAX">#REF!</definedName>
    <definedName name="tax_rate">#REF!</definedName>
    <definedName name="Taxes">'[29]Raw Data'!$D$19</definedName>
    <definedName name="TaxRate">[156]Title!$G$15</definedName>
    <definedName name="TaxTV">10%</definedName>
    <definedName name="TaxXL">5%</definedName>
    <definedName name="tbanding">#REF!</definedName>
    <definedName name="tbl_Armouring">#REF!</definedName>
    <definedName name="tbl_Cable">#REF!</definedName>
    <definedName name="tbl_CableAccessories">#REF!</definedName>
    <definedName name="tbl_CableSupplier">#REF!</definedName>
    <definedName name="tbl_Conductor">#REF!</definedName>
    <definedName name="tbl_Cores">#REF!</definedName>
    <definedName name="tbl_CrossSection">#REF!</definedName>
    <definedName name="tbl_DB">#REF!</definedName>
    <definedName name="tbl_Insulation">#REF!</definedName>
    <definedName name="tbl_LayingMethod">#REF!</definedName>
    <definedName name="tbl_ProdInfo" hidden="1">#REF!</definedName>
    <definedName name="tbl_TaxBase">#REF!</definedName>
    <definedName name="tblref">#REF!</definedName>
    <definedName name="tbrflr">#REF!</definedName>
    <definedName name="tbrpaint">#REF!</definedName>
    <definedName name="TCode">#REF!</definedName>
    <definedName name="tcoping">#REF!</definedName>
    <definedName name="TCORADJ">#REF!</definedName>
    <definedName name="td10door">#REF!</definedName>
    <definedName name="td1door">#REF!</definedName>
    <definedName name="td1doorroof">#REF!</definedName>
    <definedName name="td2door">#REF!</definedName>
    <definedName name="td3door">#REF!</definedName>
    <definedName name="td4door">#REF!</definedName>
    <definedName name="td5door">#REF!</definedName>
    <definedName name="td6door">#REF!</definedName>
    <definedName name="td7door">#REF!</definedName>
    <definedName name="td8door">#REF!</definedName>
    <definedName name="td9door">#REF!</definedName>
    <definedName name="tdf">#REF!</definedName>
    <definedName name="TDHDZSHHBZ" hidden="1">{"PriceSheetNoMargins",#N/A,FALSE,"PriceSheet"}</definedName>
    <definedName name="TEE">#REF!</definedName>
    <definedName name="TelCable_6">#REF!</definedName>
    <definedName name="telcost">#REF!</definedName>
    <definedName name="teld">[84]Factors!#REF!</definedName>
    <definedName name="TELD.1200">[66]Price!$D$81</definedName>
    <definedName name="TELD.600">[66]Price!$D$80</definedName>
    <definedName name="TELE_CABLE">#REF!</definedName>
    <definedName name="TELE_CONDUIT">#REF!</definedName>
    <definedName name="TELE_EQUIP">#REF!</definedName>
    <definedName name="telext">#REF!</definedName>
    <definedName name="TelHandset_6">#REF!</definedName>
    <definedName name="TelPABX_6">#REF!</definedName>
    <definedName name="tem">[28]!tem</definedName>
    <definedName name="temp_strainer">#REF!</definedName>
    <definedName name="temp2">#REF!</definedName>
    <definedName name="temp3">#REF!</definedName>
    <definedName name="TempBuilding">#REF!</definedName>
    <definedName name="Template1">[28]!Template1</definedName>
    <definedName name="template2">[28]!template2</definedName>
    <definedName name="Temporary">#REF!</definedName>
    <definedName name="Temporary_drainage_diversion">#REF!</definedName>
    <definedName name="Temporary_shoring_diaphragm_walls">#REF!</definedName>
    <definedName name="Temporary_traffic_diversion">#REF!</definedName>
    <definedName name="TemporaryBuildings">#REF!</definedName>
    <definedName name="TemporaryElectricity">#REF!</definedName>
    <definedName name="TemporaryWater">#REF!</definedName>
    <definedName name="TempRatio">#REF!</definedName>
    <definedName name="ten">[91]ANALISYS!$E$129</definedName>
    <definedName name="tender">#REF!</definedName>
    <definedName name="tep">[135]Factors!$H$25</definedName>
    <definedName name="ter">#REF!</definedName>
    <definedName name="tera">#REF!</definedName>
    <definedName name="termi1">#REF!</definedName>
    <definedName name="termi2">#REF!</definedName>
    <definedName name="termi3">#REF!</definedName>
    <definedName name="termination">#REF!</definedName>
    <definedName name="termite">#REF!</definedName>
    <definedName name="TERMS_5KV">#REF!</definedName>
    <definedName name="TERMS_600V">#REF!</definedName>
    <definedName name="terrazo">#REF!</definedName>
    <definedName name="terrazzo.a">#REF!</definedName>
    <definedName name="terrazzo.b">#REF!</definedName>
    <definedName name="terrazzo.c">#REF!</definedName>
    <definedName name="Terrazzo_Flooring">#REF!</definedName>
    <definedName name="test" hidden="1">{#N/A,#N/A,FALSE,"Pricing";#N/A,#N/A,FALSE,"Summary";#N/A,#N/A,FALSE,"CompProd";#N/A,#N/A,FALSE,"CompJobhrs";#N/A,#N/A,FALSE,"Escalation";#N/A,#N/A,FALSE,"Contingency";#N/A,#N/A,FALSE,"GM";#N/A,#N/A,FALSE,"CompWage";#N/A,#N/A,FALSE,"costSum"}</definedName>
    <definedName name="TEST0">[54]data!#REF!</definedName>
    <definedName name="test1" hidden="1">{"'Sheet1'!$A$1:$R$58"}</definedName>
    <definedName name="test2" hidden="1">{"'Sheet1'!$A$1:$R$58"}</definedName>
    <definedName name="test3" hidden="1">{"'Sheet1'!$A$1:$R$58"}</definedName>
    <definedName name="Testing">[288]KKC_Brkdwn!$A$1:$F$65064,[288]KKC_Brkdwn!#REF!</definedName>
    <definedName name="TESTKEYS">[54]data!#REF!</definedName>
    <definedName name="texturepaint">#REF!</definedName>
    <definedName name="tf">#REF!</definedName>
    <definedName name="TFC">#REF!</definedName>
    <definedName name="TFC_Group">#REF!</definedName>
    <definedName name="TFC_PACIFIC">#REF!</definedName>
    <definedName name="TFCNA">[69]Summary!$HC$215:$HC$219</definedName>
    <definedName name="tfgf" hidden="1">#REF!</definedName>
    <definedName name="tfgf1" hidden="1">#REF!</definedName>
    <definedName name="tfggt" hidden="1">[23]FitOutConfCentre!#REF!</definedName>
    <definedName name="TFRAL">[157]TFR!$A$1:$G$19,[157]TFR!$H$1:$J$19</definedName>
    <definedName name="TFRDX">[157]TFR!$A$1:$G$19,[157]TFR!$H$1:$J$19,[157]TFR!$K$1:$M$19</definedName>
    <definedName name="TFRSH">[157]TFR!$A$1:$G$19,[157]TFR!$H$1:$J$19,[157]TFR!$K$1:$M$19,[157]TFR!$N$1:$N$19</definedName>
    <definedName name="TG">#REF!</definedName>
    <definedName name="TGHETAETG" hidden="1">{"PriceSheetNoMargins",#N/A,FALSE,"PriceSheet"}</definedName>
    <definedName name="tha" hidden="1">{"'Sheet1'!$L$16"}</definedName>
    <definedName name="thang10" hidden="1">{"'Sheet1'!$L$16"}</definedName>
    <definedName name="thariendra">#REF!</definedName>
    <definedName name="thcd">#REF!</definedName>
    <definedName name="theph">[53]GIAVLIEU!$M$41</definedName>
    <definedName name="thermostat">#REF!</definedName>
    <definedName name="thhhaath">[28]!thhhaath</definedName>
    <definedName name="thin">#REF!</definedName>
    <definedName name="third">#REF!</definedName>
    <definedName name="thirteen">[91]ANALISYS!$E$165</definedName>
    <definedName name="Thirth">#REF!</definedName>
    <definedName name="thirty">[91]ANALISYS!$E$370</definedName>
    <definedName name="thirtyeight">[91]ANALISYS!$E$459</definedName>
    <definedName name="thirtyfive">[91]ANALISYS!$E$426</definedName>
    <definedName name="thirtyfour">[91]ANALISYS!$E$415</definedName>
    <definedName name="thirtynine">[91]ANALISYS!$E$472</definedName>
    <definedName name="thirtyone">[91]ANALISYS!$E$383</definedName>
    <definedName name="thirtyseven">[91]ANALISYS!$E$448</definedName>
    <definedName name="thirtysix">[91]ANALISYS!$E$437</definedName>
    <definedName name="thirtythree">[91]ANALISYS!$E$405</definedName>
    <definedName name="thirtytwo">[91]ANALISYS!$E$394</definedName>
    <definedName name="thjukdghf" hidden="1">'[289]AU Zone'!$B$15:$I$222</definedName>
    <definedName name="THK">#REF!</definedName>
    <definedName name="thomas">[28]!thomas</definedName>
    <definedName name="thread10">#REF!</definedName>
    <definedName name="thread10_10">"$#REF!.$D$38"</definedName>
    <definedName name="thread10_4">#REF!</definedName>
    <definedName name="thread10_5">#REF!</definedName>
    <definedName name="thread10_9">"$#REF!.$D$38"</definedName>
    <definedName name="thread8">#REF!</definedName>
    <definedName name="thread8_10">"$#REF!.$D$37"</definedName>
    <definedName name="thread8_4">#REF!</definedName>
    <definedName name="thread8_5">#REF!</definedName>
    <definedName name="thread8_9">"$#REF!.$D$37"</definedName>
    <definedName name="three">[91]ANALISYS!$E$35</definedName>
    <definedName name="THYDYDTY" hidden="1">{"PriceSheetNoMargins",#N/A,FALSE,"PriceSheet"}</definedName>
    <definedName name="THZSDFHHSDFH" hidden="1">{"PriceSheetNoMargins",#N/A,FALSE,"PriceSheet"}</definedName>
    <definedName name="tick">"ü"</definedName>
    <definedName name="tieu">[290]LEGEND!$D$4</definedName>
    <definedName name="tile.cal">#REF!</definedName>
    <definedName name="tile.h.r">#REF!</definedName>
    <definedName name="tile.press">#REF!</definedName>
    <definedName name="tile.ridge">#REF!</definedName>
    <definedName name="tile.terr">#REF!</definedName>
    <definedName name="Tile_Skirting">#REF!</definedName>
    <definedName name="tilep">#REF!</definedName>
    <definedName name="TileStone">#REF!</definedName>
    <definedName name="tilewl">#REF!</definedName>
    <definedName name="Tiltup_Panel_Data">#REF!</definedName>
    <definedName name="TILTUP_PANELS">#REF!</definedName>
    <definedName name="tim.5cl1">#REF!</definedName>
    <definedName name="tim.75cl2">#REF!</definedName>
    <definedName name="tim.prop">#REF!</definedName>
    <definedName name="tim1.12">#REF!</definedName>
    <definedName name="tim1.25">#REF!</definedName>
    <definedName name="tim1cl1">#REF!</definedName>
    <definedName name="tim1cl2">#REF!</definedName>
    <definedName name="tim2x1">#REF!</definedName>
    <definedName name="tim2x1cl2">#REF!</definedName>
    <definedName name="tim2x2cl2">#REF!</definedName>
    <definedName name="tim4x2cl2">#REF!</definedName>
    <definedName name="timber">'[134]SCH2'!$I$1</definedName>
    <definedName name="timberlouvreceiling">#REF!</definedName>
    <definedName name="timberstripceiling">#REF!</definedName>
    <definedName name="timcl1">#REF!</definedName>
    <definedName name="timcl2">#REF!</definedName>
    <definedName name="TimeStamp">'[110]Dist Controls'!$F$8</definedName>
    <definedName name="tinhqt">[143]!tinhqt</definedName>
    <definedName name="titlele">#REF!</definedName>
    <definedName name="TITLES_A_HRS">'[29]Raw Data'!$A$2:$IV$5</definedName>
    <definedName name="TJ">#REF!</definedName>
    <definedName name="TJDGTUJ" hidden="1">{"PriceSheetNoMargins",#N/A,FALSE,"PriceSheet"}</definedName>
    <definedName name="tkemiow">#REF!</definedName>
    <definedName name="tkp">[143]!tkp</definedName>
    <definedName name="tkpdt">[143]!tkpdt</definedName>
    <definedName name="TLH">#N/A</definedName>
    <definedName name="TM_margin">#REF!</definedName>
    <definedName name="TMGrowth">#REF!</definedName>
    <definedName name="TMMargin">#REF!</definedName>
    <definedName name="tmp" hidden="1">{"'Break down'!$A$4"}</definedName>
    <definedName name="tmsd">#REF!</definedName>
    <definedName name="tna">#REF!</definedName>
    <definedName name="tnb">#REF!</definedName>
    <definedName name="TOK" hidden="1">#REF!</definedName>
    <definedName name="TOP_DIMS">'[29]Raw Data'!$A$1:$IV$5</definedName>
    <definedName name="TOPASTE">#REF!</definedName>
    <definedName name="TopBase">#REF!</definedName>
    <definedName name="topcem">#REF!</definedName>
    <definedName name="tor">#REF!</definedName>
    <definedName name="Toronto" hidden="1">{"'Sheet1'!$A$1:$R$58"}</definedName>
    <definedName name="TorSteel">'[291]Material Prices to site'!$H$7</definedName>
    <definedName name="TOSOU">#REF!</definedName>
    <definedName name="TOT">SUM([253]BOQ!#REF!*[253]BOQ!#REF!)</definedName>
    <definedName name="Tot.Cost_SiteExp">#REF!</definedName>
    <definedName name="Tot.Cost_TempWk">#REF!</definedName>
    <definedName name="TOT_CV">'[29]Raw Data'!$D$4</definedName>
    <definedName name="TOT_EXP_COND">#REF!</definedName>
    <definedName name="TOT_FIXTURES">#REF!</definedName>
    <definedName name="Tot_FPM">#REF!</definedName>
    <definedName name="TOT_PVC_COND">#REF!</definedName>
    <definedName name="total.cfa">[126]Summary!$E$1</definedName>
    <definedName name="Total_amort_fore">#REF!</definedName>
    <definedName name="Total_Amortization_fore">#REF!</definedName>
    <definedName name="Total_Burden">'[29]Raw Data'!$D$20</definedName>
    <definedName name="TOTAL_CONSUMPTION">#REF!</definedName>
    <definedName name="TOTAL_CORP">#REF!</definedName>
    <definedName name="Total_COS_fore">#REF!</definedName>
    <definedName name="Total_COS_growth_fore">#REF!</definedName>
    <definedName name="Total_COS_net_DnA_fore">#REF!</definedName>
    <definedName name="Total_debt_fore">#REF!</definedName>
    <definedName name="Total_debt_growth_fore">#REF!</definedName>
    <definedName name="TOTAL_DIRECTS">#REF!</definedName>
    <definedName name="Total_Floor_Area">'[34]#REF'!$E$24</definedName>
    <definedName name="total_graph">'[29]Raw Data'!$B$86:$AF$242</definedName>
    <definedName name="Total_Increase_in_EEs_fore">#REF!</definedName>
    <definedName name="TOTAL_INDIRECTS">#REF!</definedName>
    <definedName name="Total_Modules">#REF!</definedName>
    <definedName name="TOTAL_NO_OF_MH">[80]Calendar!$O:$O</definedName>
    <definedName name="Total_Payment___0">NA()</definedName>
    <definedName name="Total_Payment___10">NA()</definedName>
    <definedName name="Total_Payment___2">NA()</definedName>
    <definedName name="Total_Payment___3">NA()</definedName>
    <definedName name="Total_Payment___4">NA()</definedName>
    <definedName name="Total_Payment___5">NA()</definedName>
    <definedName name="Total_Payment___6">NA()</definedName>
    <definedName name="Total_Payment___7">NA()</definedName>
    <definedName name="Total_Payment___8">NA()</definedName>
    <definedName name="Total_Payment___9">NA()</definedName>
    <definedName name="total_plates">#REF!</definedName>
    <definedName name="total_schedule">'[29]Raw Data'!$B$1:$AI$81</definedName>
    <definedName name="Total_Tyco_International__EXAMPLE">#REF!</definedName>
    <definedName name="TOTAL1">'[29]Raw Data'!$C$1:$U$156</definedName>
    <definedName name="Total3">#REF!</definedName>
    <definedName name="TOTALCIVIL">#REF!</definedName>
    <definedName name="TotalCost">#REF!</definedName>
    <definedName name="TotalLabourTime">[131]A!#REF!</definedName>
    <definedName name="TotalPrice">[131]A!#REF!</definedName>
    <definedName name="totalsum">'[292]직접비_Origin(315,430)'!#REF!</definedName>
    <definedName name="totalthisbill">#REF!</definedName>
    <definedName name="Totalworkmenmmonth">'[95]1090'!$D$5</definedName>
    <definedName name="TotDomXS">#REF!</definedName>
    <definedName name="TOTMB">#REF!</definedName>
    <definedName name="tower1">#REF!</definedName>
    <definedName name="TOWN_PARK_7_1">#REF!</definedName>
    <definedName name="tpt">'[293]Factors &amp; Temp Calc'!$A$9</definedName>
    <definedName name="TransInsu">#REF!</definedName>
    <definedName name="TRAY_PRICING">#REF!</definedName>
    <definedName name="TRAY_TYPE">#REF!</definedName>
    <definedName name="traydis">[103]Factors!$G$15</definedName>
    <definedName name="TREASURY">#REF!</definedName>
    <definedName name="TREE">#REF!</definedName>
    <definedName name="Trench">'[233]QTY Pipe Laying'!$Q$8:$U$24</definedName>
    <definedName name="trench100">#REF!</definedName>
    <definedName name="trench150">#REF!</definedName>
    <definedName name="trench200">#REF!</definedName>
    <definedName name="trench300">#REF!</definedName>
    <definedName name="trench75">#REF!</definedName>
    <definedName name="TRENCHES">#REF!</definedName>
    <definedName name="Trend_Manpower">#REF!</definedName>
    <definedName name="trew">#REF!</definedName>
    <definedName name="trgaerg" hidden="1">{"PriceSheetNoMargins",#N/A,FALSE,"PriceSheet"}</definedName>
    <definedName name="TRGTRAGR" hidden="1">{"PriceSheetNoMargins",#N/A,FALSE,"PriceSheet"}</definedName>
    <definedName name="TRHSDRHZH" hidden="1">{"PriceSheetNoMargins",#N/A,FALSE,"PriceSheet"}</definedName>
    <definedName name="trim">#REF!</definedName>
    <definedName name="trip30">#REF!</definedName>
    <definedName name="trip60">#REF!</definedName>
    <definedName name="trp">#REF!</definedName>
    <definedName name="TRS">#REF!</definedName>
    <definedName name="TRS_10">"$#REF!.$C$24"</definedName>
    <definedName name="TRS_2">#REF!</definedName>
    <definedName name="TRS_9">"$#REF!.$C$24"</definedName>
    <definedName name="TRTR" hidden="1">{"PriceSheetNoMargins",#N/A,FALSE,"PriceSheet"}</definedName>
    <definedName name="TRTRTR" hidden="1">{"PriceSheetNoMargins",#N/A,FALSE,"PriceSheet"}</definedName>
    <definedName name="TRTRTRTRTRTRTR" hidden="1">{"PriceSheetNoMargins",#N/A,FALSE,"PriceSheet"}</definedName>
    <definedName name="tscd">#REF!</definedName>
    <definedName name="tscupper">#REF!</definedName>
    <definedName name="TSK">#REF!</definedName>
    <definedName name="tssssy">[28]!tssssy</definedName>
    <definedName name="TSUPPOT" hidden="1">{#N/A,#N/A,FALSE,"CCTV"}</definedName>
    <definedName name="TSUPPOT1" hidden="1">{#N/A,#N/A,FALSE,"CCTV"}</definedName>
    <definedName name="TT">#REF!</definedName>
    <definedName name="ttemp">#REF!</definedName>
    <definedName name="TTJTHJU" hidden="1">{"PriceSheetNoMargins",#N/A,FALSE,"PriceSheet"}</definedName>
    <definedName name="TTT" hidden="1">{#N/A,#N/A,TRUE,"PC &amp; PROV"}</definedName>
    <definedName name="tttkjsrr">[28]!tttkjsrr</definedName>
    <definedName name="tttttj">[28]!tttttj</definedName>
    <definedName name="TTTTTT" hidden="1">{"PriceSheetNoMargins",#N/A,FALSE,"PriceSheet"}</definedName>
    <definedName name="TU_KA1">[150]Group!$AA$10:$AC$24</definedName>
    <definedName name="TUBE" hidden="1">{#N/A,#N/A,FALSE,"CCTV"}</definedName>
    <definedName name="tube_test_press1_12">#REF!</definedName>
    <definedName name="TUBED_INST">#REF!</definedName>
    <definedName name="Turfing">#N/A</definedName>
    <definedName name="turnbuckle">#REF!</definedName>
    <definedName name="TVC_Asia_Group">#REF!</definedName>
    <definedName name="TVC_Europe_Group">#REF!</definedName>
    <definedName name="TVCASIA">#REF!</definedName>
    <definedName name="TVCASIACONSOL">#REF!</definedName>
    <definedName name="TVCESD">#REF!</definedName>
    <definedName name="TVCEUROPE">#REF!</definedName>
    <definedName name="TVCNA_ACG">#REF!</definedName>
    <definedName name="TVCNA_ADMIN">[69]Summary!$HC$213:$HC$214</definedName>
    <definedName name="TVCNA_SSD">#REF!</definedName>
    <definedName name="TVCNA_VMG">#REF!</definedName>
    <definedName name="TVHWBVSFCD">#REF!</definedName>
    <definedName name="tween">#REF!</definedName>
    <definedName name="twelve">[91]ANALISYS!$E$151</definedName>
    <definedName name="twenty">[91]ANALISYS!$E$254</definedName>
    <definedName name="twentyeight">[91]ANALISYS!$E$346</definedName>
    <definedName name="twentyfive">[91]ANALISYS!$E$315</definedName>
    <definedName name="twentyfour">[91]ANALISYS!$E$302</definedName>
    <definedName name="twentynine">[91]ANALISYS!$E$358</definedName>
    <definedName name="twentyone">[91]ANALISYS!$E$266</definedName>
    <definedName name="twentyseven">[91]ANALISYS!$E$335</definedName>
    <definedName name="twentysix">[91]ANALISYS!$E$325</definedName>
    <definedName name="twentythree">[91]ANALISYS!$E$290</definedName>
    <definedName name="twentytwo">[91]ANALISYS!$E$279</definedName>
    <definedName name="two">[91]ANALISYS!$E$24</definedName>
    <definedName name="twolab">"$#REF!.$Y$29"</definedName>
    <definedName name="twomdr">#REF!</definedName>
    <definedName name="TWP_COMPONENTS.PTADJ">[69]Summary!$HC$205:$HC$206</definedName>
    <definedName name="twytenhrdyjf">#REF!</definedName>
    <definedName name="Tyco">#REF!</definedName>
    <definedName name="Tyco_BS_Input">#REF!</definedName>
    <definedName name="Tyco_BS_Out">#REF!</definedName>
    <definedName name="Tyco_BS_Results">#REF!</definedName>
    <definedName name="Tyco_CF_Out">#REF!</definedName>
    <definedName name="Tyco_CFS_Out">#REF!</definedName>
    <definedName name="Tyco_Corp">#REF!</definedName>
    <definedName name="Tyco_CurSel">#REF!</definedName>
    <definedName name="tyco_Fire_and_Security_Services">#REF!</definedName>
    <definedName name="Tyco_FY05Bridge_Input">#REF!</definedName>
    <definedName name="Tyco_History">#REF!</definedName>
    <definedName name="Tyco_IS_Input">#REF!</definedName>
    <definedName name="Tyco_IS_Out">#REF!</definedName>
    <definedName name="Tyco_IS_Results">#REF!</definedName>
    <definedName name="Tyco_ISS_Out">#REF!</definedName>
    <definedName name="Tyco_MemoCFA_Input">#REF!</definedName>
    <definedName name="Tyco3">'[294]Financial Summary'!#REF!</definedName>
    <definedName name="tycointfull">#REF!</definedName>
    <definedName name="Tycom_TGN">#REF!</definedName>
    <definedName name="TYCOWATER">#REF!</definedName>
    <definedName name="TYDFHJDFJNF" hidden="1">{"PriceSheetNoMargins",#N/A,FALSE,"PriceSheet"}</definedName>
    <definedName name="TYNHJ" hidden="1">{"PriceSheetNoMargins",#N/A,FALSE,"PriceSheet"}</definedName>
    <definedName name="Type">#REF!</definedName>
    <definedName name="Type1">#REF!</definedName>
    <definedName name="Type1_magnet_cost">'[90]Magnet Details'!$Q$2</definedName>
    <definedName name="type11">#REF!</definedName>
    <definedName name="type1drop">#REF!</definedName>
    <definedName name="type1slab">#REF!</definedName>
    <definedName name="Type2">#REF!</definedName>
    <definedName name="Type2_magnet_cost">'[90]Magnet Details'!$Q$4</definedName>
    <definedName name="Type2A_magnet_cost">'[90]Magnet Details'!$Q$5</definedName>
    <definedName name="type2drop">#REF!</definedName>
    <definedName name="type2slab">#REF!</definedName>
    <definedName name="type3" hidden="1">#REF!</definedName>
    <definedName name="Type3_magnet_cost">'[90]Magnet Details'!$Q$7</definedName>
    <definedName name="type333">#REF!</definedName>
    <definedName name="Type3A_magnet_cost">'[90]Magnet Details'!$Q$8</definedName>
    <definedName name="type3drop">#REF!</definedName>
    <definedName name="type3slab">#REF!</definedName>
    <definedName name="type4">#REF!</definedName>
    <definedName name="type44">#REF!</definedName>
    <definedName name="type4drop">#REF!</definedName>
    <definedName name="type4slab">#REF!</definedName>
    <definedName name="TYT">[28]!TYT</definedName>
    <definedName name="U_G">#REF!</definedName>
    <definedName name="u6miot7rkiuyhtg">#REF!</definedName>
    <definedName name="UAED">#REF!</definedName>
    <definedName name="udrain1">#REF!</definedName>
    <definedName name="udrain2">#REF!</definedName>
    <definedName name="UF">'[76]Ra  stair'!#REF!</definedName>
    <definedName name="UG_SUMP">[6]UG!$1:$1048576</definedName>
    <definedName name="ugt">#REF!</definedName>
    <definedName name="UHGFDS" hidden="1">{"PriceSheetNoMargins",#N/A,FALSE,"PriceSheet"}</definedName>
    <definedName name="UHYGFCD" hidden="1">{"PriceSheetNoMargins",#N/A,FALSE,"PriceSheet"}</definedName>
    <definedName name="UHYGFDS" hidden="1">{"PriceSheetNoMargins",#N/A,FALSE,"PriceSheet"}</definedName>
    <definedName name="uj" hidden="1">{#N/A,#N/A,FALSE,"SumG";#N/A,#N/A,FALSE,"ElecG";#N/A,#N/A,FALSE,"MechG";#N/A,#N/A,FALSE,"GeotG";#N/A,#N/A,FALSE,"PrcsG";#N/A,#N/A,FALSE,"TunnG";#N/A,#N/A,FALSE,"CivlG";#N/A,#N/A,FALSE,"NtwkG";#N/A,#N/A,FALSE,"EstgG";#N/A,#N/A,FALSE,"PEngG"}</definedName>
    <definedName name="uk_in_uk">'[29]Raw Data'!$A$9:$V$17</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ltracolor1">#REF!</definedName>
    <definedName name="ultracolor2">#REF!</definedName>
    <definedName name="ultracolor3">#REF!</definedName>
    <definedName name="ultracolor4">#REF!</definedName>
    <definedName name="UN.32">[50]Factors!$T$181</definedName>
    <definedName name="UN.40">[50]Factors!$T$182</definedName>
    <definedName name="UN.50">[50]Factors!$T$183</definedName>
    <definedName name="underground">#REF!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format">#REF!</definedName>
    <definedName name="UNINZ.PTADJ">[69]Summary!$HC$207:$HC$208</definedName>
    <definedName name="UNION">#REF!</definedName>
    <definedName name="unit_lab___0">#REF!</definedName>
    <definedName name="unit_mat___0">#REF!</definedName>
    <definedName name="Unit_Prices_Used_In_Analysis">#REF!</definedName>
    <definedName name="Unit_Rate">"E1"</definedName>
    <definedName name="unit_total___0">#REF!</definedName>
    <definedName name="UnitGrowth">#REF!</definedName>
    <definedName name="UnitName">#REF!</definedName>
    <definedName name="Untitled">#REF!</definedName>
    <definedName name="UOM">#REF!</definedName>
    <definedName name="UP.1">#REF!</definedName>
    <definedName name="Up_En">'[295]STEEL STRUCTURE'!$A:$D,'[295]STEEL STRUCTURE'!$E:$Z</definedName>
    <definedName name="Up_lift">#REF!</definedName>
    <definedName name="Up_Sp">'[295]STEEL STRUCTURE'!$A:$D,'[295]STEEL STRUCTURE'!$T:$Z</definedName>
    <definedName name="UPS">#REF!</definedName>
    <definedName name="upvc.100">[148]rate!$H$31</definedName>
    <definedName name="upvc.150">[148]rate!$H$30</definedName>
    <definedName name="UPVCgrating">#REF!</definedName>
    <definedName name="UPVCstrip10mmgroove">#REF!</definedName>
    <definedName name="UR.1">#REF!</definedName>
    <definedName name="UR.2">#REF!</definedName>
    <definedName name="UR.3">#REF!</definedName>
    <definedName name="UR.4">#REF!</definedName>
    <definedName name="urflsv">#REF!</definedName>
    <definedName name="USD.APP">'[296]ELE Summary'!$CL$5</definedName>
    <definedName name="USD.JI">'[297]ELE Summary'!$CL$3</definedName>
    <definedName name="USD.JSI">'[298]GS1'!$AF$2</definedName>
    <definedName name="USD_2">#REF!</definedName>
    <definedName name="USDbr">[299]CS!$H$5</definedName>
    <definedName name="usdr">'[300]Import Schedule'!$F$16</definedName>
    <definedName name="USDRATE">#REF!</definedName>
    <definedName name="USDsr">'[297]Import Siemens'!$B$2</definedName>
    <definedName name="username">#REF!</definedName>
    <definedName name="usk">#REF!</definedName>
    <definedName name="UT">'[105]Rate analysis 1'!$D$153</definedName>
    <definedName name="Utility">#REF!</definedName>
    <definedName name="Utility_Diversion">#REF!</definedName>
    <definedName name="utility1">#REF!</definedName>
    <definedName name="utyu">#REF!</definedName>
    <definedName name="uuu">[28]!uuu</definedName>
    <definedName name="uuuuuu">[28]!uuuuuu</definedName>
    <definedName name="uuuuuuuuuu">[28]!uuuuuuuuuu</definedName>
    <definedName name="UV.100">#REF!</definedName>
    <definedName name="uy">#REF!</definedName>
    <definedName name="UYHBGVFCX" hidden="1">{"PriceSheetNoMargins",#N/A,FALSE,"PriceSheet"}</definedName>
    <definedName name="uytr">#REF!</definedName>
    <definedName name="V3100_Master">'[26]V3100 Prices_Raw'!$A$1:$U$799</definedName>
    <definedName name="Va_density">#REF!</definedName>
    <definedName name="Va_sheet_cost">#REF!</definedName>
    <definedName name="Vaa">[81]BOQ!$G$6</definedName>
    <definedName name="VAÄT_LIEÄU">"ATRAM"</definedName>
    <definedName name="vaav">#REF!</definedName>
    <definedName name="vafv">#REF!</definedName>
    <definedName name="vagv">#REF!</definedName>
    <definedName name="Valesco">'[301]Valesco Paste'!$A$1:$F$65536</definedName>
    <definedName name="ValidCountry">#REF!</definedName>
    <definedName name="ValidCurrency">'[146]Exchange Rates(rounded)'!#REF!</definedName>
    <definedName name="Validdepth">#REF!</definedName>
    <definedName name="valR">#N/A</definedName>
    <definedName name="valR_10">#N/A</definedName>
    <definedName name="valR_4">#REF!</definedName>
    <definedName name="valR_9">#N/A</definedName>
    <definedName name="VALUES">#REF!</definedName>
    <definedName name="Values_Entered___0">#N/A</definedName>
    <definedName name="Values_Entered___10">#N/A</definedName>
    <definedName name="Values_Entered___2">#N/A</definedName>
    <definedName name="Values_Entered___3">#N/A</definedName>
    <definedName name="Values_Entered___4">#N/A</definedName>
    <definedName name="Values_Entered___5">#N/A</definedName>
    <definedName name="Values_Entered___6">#N/A</definedName>
    <definedName name="Values_Entered___7">#N/A</definedName>
    <definedName name="Values_Entered___8">#N/A</definedName>
    <definedName name="Values_Entered___9">#N/A</definedName>
    <definedName name="VALVE">#REF!</definedName>
    <definedName name="valve2">#REF!</definedName>
    <definedName name="valve3">#REF!</definedName>
    <definedName name="valves">#REF!</definedName>
    <definedName name="Vanbas">'[201]Unit Rates-Duty Free'!$AA$304</definedName>
    <definedName name="vanity0.945and0.735">#REF!</definedName>
    <definedName name="vanity1.115and0.45">#REF!</definedName>
    <definedName name="vanity1.165and0.695">#REF!</definedName>
    <definedName name="vanity1.21and0.695">#REF!</definedName>
    <definedName name="vanity1.22and0.6">#REF!</definedName>
    <definedName name="vanity1.28and0.35">#REF!</definedName>
    <definedName name="vanity1.29and0.4">#REF!</definedName>
    <definedName name="vanity1.545and0.4">#REF!</definedName>
    <definedName name="vanity1.565and0.4">#REF!</definedName>
    <definedName name="vanity1.575and0.4">#REF!</definedName>
    <definedName name="vanity1.59and0.4">#REF!</definedName>
    <definedName name="vanity1.61and0.35">#REF!</definedName>
    <definedName name="vanity1.61and0.4">#REF!</definedName>
    <definedName name="vanity1.665and0.6">#REF!</definedName>
    <definedName name="vanity1.71and0.42">#REF!</definedName>
    <definedName name="vanity1.71and0.6">#REF!</definedName>
    <definedName name="vanity1.71and0.61">#REF!</definedName>
    <definedName name="vanity1.815and0.59">#REF!</definedName>
    <definedName name="vanity1.92and0.6">#REF!</definedName>
    <definedName name="vanity2.025and0.4">#REF!</definedName>
    <definedName name="vanity2.575and0.61">#REF!</definedName>
    <definedName name="vanity2.58and0.6">#REF!</definedName>
    <definedName name="vanity2.95and0.6">#REF!</definedName>
    <definedName name="vanity2and0.4">#REF!</definedName>
    <definedName name="vanity3.26and0.6">#REF!</definedName>
    <definedName name="vanity3.38and0.61">#REF!</definedName>
    <definedName name="vanity4.125and0.6">#REF!</definedName>
    <definedName name="vanity4.42and0.6">#REF!</definedName>
    <definedName name="vanity6.06and0.6">#REF!</definedName>
    <definedName name="vanitybracket">#REF!</definedName>
    <definedName name="vanitycounter1.42and0.6">#REF!</definedName>
    <definedName name="vanitycounter2.74and0.6">#REF!</definedName>
    <definedName name="vanitycounter2.7and0.6">#REF!</definedName>
    <definedName name="vansen">#REF!</definedName>
    <definedName name="vapour">#REF!</definedName>
    <definedName name="Var_tot">#REF!</definedName>
    <definedName name="VAR2015.RECY">#REF!</definedName>
    <definedName name="Variation" hidden="1">{#N/A,#N/A,FALSE,"SumD";#N/A,#N/A,FALSE,"ElecD";#N/A,#N/A,FALSE,"MechD";#N/A,#N/A,FALSE,"GeotD";#N/A,#N/A,FALSE,"PrcsD";#N/A,#N/A,FALSE,"TunnD";#N/A,#N/A,FALSE,"CivlD";#N/A,#N/A,FALSE,"NtwkD";#N/A,#N/A,FALSE,"EstgD";#N/A,#N/A,FALSE,"PEngD"}</definedName>
    <definedName name="VariationName">#REF!</definedName>
    <definedName name="VariationNo">#REF!</definedName>
    <definedName name="varnish">#REF!</definedName>
    <definedName name="VAT">'[165]BOQ Com'!#REF!</definedName>
    <definedName name="vat10_2">#REF!</definedName>
    <definedName name="vat12_10">"$#REF!.$C$14"</definedName>
    <definedName name="vat12_2">#REF!</definedName>
    <definedName name="vat12_9">"$#REF!.$C$14"</definedName>
    <definedName name="vat20_2">#REF!</definedName>
    <definedName name="vatac">[55]Factors!$E$22</definedName>
    <definedName name="vb">#REF!</definedName>
    <definedName name="vblind">#REF!</definedName>
    <definedName name="vblv">#REF!</definedName>
    <definedName name="vbnmjkiuol" hidden="1">{#N/A,#N/A,FALSE,"Cust.Disc.Profile";#N/A,#N/A,FALSE,"Referral 1";#N/A,#N/A,FALSE,"Referral 2";#N/A,#N/A,FALSE,"Referral 3";#N/A,#N/A,FALSE,"Approval+Reportback "}</definedName>
    <definedName name="vbv">#REF!</definedName>
    <definedName name="vbvbbgfdffghfdh">#REF!</definedName>
    <definedName name="vc.150">#REF!</definedName>
    <definedName name="vcb">[141]BOM!#REF!</definedName>
    <definedName name="vcbvhgfgdcxfgfhgkjghkg">#REF!</definedName>
    <definedName name="vcccczx">[28]!vcccczx</definedName>
    <definedName name="VCD">[66]Price!$D$73</definedName>
    <definedName name="VCGFVGFVGF" hidden="1">{"PriceSheetNoMargins",#N/A,FALSE,"PriceSheet"}</definedName>
    <definedName name="vclad">#REF!</definedName>
    <definedName name="vd1000x1000">#REF!</definedName>
    <definedName name="vd100x100">#REF!</definedName>
    <definedName name="vd1100x1100">[55]Factors!$D$390</definedName>
    <definedName name="vd150x150">#REF!</definedName>
    <definedName name="vd200x200">#REF!</definedName>
    <definedName name="vd250x250">#REF!</definedName>
    <definedName name="vd300x300">#REF!</definedName>
    <definedName name="vd350x350">#REF!</definedName>
    <definedName name="vd400x400">[302]Factors!#REF!</definedName>
    <definedName name="vd450x450">#REF!</definedName>
    <definedName name="vd500x500">#REF!</definedName>
    <definedName name="vd550x550">#REF!</definedName>
    <definedName name="vd600x600">#REF!</definedName>
    <definedName name="vd650x650">#REF!</definedName>
    <definedName name="vd700x450">[55]Factors!$D$384</definedName>
    <definedName name="vd700x700">#REF!</definedName>
    <definedName name="vd750x750">#REF!</definedName>
    <definedName name="vd800x450">[55]Factors!$D$385</definedName>
    <definedName name="vd800x800">#REF!</definedName>
    <definedName name="vd850x850">#REF!</definedName>
    <definedName name="vd900x900">#REF!</definedName>
    <definedName name="vd950x450">[55]Factors!$D$387</definedName>
    <definedName name="vd950x950">#REF!</definedName>
    <definedName name="vDateTime">#REF!</definedName>
    <definedName name="vdgfzshjkl">#REF!</definedName>
    <definedName name="vDiastolic">#REF!</definedName>
    <definedName name="vdpp">#REF!</definedName>
    <definedName name="vdsac">#REF!</definedName>
    <definedName name="VDSVDSd">'[3]Ra  stair'!#REF!</definedName>
    <definedName name="veg">#REF!</definedName>
    <definedName name="VEN" hidden="1">{#N/A,#N/A,TRUE,"SUM";#N/A,#N/A,TRUE,"EE";#N/A,#N/A,TRUE,"AC";#N/A,#N/A,TRUE,"SN"}</definedName>
    <definedName name="Vendor">'[303]w''t table'!$AE$2:$AF$5</definedName>
    <definedName name="Vendor_fill" hidden="1">#REF!</definedName>
    <definedName name="veneer">#REF!</definedName>
    <definedName name="vermiculite2">#REF!</definedName>
    <definedName name="vermiculite4">#REF!</definedName>
    <definedName name="versicell">#REF!</definedName>
    <definedName name="Version">#REF!</definedName>
    <definedName name="Version_BS_Input">#REF!</definedName>
    <definedName name="Version_BS_Out">#REF!</definedName>
    <definedName name="Version_BS_Results">#REF!</definedName>
    <definedName name="Version_CF_Out">#REF!</definedName>
    <definedName name="Version_CFS_Out">#REF!</definedName>
    <definedName name="Version_Corp">#REF!</definedName>
    <definedName name="Version_CurSel">#REF!</definedName>
    <definedName name="Version_FY05Bridge_Input">#REF!</definedName>
    <definedName name="Version_History">#REF!</definedName>
    <definedName name="Version_IS_Input">#REF!</definedName>
    <definedName name="Version_IS_Out">#REF!</definedName>
    <definedName name="Version_IS_Results">#REF!</definedName>
    <definedName name="Version_ISS_Out">#REF!</definedName>
    <definedName name="Version_MemoCFA_Input">#REF!</definedName>
    <definedName name="VersionNo">[133]Input!$B$9</definedName>
    <definedName name="VersionNoFixed">[178]Input!$B$10</definedName>
    <definedName name="VersionTestOK">[133]Input!$B$11</definedName>
    <definedName name="versiweb">#REF!</definedName>
    <definedName name="vfcu">#REF!</definedName>
    <definedName name="vfdczgfzad" hidden="1">[68]Cash2!$K$16:$K$36</definedName>
    <definedName name="vffdgd">#REF!</definedName>
    <definedName name="vffffffb">[28]!vffffffb</definedName>
    <definedName name="vfg">#REF!</definedName>
    <definedName name="vgasffasfgafg" hidden="1">{"PriceSheetNoMargins",#N/A,FALSE,"PriceSheet"}</definedName>
    <definedName name="vgasfsgasgsfg" hidden="1">{"PriceSheetNoMargins",#N/A,FALSE,"PriceSheet"}</definedName>
    <definedName name="VGFVGFVFVF" hidden="1">{"PriceSheetNoMargins",#N/A,FALSE,"PriceSheet"}</definedName>
    <definedName name="vgs">#REF!</definedName>
    <definedName name="vHeartRate">#REF!</definedName>
    <definedName name="vibrator">#REF!</definedName>
    <definedName name="VIEW">#REF!</definedName>
    <definedName name="vinitycounter5.77and0.635">#REF!</definedName>
    <definedName name="vinyl">#REF!</definedName>
    <definedName name="vinylflooring">#REF!</definedName>
    <definedName name="vinylsktg">#REF!</definedName>
    <definedName name="viso.200">#REF!</definedName>
    <definedName name="viso.50">#REF!</definedName>
    <definedName name="vle_cab">#REF!</definedName>
    <definedName name="VLV_DESUP_HTRS">#REF!</definedName>
    <definedName name="VMGMEX">[69]Summary!$HC$88:$HC$97</definedName>
    <definedName name="vmv">#REF!</definedName>
    <definedName name="VMYTD">#REF!</definedName>
    <definedName name="ｖｎｄ">#REF!</definedName>
    <definedName name="VNDJ">#REF!</definedName>
    <definedName name="VNDUSD">#REF!</definedName>
    <definedName name="VO">#REF!</definedName>
    <definedName name="voa">#REF!</definedName>
    <definedName name="Voltage1">'[95]Camp Power Cost'!$L$2</definedName>
    <definedName name="Voltage3">'[95]Camp Power Cost'!$L$3</definedName>
    <definedName name="VP.225">[49]Factors!$D$186</definedName>
    <definedName name="VP.280">#REF!</definedName>
    <definedName name="vp.300">[55]Factors!$D$166</definedName>
    <definedName name="vp.315">#REF!</definedName>
    <definedName name="vpanel">#REF!</definedName>
    <definedName name="vpe">#REF!</definedName>
    <definedName name="vpmf">#REF!</definedName>
    <definedName name="vppr10">#REF!</definedName>
    <definedName name="vppr20">#REF!</definedName>
    <definedName name="vra">#REF!</definedName>
    <definedName name="vresbtynumnjthbgvf">#REF!</definedName>
    <definedName name="VRV">#REF!</definedName>
    <definedName name="vse">[81]BOQ!#REF!</definedName>
    <definedName name="vspi">#REF!</definedName>
    <definedName name="vSystolic">#REF!</definedName>
    <definedName name="vtop">#REF!</definedName>
    <definedName name="VU.225">#REF!</definedName>
    <definedName name="VU.280">#REF!</definedName>
    <definedName name="vu.75">[55]Factors!$L$159</definedName>
    <definedName name="vuf">#REF!</definedName>
    <definedName name="vul">#REF!</definedName>
    <definedName name="VVVVVVV">#REF!</definedName>
    <definedName name="vvvvvvvvvv">[28]!vvvvvvvvvv</definedName>
    <definedName name="W.Cement">#REF!</definedName>
    <definedName name="w.pre">#REF!</definedName>
    <definedName name="w.stone">#REF!</definedName>
    <definedName name="W_BQ">#REF!</definedName>
    <definedName name="W_INTERNALS">[250]BQLIST!$I:$I</definedName>
    <definedName name="W_Jisseki_BQ">#REF!</definedName>
    <definedName name="W_PLATFORM">[250]BQLIST!$H:$H</definedName>
    <definedName name="W_STR_CAT_KOTEI">#REF!</definedName>
    <definedName name="WACC">#REF!</definedName>
    <definedName name="wadditive">#REF!</definedName>
    <definedName name="WAGES">'[304]LOTS-A&amp;B'!#REF!</definedName>
    <definedName name="Waiting">"Picture 1"</definedName>
    <definedName name="WALFINISH">'[305]d-7'!#REF!</definedName>
    <definedName name="Wall">#REF!</definedName>
    <definedName name="Wall1">'[306]Proc. Cont. Sheet'!#REF!</definedName>
    <definedName name="wallbracket">#REF!</definedName>
    <definedName name="wallcover">#REF!</definedName>
    <definedName name="Wallfinishes">#REF!</definedName>
    <definedName name="wallpaper">#REF!</definedName>
    <definedName name="wash.b">#REF!</definedName>
    <definedName name="washers">#REF!</definedName>
    <definedName name="wastage">#REF!</definedName>
    <definedName name="wastage_10">"$#REF!.$R$3"</definedName>
    <definedName name="wastage_4">#REF!</definedName>
    <definedName name="wastage_5">#REF!</definedName>
    <definedName name="wastage_9">"$#REF!.$R$3"</definedName>
    <definedName name="WASTE_FACTOR">#REF!</definedName>
    <definedName name="WASTE4">'[11]BILL 4 NEW multi'!$H$846</definedName>
    <definedName name="WATER_ANAL_SYS">#REF!</definedName>
    <definedName name="water4">'[11]BILL 4 NEW multi'!$H$806</definedName>
    <definedName name="WATERDYN.PTADJ">[69]Summary!$HC$209:$HC$210</definedName>
    <definedName name="WATEREMEA">#REF!</definedName>
    <definedName name="WaterFeature">'[76]Ra  stair'!#REF!</definedName>
    <definedName name="Waterpoof1">#REF!</definedName>
    <definedName name="waterproofCSlevelling">#REF!</definedName>
    <definedName name="Waterproofing">#REF!</definedName>
    <definedName name="waterproofingmin2000mmht">'[71]Build Up rate'!$D$31</definedName>
    <definedName name="waterproofmin2000">#REF!</definedName>
    <definedName name="waterprooftreatmentpanelroof">#REF!</definedName>
    <definedName name="waterresistanceCaSI">#REF!</definedName>
    <definedName name="waterresistanceCaSI9">#REF!</definedName>
    <definedName name="waterresistanceGYP12">#REF!</definedName>
    <definedName name="waterresistanceGypceiling">#REF!</definedName>
    <definedName name="waterresistant9mmGyp">'[71]Build Up rate'!$D$50</definedName>
    <definedName name="Waterworks_Group">#REF!</definedName>
    <definedName name="wax">#REF!</definedName>
    <definedName name="WC.1">#REF!</definedName>
    <definedName name="WC.2">#REF!</definedName>
    <definedName name="WC.3">#REF!</definedName>
    <definedName name="WC.4">#REF!</definedName>
    <definedName name="WCAP">'[29]Raw Data'!$AK$201:$AK$260</definedName>
    <definedName name="wcflsv">#REF!</definedName>
    <definedName name="wdd">[307]RateAnalysis!$A:$AY</definedName>
    <definedName name="wdf">#REF!</definedName>
    <definedName name="WDW_code">#REF!</definedName>
    <definedName name="WE">#REF!</definedName>
    <definedName name="website">[133]Input!$B$14</definedName>
    <definedName name="weeks">#REF!</definedName>
    <definedName name="weeksytd">[133]Input!$E$4:$H$15</definedName>
    <definedName name="weeksytd2">[133]Input!$C$21</definedName>
    <definedName name="WEFWEF" hidden="1">{"PriceSheetNoMargins",#N/A,FALSE,"PriceSheet"}</definedName>
    <definedName name="weld.m">#REF!</definedName>
    <definedName name="weq" hidden="1">{#N/A,#N/A,FALSE,"SumD";#N/A,#N/A,FALSE,"ElecD";#N/A,#N/A,FALSE,"MechD";#N/A,#N/A,FALSE,"GeotD";#N/A,#N/A,FALSE,"PrcsD";#N/A,#N/A,FALSE,"TunnD";#N/A,#N/A,FALSE,"CivlD";#N/A,#N/A,FALSE,"NtwkD";#N/A,#N/A,FALSE,"EstgD";#N/A,#N/A,FALSE,"PEngD"}</definedName>
    <definedName name="weqtwt">#REF!</definedName>
    <definedName name="WEQWEQ">[28]!WEQWEQ</definedName>
    <definedName name="WERNHASRGKASRKGHAERKW" hidden="1">{"PriceSheetNoMargins",#N/A,FALSE,"PriceSheet"}</definedName>
    <definedName name="werqwr">#REF!</definedName>
    <definedName name="wert">#REF!</definedName>
    <definedName name="WERWERWERWERER" hidden="1">{"PriceSheetNoMargins",#N/A,FALSE,"PriceSheet"}</definedName>
    <definedName name="wescon1">#REF!</definedName>
    <definedName name="wescon7">#REF!</definedName>
    <definedName name="wetrewrt">#REF!</definedName>
    <definedName name="WetServices">'[76]Ra  stair'!#REF!</definedName>
    <definedName name="wewewew" hidden="1">#REF!</definedName>
    <definedName name="WEXDEXDE" hidden="1">{"PriceSheetNoMargins",#N/A,FALSE,"PriceSheet"}</definedName>
    <definedName name="WF">#REF!</definedName>
    <definedName name="wfan1">#REF!</definedName>
    <definedName name="wfan2">#REF!</definedName>
    <definedName name="wfan3">#REF!</definedName>
    <definedName name="wfan6">#REF!</definedName>
    <definedName name="WFJWRLJQWGF" hidden="1">{"PriceSheetNoMargins",#N/A,FALSE,"PriceSheet"}</definedName>
    <definedName name="wfloat">#REF!</definedName>
    <definedName name="wftile">#REF!</definedName>
    <definedName name="WG">#REF!</definedName>
    <definedName name="WGW">#REF!</definedName>
    <definedName name="wheelstopperconc">#REF!</definedName>
    <definedName name="Wid">#REF!</definedName>
    <definedName name="Win_rate">#REF!</definedName>
    <definedName name="window_ops">[308]Worksheet!$B$12+[308]Worksheet!$B$13+[308]Worksheet!$B$14</definedName>
    <definedName name="wire.n">#REF!</definedName>
    <definedName name="Withfamily">'[95]1010'!$H$85</definedName>
    <definedName name="WKD">[24]A!#REF!</definedName>
    <definedName name="wkd_ele">#REF!</definedName>
    <definedName name="wkd_this_ele">#REF!</definedName>
    <definedName name="WM.100">#REF!</definedName>
    <definedName name="WM.150">#REF!</definedName>
    <definedName name="WM.200">#REF!</definedName>
    <definedName name="WM.40">#REF!</definedName>
    <definedName name="WM.50">#REF!</definedName>
    <definedName name="WM.65">#REF!</definedName>
    <definedName name="WM.80">#REF!</definedName>
    <definedName name="wm.조골재1" hidden="1">{#N/A,#N/A,FALSE,"조골재"}</definedName>
    <definedName name="wmar">#REF!</definedName>
    <definedName name="wmarble">#REF!</definedName>
    <definedName name="wmarblean">#REF!</definedName>
    <definedName name="wnss">#REF!</definedName>
    <definedName name="WOL">#REF!</definedName>
    <definedName name="Wood" hidden="1">{#N/A,#N/A,FALSE,"OUTPUT SHEET "}</definedName>
    <definedName name="wordings">[309]Tables!$A$6</definedName>
    <definedName name="words">[212]Wordsdata!$A:$B</definedName>
    <definedName name="wordsdata">[310]wordsdata!$A:$B</definedName>
    <definedName name="work">#REF!</definedName>
    <definedName name="Worker_s_number">#REF!</definedName>
    <definedName name="WorkMode">'[110]Dist Controls'!$F$15</definedName>
    <definedName name="Worksheet">#REF!</definedName>
    <definedName name="Worksheet_CurSel">#REF!</definedName>
    <definedName name="workshop" hidden="1">{#N/A,#N/A,FALSE,"CCTV"}</definedName>
    <definedName name="world">#REF!</definedName>
    <definedName name="Worsley_Alumina_Expansion_Project___23747">#REF!</definedName>
    <definedName name="wproof">#REF!</definedName>
    <definedName name="wqgr25h">#REF!</definedName>
    <definedName name="WQQQQQQQQQQQQQR">#REF!</definedName>
    <definedName name="wr">#REF!</definedName>
    <definedName name="WRGFTQWERGTQWERGFT" hidden="1">{"PriceSheetNoMargins",#N/A,FALSE,"PriceSheet"}</definedName>
    <definedName name="WRITE" hidden="1">{#N/A,#N/A,FALSE,"CCTV"}</definedName>
    <definedName name="WRN" hidden="1">{#N/A,#N/A,FALSE,"CCTV"}</definedName>
    <definedName name="wrn.2번." hidden="1">{#N/A,#N/A,FALSE,"2~8번"}</definedName>
    <definedName name="wrn.52." hidden="1">{"REBAR",#N/A,FALSE,"Sheet1";"CONCRETE",#N/A,FALSE,"Sheet1"}</definedName>
    <definedName name="wrn.97년._.사업계획._.및._.예산지침." hidden="1">{#N/A,#N/A,TRUE,"1";#N/A,#N/A,TRUE,"2";#N/A,#N/A,TRUE,"3";#N/A,#N/A,TRUE,"4";#N/A,#N/A,TRUE,"5";#N/A,#N/A,TRUE,"6";#N/A,#N/A,TRUE,"7"}</definedName>
    <definedName name="wrn.A." hidden="1">{#N/A,#N/A,TRUE,"SUM";#N/A,#N/A,TRUE,"EE";#N/A,#N/A,TRUE,"AC";#N/A,#N/A,TRUE,"SN"}</definedName>
    <definedName name="wrn.ABUBAKAR._.RIMI._.KAD." hidden="1">{#N/A,#N/A,FALSE,"AFR-ELC"}</definedName>
    <definedName name="wrn.Abut_only." hidden="1">{#N/A,#N/A,FALSE,"Abutments ONLY"}</definedName>
    <definedName name="wrn.Abut_pier." hidden="1">{#N/A,#N/A,FALSE,"Abutments &amp; Pier(s)"}</definedName>
    <definedName name="wrn.ALAN." hidden="1">{"CREDIT STATISTICS",#N/A,FALSE,"STATS";"CF_AND_IS",#N/A,FALSE,"PLAN";"DEBT SCHEDULE",#N/A,FALSE,"PLAN";"SUBSCRIBERS",#N/A,FALSE,"PLAN";"DETAIL_REV",#N/A,FALSE,"PLAN";"DETAIL_EXPENSE",#N/A,FALSE,"PLAN";"SALES_AND EXP_DRIVERS",#N/A,FALSE,"PLAN";"FIXED ASSETS",#N/A,FALSE,"PLAN";"DEPRECIATION SCHEDULE",#N/A,FALSE,"PLAN"}</definedName>
    <definedName name="wrn.all." hidden="1">{#N/A,#N/A,FALSE,"Pricing";#N/A,#N/A,FALSE,"Summary";#N/A,#N/A,FALSE,"CompProd";#N/A,#N/A,FALSE,"CompJobhrs";#N/A,#N/A,FALSE,"Escalation";#N/A,#N/A,FALSE,"Contingency";#N/A,#N/A,FALSE,"GM";#N/A,#N/A,FALSE,"CompWage";#N/A,#N/A,FALSE,"costSum"}</definedName>
    <definedName name="wrn.all._.lines." hidden="1">{#N/A,#N/A,FALSE,"Summary";#N/A,#N/A,FALSE,"3TJ";#N/A,#N/A,FALSE,"3TN";#N/A,#N/A,FALSE,"3TP";#N/A,#N/A,FALSE,"3SJ";#N/A,#N/A,FALSE,"3CJ";#N/A,#N/A,FALSE,"3CN";#N/A,#N/A,FALSE,"3CP";#N/A,#N/A,FALSE,"3A"}</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pplication." hidden="1">{#N/A,#N/A,FALSE,"GS";#N/A,#N/A,FALSE,"Cost Code Summary";#N/A,#N/A,FALSE,"VO";#N/A,#N/A,FALSE,"CUM FLUCT";#N/A,#N/A,FALSE,"Fluct";#N/A,#N/A,FALSE,"Bill 3";#N/A,#N/A,FALSE,"Bill 4";#N/A,#N/A,FALSE,"bill 5";#N/A,#N/A,FALSE,"Bill 7";#N/A,#N/A,FALSE,"Bill 8";#N/A,#N/A,FALSE,"Bill 10";#N/A,#N/A,FALSE,"Bill 12"}</definedName>
    <definedName name="wrn.assumptions." hidden="1">{"baseassum",#N/A,FALSE,"BASEDCF";"bassum2",#N/A,FALSE,"BASEDCF";"hmix",#N/A,FALSE,"BASEDCF"}</definedName>
    <definedName name="wrn.Ａブロック." hidden="1">{#N/A,#N/A,FALSE,"数量総括";#N/A,#N/A,FALSE,"数量集計表";#N/A,#N/A,FALSE,"数量計算書";#N/A,#N/A,FALSE,"枠面積";#N/A,#N/A,FALSE,"土量計算";#N/A,#N/A,FALSE,"削孔長";#N/A,#N/A,FALSE,"足場工";#N/A,#N/A,FALSE,"縦梁延長";#N/A,#N/A,FALSE,"横梁延長";#N/A,#N/A,FALSE,"交点箇所"}</definedName>
    <definedName name="wrn.Barbara._.Modular._.Indirects." hidden="1">{#N/A,#N/A,FALSE,"COVER";#N/A,#N/A,FALSE,"RECAP";#N/A,#N/A,FALSE,"SANTA BARBARA NONMANUAL";#N/A,#N/A,FALSE,"CEQUIP";#N/A,#N/A,FALSE,"WRATE";#N/A,#N/A,FALSE,"INDIRECT";#N/A,#N/A,FALSE,"TRAIN";#N/A,#N/A,FALSE,"MANLOADED SCHEDULE"}</definedName>
    <definedName name="wrn.BIDSUM." hidden="1">{#N/A,#N/A,TRUE,"SUMMARY";#N/A,#N/A,TRUE,"ISBL";#N/A,#N/A,TRUE,"OSBL";#N/A,#N/A,TRUE,"OFFSITE";#N/A,#N/A,TRUE,"STEAM"}</definedName>
    <definedName name="wrn.BILL18." hidden="1">{#N/A,#N/A,FALSE,"Dem18.1";#N/A,#N/A,FALSE,"Site18.2";#N/A,#N/A,FALSE,"Road18.3";#N/A,#N/A,FALSE,"Fenc18.4";#N/A,#N/A,FALSE,"Jetty18.5 ";#N/A,#N/A,FALSE,"Beach18.6";#N/A,#N/A,FALSE,"Summary18"}</definedName>
    <definedName name="wrn.bill2" hidden="1">{#N/A,#N/A,FALSE,"Sub2.1";#N/A,#N/A,FALSE,"Conc2.2";#N/A,#N/A,FALSE,"Block2.3";#N/A,#N/A,FALSE,"Roof2.4";#N/A,#N/A,FALSE,"wood2.5";#N/A,#N/A,FALSE,"Door2.6";#N/A,#N/A,FALSE,"Finish2.7";#N/A,#N/A,FALSE,"Service2.8";#N/A,#N/A,FALSE,"Summary2"}</definedName>
    <definedName name="wrn.bill2." hidden="1">{#N/A,#N/A,FALSE,"Sub2.1";#N/A,#N/A,FALSE,"Conc2.2";#N/A,#N/A,FALSE,"Block2.3";#N/A,#N/A,FALSE,"Roof2.4";#N/A,#N/A,FALSE,"wood2.5";#N/A,#N/A,FALSE,"Door2.6";#N/A,#N/A,FALSE,"Finish2.7";#N/A,#N/A,FALSE,"Service2.8";#N/A,#N/A,FALSE,"Summary2"}</definedName>
    <definedName name="wrn.BM." hidden="1">{#N/A,#N/A,FALSE,"CCTV"}</definedName>
    <definedName name="wrn.BOOK11." hidden="1">{"SUM",#N/A,FALSE,"summary";"BOOK11-1",#N/A,FALSE,"1CityGarden";"BOOK11-2",#N/A,FALSE,"2CountryGarden";"BOOK11-3",#N/A,FALSE,"3JUNGLE";"BOOK11-4CIVIL",#N/A,FALSE,"CIVIL"}</definedName>
    <definedName name="wrn.Both._.Outputs." hidden="1">{"LTV Output",#N/A,FALSE,"Output";"DCR Output",#N/A,FALSE,"Output"}</definedName>
    <definedName name="wrn.Buildups." hidden="1">{"ACQ",#N/A,FALSE,"ACQUISITIONS";"ACQF",#N/A,FALSE,"ACQUISITIONS";"PF",#N/A,FALSE,"PROYECTOVILA";"PV",#N/A,FALSE,"PROYECTOVILA";"Fee Dev",#N/A,FALSE,"DEVELOPMENT GROWTH";"gd",#N/A,FALSE,"DEVELOPMENT GROWTH"}</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hi._.tiÆt." hidden="1">{#N/A,#N/A,FALSE,"Chi tiÆt"}</definedName>
    <definedName name="wrn.chi._.tiÆt._1">{#N/A,#N/A,FALSE,"Chi tiÆt"}</definedName>
    <definedName name="wrn.chi._.tiÆt._2">{#N/A,#N/A,FALSE,"Chi tiÆt"}</definedName>
    <definedName name="wrn.chi._.tiÆt._3">{#N/A,#N/A,FALSE,"Chi tiÆt"}</definedName>
    <definedName name="wrn.chi._.tiÆt._4">{#N/A,#N/A,FALSE,"Chi tiÆt"}</definedName>
    <definedName name="wrn.chi._.tiÆt._5">{#N/A,#N/A,FALSE,"Chi tiÆt"}</definedName>
    <definedName name="wrn.chi._.tiÆt._6">{#N/A,#N/A,FALSE,"Chi tiÆt"}</definedName>
    <definedName name="wrn.CHIEF._.REVIEW." hidden="1">{#N/A,#N/A,FALSE,"Q&amp;AE";#N/A,#N/A,FALSE,"Params";#N/A,#N/A,FALSE,"ReconE";#N/A,#N/A,FALSE,"CostCompE";#N/A,#N/A,FALSE,"SummaryE";#N/A,#N/A,FALSE,"Detail";#N/A,#N/A,FALSE,"PayItem"}</definedName>
    <definedName name="wrn.CIRCUITS." hidden="1">{"DBANK",#N/A,FALSE,"PriceE";"CKTS",#N/A,FALSE,"PriceE"}</definedName>
    <definedName name="wrn.COMBINED." hidden="1">{#N/A,#N/A,FALSE,"INPUTS";#N/A,#N/A,FALSE,"PROFORMA BSHEET";#N/A,#N/A,FALSE,"COMBINED";#N/A,#N/A,FALSE,"HIGH YIELD";#N/A,#N/A,FALSE,"COMB_GRAPHS"}</definedName>
    <definedName name="wrn.Compco._.Only." hidden="1">{"vi1",#N/A,FALSE,"6_30_96";"vi2",#N/A,FALSE,"6_30_96";"vi3",#N/A,FALSE,"6_30_96"}</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olidated." hidden="1">{"income",#N/A,FALSE,"CONSOLIDATED";"value",#N/A,FALSE,"CONSOLIDATED"}</definedName>
    <definedName name="wrn.Cost._.Summary." hidden="1">{"Cost Summary",#N/A,FALSE,"B";"Cost Detail 1",#N/A,FALSE,"C";"Cost Detail 2",#N/A,FALSE,"C"}</definedName>
    <definedName name="wrn.COST_SHEETS." hidden="1">{#N/A,#N/A,FALSE,"WBS 1.06";#N/A,#N/A,FALSE,"WBS 1.14";#N/A,#N/A,FALSE,"WBS 1.17";#N/A,#N/A,FALSE,"WBS 1.18"}</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datapak." hidden="1">{#N/A,#N/A,FALSE,"Status of Projects";#N/A,#N/A,FALSE,"CEA-TEC";#N/A,#N/A,FALSE,"U-Constr.";#N/A,#N/A,FALSE,"summary";#N/A,#N/A,FALSE,"PPP-3 yrs"}</definedName>
    <definedName name="wrn.DCR._.Output." hidden="1">{"DCR Output",#N/A,FALSE,"Output"}</definedName>
    <definedName name="wrn.depmatrix." hidden="1">{"depmatrix",#N/A,FALSE,"DECATUR-DIMMIT"}</definedName>
    <definedName name="wrn.detail." hidden="1">{"Build1",#N/A,FALSE,"Buildup";"Build2",#N/A,FALSE,"Buildup";"Build3",#N/A,FALSE,"Buildup"}</definedName>
    <definedName name="wrn.DIRLABR." hidden="1">{#N/A,#N/A,TRUE,"CS&amp;SS(AG)";#N/A,#N/A,TRUE,"CS(UG)";#N/A,#N/A,TRUE,"CSCL(UG)";#N/A,#N/A,TRUE,"KYNAR";#N/A,#N/A,TRUE,"ALLOY904";#N/A,#N/A,TRUE,"TITANIUM";#N/A,#N/A,TRUE,"STMTRACE"}</definedName>
    <definedName name="wrn.ED." hidden="1">{#N/A,#N/A,TRUE,"Equipment installation bm"}</definedName>
    <definedName name="wrn.exter" hidden="1">{#N/A,#N/A,FALSE,"Sub2.1";#N/A,#N/A,FALSE,"Conc2.2";#N/A,#N/A,FALSE,"Block2.3";#N/A,#N/A,FALSE,"Roof2.4";#N/A,#N/A,FALSE,"wood2.5";#N/A,#N/A,FALSE,"Door2.6";#N/A,#N/A,FALSE,"Finish2.7";#N/A,#N/A,FALSE,"Service2.8";#N/A,#N/A,FALSE,"Summary2"}</definedName>
    <definedName name="wrn.FINAL._.ESTIMATE." hidden="1">{#N/A,#N/A,FALSE,"ProjInfo";#N/A,#N/A,FALSE,"Params";#N/A,#N/A,FALSE,"Q&amp;AE";#N/A,#N/A,FALSE,"CostCompE";#N/A,#N/A,FALSE,"SummaryE";#N/A,#N/A,FALSE,"PayItem";#N/A,#N/A,FALSE,"Detail";#N/A,#N/A,FALSE,"ReconE"}</definedName>
    <definedName name="wrn.Financials_long." hidden="1">{"IS",#N/A,FALSE,"Financials2 (Expanded)";"bsa",#N/A,FALSE,"Financials2 (Expanded)";"BS",#N/A,FALSE,"Financials2 (Expanded)";"CF",#N/A,FALSE,"Financials2 (Expanded)"}</definedName>
    <definedName name="wrn.Friendly." hidden="1">{#N/A,#N/A,TRUE,"Julio";#N/A,#N/A,TRUE,"Agosto";#N/A,#N/A,TRUE,"BHCo";#N/A,#N/A,TRUE,"Abril";#N/A,#N/A,TRUE,"Pro Forma"}</definedName>
    <definedName name="wrn.Fuel._.oil._.option." hidden="1">{"FUEL OIL",#N/A,FALSE,"Option"}</definedName>
    <definedName name="wrn.Full._.Monty." hidden="1">{"ROIC",#N/A,FALSE,"ROIC";"Graphs",#N/A,FALSE,"TY analysis";"fcf",#N/A,FALSE,"FCF";"Matrix_2004",#N/A,FALSE,"MATRIX(2004)";"matrix_2008",#N/A,FALSE,"MATRIX(2008)";"FS_Condensed",#N/A,FALSE,"Financial Statements2";"TAXES",#N/A,FALSE,"Taxes";"DEBT_INVEST",#N/A,FALSE,"Debt&amp;Investment Schedule";"Main_menu",#N/A,FALSE,"Main Menu"}</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GRAPHS." hidden="1">{#N/A,#N/A,FALSE,"ACQ_GRAPHS";#N/A,#N/A,FALSE,"T_1 GRAPHS";#N/A,#N/A,FALSE,"T_2 GRAPHS";#N/A,#N/A,FALSE,"COMB_GRAPHS"}</definedName>
    <definedName name="wrn.HAMMOND."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INDEPS." hidden="1">{"page1",#N/A,FALSE,"TIND_CC1";"page2",#N/A,FALSE,"TIND_CC1";"page3",#N/A,FALSE,"TIND_CC1";"page4",#N/A,FALSE,"TIND_CC1";"page5",#N/A,FALSE,"TIND_CC1"}</definedName>
    <definedName name="wrn.INDIRCOS." hidden="1">{#N/A,#N/A,TRUE,"FIELDOFF";#N/A,#N/A,TRUE,"SCAFF";#N/A,#N/A,TRUE,"CONSTEQP";#N/A,#N/A,TRUE,"FUELUBE";#N/A,#N/A,TRUE,"CONSUME";#N/A,#N/A,TRUE,"FIELDEXP";#N/A,#N/A,TRUE,"MANPLAN";#N/A,#N/A,TRUE,"EQPLAN"}</definedName>
    <definedName name="wrn.Inputs." hidden="1">{#N/A,#N/A,FALSE,"Input"}</definedName>
    <definedName name="wrn.IPO._.Valuation." hidden="1">{"assumptions",#N/A,FALSE,"Scenario 1";"valuation",#N/A,FALSE,"Scenario 1"}</definedName>
    <definedName name="wrn.LBO._.Summary." hidden="1">{"LBO Summary",#N/A,FALSE,"Summary"}</definedName>
    <definedName name="wrn.LTV._.Output." hidden="1">{"LTV Output",#N/A,FALSE,"Output"}</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Paging._.Compco." hidden="1">{"financials",#N/A,TRUE,"6_30_96";"footnotes",#N/A,TRUE,"6_30_96";"valuation",#N/A,TRUE,"6_30_96"}</definedName>
    <definedName name="wrn.PARROT._.RFQ._.RESPONSE." hidden="1">{#N/A,#N/A,FALSE,"BOX RFQ SHEET"}</definedName>
    <definedName name="wrn.Payment." hidden="1">{#N/A,#N/A,TRUE,"General Summary-2b1";#N/A,#N/A,TRUE,"General Summary-2b2";#N/A,#N/A,TRUE,"Prelim-2b1";#N/A,#N/A,TRUE,"Prelim-2b2";#N/A,#N/A,TRUE,"Building Works-2b1";#N/A,#N/A,TRUE,"External Works-2B1";#N/A,#N/A,TRUE,"Building Works-2B2";#N/A,#N/A,TRUE,"External Works-2B2";#N/A,#N/A,TRUE,"Materials-2B1";#N/A,#N/A,TRUE,"Materials-2B2"}</definedName>
    <definedName name="wrn.polymwe."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riceSheetNoMargins." hidden="1">{"PriceSheetNoMargins",#N/A,FALSE,"PriceSheet"}</definedName>
    <definedName name="wrn.pricesheetNoMarkgin1" hidden="1">{"PriceSheetNoMargins",#N/A,FALSE,"PriceSheet"}</definedName>
    <definedName name="wrn.Print." hidden="1">{"vi1",#N/A,FALSE,"Financial Statements";"vi2",#N/A,FALSE,"Financial Statements";#N/A,#N/A,FALSE,"DCF"}</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Output." hidden="1">{#N/A,#N/A,FALSE,"OUTPUT SHEET "}</definedName>
    <definedName name="wrn.PrintAll." hidden="1">{"PA1",#N/A,FALSE,"BORDMW";"pa2",#N/A,FALSE,"BORDMW";"PA3",#N/A,FALSE,"BORDMW";"PA4",#N/A,FALSE,"BORDMW"}</definedName>
    <definedName name="wrn.PrintallD." hidden="1">{#N/A,#N/A,FALSE,"SumD";#N/A,#N/A,FALSE,"ElecD";#N/A,#N/A,FALSE,"MechD";#N/A,#N/A,FALSE,"GeotD";#N/A,#N/A,FALSE,"PrcsD";#N/A,#N/A,FALSE,"TunnD";#N/A,#N/A,FALSE,"CivlD";#N/A,#N/A,FALSE,"NtwkD";#N/A,#N/A,FALSE,"EstgD";#N/A,#N/A,FALSE,"PEngD"}</definedName>
    <definedName name="wrn.PrintallG." hidden="1">{#N/A,#N/A,FALSE,"SumG";#N/A,#N/A,FALSE,"ElecG";#N/A,#N/A,FALSE,"MechG";#N/A,#N/A,FALSE,"GeotG";#N/A,#N/A,FALSE,"PrcsG";#N/A,#N/A,FALSE,"TunnG";#N/A,#N/A,FALSE,"CivlG";#N/A,#N/A,FALSE,"NtwkG";#N/A,#N/A,FALSE,"EstgG";#N/A,#N/A,FALSE,"PEngG"}</definedName>
    <definedName name="wrn.printing1." hidden="1">{#N/A,#N/A,TRUE,"PC &amp; PROV"}</definedName>
    <definedName name="wrn.Quote." hidden="1">{"First",#N/A,TRUE,"Master Quote Form";"Comments",#N/A,TRUE,"Master Quote Form";"Detail",#N/A,TRUE,"Master Quote Form"}</definedName>
    <definedName name="wrn.Redundant._.Equipment._.Option." hidden="1">{"pumps",#N/A,FALSE,"Option"}</definedName>
    <definedName name="wrn.Report." hidden="1">{#N/A,#N/A,FALSE,"Cover";#N/A,#N/A,FALSE,"Score Card";#N/A,#N/A,FALSE,"Candidate Info";#N/A,#N/A,FALSE,"Valuation";#N/A,#N/A,FALSE,"DCF-LIKELY";#N/A,#N/A,FALSE,"DCF-RIK";#N/A,#N/A,FALSE,"Notes"}</definedName>
    <definedName name="wrn.report1." hidden="1">{#N/A,#N/A,FALSE,"特殊室（ＢＱ表）"}</definedName>
    <definedName name="wrn.repo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sidential." hidden="1">{"ECA Qtrs C",#N/A,TRUE,"ECA_Qtrs_C";"ECA Qtrs D",#N/A,TRUE,"ECA_Qtrs_D";"ECA Qtrs F",#N/A,TRUE,"ECA_Qtrs_F";"ECA Qtrs G",#N/A,TRUE,"ECA_Qtrs_G";"ECA SisterApt",#N/A,TRUE,"ECA_SisterApt";"ECA Nurses",#N/A,TRUE,"ECA_NursesHostel"}</definedName>
    <definedName name="wrn.sales." hidden="1">{"sales",#N/A,FALSE,"Sales";"sales existing",#N/A,FALSE,"Sales";"sales rd1",#N/A,FALSE,"Sales";"sales rd2",#N/A,FALSE,"Sales"}</definedName>
    <definedName name="wrn.SHORT." hidden="1">{"CREDIT STATISTICS",#N/A,FALSE,"STATS";"CF_AND_IS",#N/A,FALSE,"PLAN";"BALSHEET",#N/A,FALSE,"BALANCE SHEET"}</definedName>
    <definedName name="wrn.STG._.BLDG._.ENCLOSURE." hidden="1">{"turbine",#N/A,FALSE,"Option"}</definedName>
    <definedName name="wrn.struckgi." hidden="1">{#N/A,#N/A,TRUE,"arnitower";#N/A,#N/A,TRUE,"arnigarage "}</definedName>
    <definedName name="wrn.SUMMAR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tobacco." hidden="1">{"income",#N/A,FALSE,"TOBACCO";"value",#N/A,FALSE,"TOBACCO";"assum1",#N/A,FALSE,"TOBACCO";"assum2",#N/A,FALSE,"TOBACCO";"swisher",#N/A,FALSE,"TOBACCO";"martin",#N/A,FALSE,"TOBACCO";"helme1",#N/A,FALSE,"TOBACCO";"helme2",#N/A,FALSE,"TOBACCO";"HELME3",#N/A,FALSE,"TOBACCO";"depmatrix",#N/A,FALSE,"TOBACCO"}</definedName>
    <definedName name="wrn.tobsum." hidden="1">{"income",#N/A,FALSE,"TOBACCO";"value",#N/A,FALSE,"TOBACCO";"assum1",#N/A,FALSE,"TOBACCO"}</definedName>
    <definedName name="wrn.TOTAL." hidden="1">{"INCOME",#N/A,FALSE,"DECATUR-DIMMIT";"value",#N/A,FALSE,"DECATUR-DIMMIT";"ASSUM1",#N/A,FALSE,"DECATUR-DIMMIT";"ASSUM2",#N/A,FALSE,"DECATUR-DIMMIT";"DECP1",#N/A,FALSE,"DECATUR-DIMMIT";"DECP2",#N/A,FALSE,"DECATUR-DIMMIT";"DECP3",#N/A,FALSE,"DECATUR-DIMMIT";"DIMP1",#N/A,FALSE,"DECATUR-DIMMIT";"depmatrix",#N/A,FALSE,"DECATUR-DIMMIT"}</definedName>
    <definedName name="wrn.totalcomp." hidden="1">{"comp1",#N/A,FALSE,"COMPS";"footnotes",#N/A,FALSE,"COMPS"}</definedName>
    <definedName name="wrn.upstairs." hidden="1">{"histincome",#N/A,FALSE,"hyfins";"closing balance",#N/A,FALSE,"hyfins"}</definedName>
    <definedName name="wrn.VALUATION." hidden="1">{#N/A,#N/A,FALSE,"Valuation Assumptions";#N/A,#N/A,FALSE,"Summary";#N/A,#N/A,FALSE,"DCF";#N/A,#N/A,FALSE,"Valuation";#N/A,#N/A,FALSE,"WACC";#N/A,#N/A,FALSE,"UBVH";#N/A,#N/A,FALSE,"Free Cash Flow"}</definedName>
    <definedName name="wrn.Warrington._.Widnes._.QS._.Costs." hidden="1">{#N/A,#N/A,TRUE,"Cover";#N/A,#N/A,TRUE,"Conts";#N/A,#N/A,TRUE,"VOS";#N/A,#N/A,TRUE,"Warrington";#N/A,#N/A,TRUE,"Widnes"}</definedName>
    <definedName name="wrn.WHOUSE._.CT." hidden="1">{"WESTINGHOUSE",#N/A,FALSE,"Option"}</definedName>
    <definedName name="wrn.WINBID." hidden="1">{#N/A,#N/A,FALSE,"Cust.Disc.Profile";#N/A,#N/A,FALSE,"Referral 1";#N/A,#N/A,FALSE,"Referral 2";#N/A,#N/A,FALSE,"Referral 3";#N/A,#N/A,FALSE,"Approval+Reportback "}</definedName>
    <definedName name="wrn.골재소요량." hidden="1">{#N/A,#N/A,FALSE,"골재소요량";#N/A,#N/A,FALSE,"골재소요량"}</definedName>
    <definedName name="wrn.교대." hidden="1">{#N/A,#N/A,FALSE,"type1";#N/A,#N/A,FALSE,"지지력";#N/A,#N/A,FALSE,"PILE계산";#N/A,#N/A,FALSE,"PILE ";#N/A,#N/A,FALSE,"철근량";#N/A,#N/A,FALSE,"균열검토";#N/A,#N/A,FALSE,"날개벽";#N/A,#N/A,FALSE,"주철근조립도";#N/A,#N/A,FALSE,"교좌"}</definedName>
    <definedName name="wrn.교육청." hidden="1">{#N/A,#N/A,FALSE,"전력간선"}</definedName>
    <definedName name="wrn.구조2." hidden="1">{#N/A,#N/A,FALSE,"구조2"}</definedName>
    <definedName name="wrn.단가표지." hidden="1">{#N/A,#N/A,FALSE,"단가표지"}</definedName>
    <definedName name="wrn.배수1." hidden="1">{#N/A,#N/A,FALSE,"배수1"}</definedName>
    <definedName name="wrn.배수2." hidden="1">{#N/A,#N/A,FALSE,"배수2"}</definedName>
    <definedName name="wrn.부대1." hidden="1">{#N/A,#N/A,FALSE,"부대1"}</definedName>
    <definedName name="wrn.부대2." hidden="1">{#N/A,#N/A,FALSE,"부대2"}</definedName>
    <definedName name="wrn.속도." hidden="1">{#N/A,#N/A,FALSE,"속도"}</definedName>
    <definedName name="wrn.운반시간." hidden="1">{#N/A,#N/A,FALSE,"운반시간"}</definedName>
    <definedName name="wrn.이정표." hidden="1">{#N/A,#N/A,FALSE,"이정표"}</definedName>
    <definedName name="wrn.조골재." hidden="1">{#N/A,#N/A,FALSE,"조골재"}</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토공1." hidden="1">{#N/A,#N/A,FALSE,"구조1"}</definedName>
    <definedName name="wrn.토공2." hidden="1">{#N/A,#N/A,FALSE,"토공2"}</definedName>
    <definedName name="wrn.포장1." hidden="1">{#N/A,#N/A,FALSE,"포장1";#N/A,#N/A,FALSE,"포장1"}</definedName>
    <definedName name="wrn.포장2." hidden="1">{#N/A,#N/A,FALSE,"포장2"}</definedName>
    <definedName name="wrn.표지." hidden="1">{#N/A,#N/A,FALSE,"표지"}</definedName>
    <definedName name="wrn.표지목차." hidden="1">{#N/A,#N/A,FALSE,"표지목차"}</definedName>
    <definedName name="wrn.혼합골재." hidden="1">{#N/A,#N/A,FALSE,"혼합골재"}</definedName>
    <definedName name="wrn.数量計算." hidden="1">{#N/A,#N/A,FALSE,"数量集計表";#N/A,#N/A,FALSE,"数量計算書";#N/A,#N/A,FALSE,"土量計算";#N/A,#N/A,FALSE,"ｱﾝｶｰ材料";#N/A,#N/A,FALSE,"削孔長"}</definedName>
    <definedName name="wrn1.repo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TWRTWTY" hidden="1">{"PriceSheetNoMargins",#N/A,FALSE,"PriceSheet"}</definedName>
    <definedName name="WRWREGQWERG" hidden="1">{"PriceSheetNoMargins",#N/A,FALSE,"PriceSheet"}</definedName>
    <definedName name="WRwwgfrgfsd" hidden="1">{"PriceSheetNoMargins",#N/A,FALSE,"PriceSheet"}</definedName>
    <definedName name="ws">#REF!</definedName>
    <definedName name="wsfmk">#REF!</definedName>
    <definedName name="wstile">#REF!</definedName>
    <definedName name="WT">#REF!</definedName>
    <definedName name="wta">[103]Factors!$G$39</definedName>
    <definedName name="wtd">[103]Factors!$G$40</definedName>
    <definedName name="wtile">#REF!</definedName>
    <definedName name="wtile2">#REF!</definedName>
    <definedName name="wtilew">#REF!</definedName>
    <definedName name="Wtotal">#REF!</definedName>
    <definedName name="wtr">#REF!</definedName>
    <definedName name="wvu.Page1."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wvu.Page2." hidden="1">{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wvu.Page3."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wvu.Page4." hidden="1">{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wwe">#REF!</definedName>
    <definedName name="wwww">#N/A</definedName>
    <definedName name="wwwww">#REF!</definedName>
    <definedName name="wwwwww">#REF!</definedName>
    <definedName name="wwwwwww" hidden="1">#REF!</definedName>
    <definedName name="wwwwwwwww">#REF!</definedName>
    <definedName name="wwwwwwwwww">#REF!</definedName>
    <definedName name="xc" hidden="1">{#N/A,#N/A,FALSE,"SumD";#N/A,#N/A,FALSE,"ElecD";#N/A,#N/A,FALSE,"MechD";#N/A,#N/A,FALSE,"GeotD";#N/A,#N/A,FALSE,"PrcsD";#N/A,#N/A,FALSE,"TunnD";#N/A,#N/A,FALSE,"CivlD";#N/A,#N/A,FALSE,"NtwkD";#N/A,#N/A,FALSE,"EstgD";#N/A,#N/A,FALSE,"PEngD"}</definedName>
    <definedName name="XCCT">0.5</definedName>
    <definedName name="XCXZC">[28]!XCXZC</definedName>
    <definedName name="XDFHYNJXFJXF" hidden="1">{"PriceSheetNoMargins",#N/A,FALSE,"PriceSheet"}</definedName>
    <definedName name="xls." hidden="1">{"'Break down'!$A$4"}</definedName>
    <definedName name="XMTRS">#REF!</definedName>
    <definedName name="xor">'[49]BOQ PL'!#REF!</definedName>
    <definedName name="XUNAMA">'[111]Bill 5 - Carpark'!#REF!</definedName>
    <definedName name="xv">#REF!</definedName>
    <definedName name="xx" hidden="1">{#N/A,#N/A,FALSE,"SumD";#N/A,#N/A,FALSE,"ElecD";#N/A,#N/A,FALSE,"MechD";#N/A,#N/A,FALSE,"GeotD";#N/A,#N/A,FALSE,"PrcsD";#N/A,#N/A,FALSE,"TunnD";#N/A,#N/A,FALSE,"CivlD";#N/A,#N/A,FALSE,"NtwkD";#N/A,#N/A,FALSE,"EstgD";#N/A,#N/A,FALSE,"PEngD"}</definedName>
    <definedName name="XXX">#REF!</definedName>
    <definedName name="xxxxxx">[28]!xxxxxx</definedName>
    <definedName name="xxxxxxx">[28]!xxxxxxx</definedName>
    <definedName name="xxxxxxxx">#REF!</definedName>
    <definedName name="xypex">#REF!</definedName>
    <definedName name="XZ">[28]!XZ</definedName>
    <definedName name="xzcv">[28]!xzcv</definedName>
    <definedName name="xzgnhmjyuk">[28]!xzgnhmjyuk</definedName>
    <definedName name="Y_BIGRIGHT_4___">#N/A</definedName>
    <definedName name="y_strainer">#REF!</definedName>
    <definedName name="Year">'[110]Dist Controls'!#REF!</definedName>
    <definedName name="YEAR_GRID_CROSSTAB">#REF!</definedName>
    <definedName name="Year_to_Date_2005_Op_Plan">'[199]2005 - GAAP'!#REF!</definedName>
    <definedName name="Year_to_Date_One_Timers">#REF!</definedName>
    <definedName name="Year_to_Date_Run_Rate">#REF!</definedName>
    <definedName name="Years">#REF!</definedName>
    <definedName name="Years_Corp">#REF!</definedName>
    <definedName name="yellow">#REF!</definedName>
    <definedName name="yen_10">#REF!</definedName>
    <definedName name="yen_9">#REF!</definedName>
    <definedName name="YesNo">[138]Sheet2!$B$1:$B$2</definedName>
    <definedName name="YG">#REF!</definedName>
    <definedName name="YGTFCX" hidden="1">{"PriceSheetNoMargins",#N/A,FALSE,"PriceSheet"}</definedName>
    <definedName name="yhbtrgevfcdw">#REF!</definedName>
    <definedName name="YHFGHJGHK">#REF!</definedName>
    <definedName name="yj">[171]Sheet1!#REF!</definedName>
    <definedName name="YJFYXJXFHY" hidden="1">{"PriceSheetNoMargins",#N/A,FALSE,"PriceSheet"}</definedName>
    <definedName name="yjkuh">#REF!</definedName>
    <definedName name="YJRYJRYJ" hidden="1">{"PriceSheetNoMargins",#N/A,FALSE,"PriceSheet"}</definedName>
    <definedName name="yjy">'[311]B-2'!$J$1</definedName>
    <definedName name="YJYJY" hidden="1">{"PriceSheetNoMargins",#N/A,FALSE,"PriceSheet"}</definedName>
    <definedName name="YJYJYJ" hidden="1">{"PriceSheetNoMargins",#N/A,FALSE,"PriceSheet"}</definedName>
    <definedName name="YO">#REF!</definedName>
    <definedName name="yrdtytyt" hidden="1">{#N/A,#N/A,FALSE,"CCTV"}</definedName>
    <definedName name="YST.100">[66]Price!$J$80</definedName>
    <definedName name="YST.250">[66]Price!$J$77</definedName>
    <definedName name="YST.300">[66]Price!$J$76</definedName>
    <definedName name="YST.50">[66]Price!$J$83</definedName>
    <definedName name="YST.65">[66]Price!$J$82</definedName>
    <definedName name="YST.80">[66]Price!$J$81</definedName>
    <definedName name="yt5jeitryu">#REF!</definedName>
    <definedName name="YTD">[133]Input!$G$16</definedName>
    <definedName name="YTDFL">#REF!</definedName>
    <definedName name="yudi" hidden="1">#REF!</definedName>
    <definedName name="yukigoph">#REF!</definedName>
    <definedName name="yuo">#REF!</definedName>
    <definedName name="YY" hidden="1">{"PriceSheetNoMargins",#N/A,FALSE,"PriceSheet"}</definedName>
    <definedName name="YYJUDRYDRY" hidden="1">{"PriceSheetNoMargins",#N/A,FALSE,"PriceSheet"}</definedName>
    <definedName name="YYY" hidden="1">{"PriceSheetNoMargins",#N/A,FALSE,"PriceSheet"}</definedName>
    <definedName name="yyyy">[28]!yyyy</definedName>
    <definedName name="YYYYYUYUY" hidden="1">{"PriceSheetNoMargins",#N/A,FALSE,"PriceSheet"}</definedName>
    <definedName name="yyyyyy">[28]!yyyyyy</definedName>
    <definedName name="yyyyyyyyyyyyyyyyyyyyyyyy">#REF!</definedName>
    <definedName name="Z.">[24]A!#REF!</definedName>
    <definedName name="Z_18B3599C_C210_4C5D_9BB7_9779C1820E5B_.wvu.Rows">([312]A!$7:$54,[312]A!#REF!,[312]A!$61:$69,[312]A!$71:$85,[312]A!$87:$96,[312]A!$98:$109,[312]A!#REF!,[312]A!$111:$111,[312]A!$113:$120,[312]A!$123:$127,[312]A!$129:$176,[312]A!$178:$183,[312]A!$185:$204,[312]A!#REF!,[312]A!#REF!)</definedName>
    <definedName name="Z_18B3599C_C210_4C5D_9BB7_9779C1820E5B_.wvu.Rows_1">([312]G!$7:$54,[312]G!#REF!,[312]G!$61:$69,[312]G!$71:$83,[312]G!$85:$94,[312]G!$96:$107,[312]G!#REF!,[312]G!$109:$109,[312]G!$111:$117,[312]G!$120:$123,[312]G!$125:$169,[312]G!$171:$176,[312]G!$178:$199,[312]G!#REF!,[312]G!#REF!)</definedName>
    <definedName name="Z_213E26B2_3E91_4DDE_8593_C583EB52A019_.wvu.PrintArea" hidden="1">#REF!</definedName>
    <definedName name="Z_3DE5A5C8_E1AF_4DA6_93EE_7887DDCD241F_.wvu.PrintArea" hidden="1">#REF!</definedName>
    <definedName name="Z_3DE5A5C8_E1AF_4DA6_93EE_7887DDCD241F_.wvu.PrintTitles" hidden="1">#REF!</definedName>
    <definedName name="Z_6139D84B_866A_4CC4_A21A_7B6E86C120A9_.wvu.Rows">('[312]1.R18 BF'!$83:$83,'[312]1.R18 BF'!#REF!)</definedName>
    <definedName name="Z_69D864C4_6116_4D10_BDA0_E7D44D5BA468_.wvu.Rows">('[312]F-B'!$7:$45,'[312]F-B'!#REF!,'[312]F-B'!$52:$59,'[312]F-B'!$61:$72,'[312]F-B'!$74:$81,'[312]F-B'!$83:$87,'[312]F-B'!$89:$92,'[312]F-B'!#REF!,'[312]F-B'!$94:$94,'[312]F-B'!$96:$103,'[312]F-B'!$106:$110,'[312]F-B'!$112:$155,'[312]F-B'!$157:$162,'[312]F-B'!$164:$183,'[312]F-B'!#REF!,'[312]F-B'!$198:$198)</definedName>
    <definedName name="Z_7185A4D2_8FD3_4E3F_8857_15DEDCFF0747_.wvu.Cols">#N/A</definedName>
    <definedName name="Z_7185A4D2_8FD3_4E3F_8857_15DEDCFF0747_.wvu.Cols_1">#N/A</definedName>
    <definedName name="Z_A8AE14F4_1E9F_4F94_9C1B_1FA01532CCE5_.wvu.PrintArea" hidden="1">#REF!</definedName>
    <definedName name="Z_A8AE14F4_1E9F_4F94_9C1B_1FA01532CCE5_.wvu.PrintTitles" hidden="1">#REF!</definedName>
    <definedName name="Z_ABC344E9_E506_45C2_8225_E97048CD64CB_.wvu.PrintArea" hidden="1">#REF!</definedName>
    <definedName name="Z_E0ACF7AE_80F8_401D_8BF6_C6039677A602_.wvu.Cols" hidden="1">#REF!,#REF!</definedName>
    <definedName name="Z_E0ACF7AE_80F8_401D_8BF6_C6039677A602_.wvu.FilterData" hidden="1">#REF!</definedName>
    <definedName name="Z_E0ACF7AE_80F8_401D_8BF6_C6039677A602_.wvu.PrintArea" hidden="1">#REF!</definedName>
    <definedName name="Z_E0ACF7AE_80F8_401D_8BF6_C6039677A602_.wvu.PrintTitles" hidden="1">#REF!</definedName>
    <definedName name="Z_E0ACF7AE_80F8_401D_8BF6_C6039677A602_.wvu.Rows" hidden="1">#REF!,#REF!,#REF!</definedName>
    <definedName name="ZAE1">#REF!</definedName>
    <definedName name="zah">#REF!</definedName>
    <definedName name="ZAHY">#REF!</definedName>
    <definedName name="ZDFHFHH" hidden="1">{"PriceSheetNoMargins",#N/A,FALSE,"PriceSheet"}</definedName>
    <definedName name="ZDFZXFHFHZXFB" hidden="1">{"PriceSheetNoMargins",#N/A,FALSE,"PriceSheet"}</definedName>
    <definedName name="ZDGHGHNFH" hidden="1">{"PriceSheetNoMargins",#N/A,FALSE,"PriceSheet"}</definedName>
    <definedName name="ZDRSRYSFBG">#REF!</definedName>
    <definedName name="zek">[102]Sheet2!$AB$1:$AB$3</definedName>
    <definedName name="zennkai">#REF!</definedName>
    <definedName name="zero">#REF!</definedName>
    <definedName name="zfdgsh">#REF!</definedName>
    <definedName name="Zip">#REF!</definedName>
    <definedName name="ziv">[102]Sheet2!$AD$1:$AD$3</definedName>
    <definedName name="zse" hidden="1">{#N/A,#N/A,FALSE,"SumG";#N/A,#N/A,FALSE,"ElecG";#N/A,#N/A,FALSE,"MechG";#N/A,#N/A,FALSE,"GeotG";#N/A,#N/A,FALSE,"PrcsG";#N/A,#N/A,FALSE,"TunnG";#N/A,#N/A,FALSE,"CivlG";#N/A,#N/A,FALSE,"NtwkG";#N/A,#N/A,FALSE,"EstgG";#N/A,#N/A,FALSE,"PEngG"}</definedName>
    <definedName name="ZSFBHZXFBHH" hidden="1">{"PriceSheetNoMargins",#N/A,FALSE,"PriceSheet"}</definedName>
    <definedName name="zxdf">#REF!</definedName>
    <definedName name="ZXFBHZXFHBZXFHFB" hidden="1">{"PriceSheetNoMargins",#N/A,FALSE,"PriceSheet"}</definedName>
    <definedName name="ZXzX" hidden="1">{"'Sheet1'!$L$16"}</definedName>
    <definedName name="ZZZ">[28]!ZZZ</definedName>
    <definedName name="zzz99">'[272]9-A (SVAT) New'!#REF!</definedName>
    <definedName name="zzz999">'[272]9-A (SVAT) New'!#REF!</definedName>
    <definedName name="zzzcomJobList">#REF!</definedName>
    <definedName name="zzzJobCategories">#REF!</definedName>
    <definedName name="zzzPayBurden">#REF!</definedName>
    <definedName name="zzzPeriods">#REF!</definedName>
    <definedName name="zzzzz" hidden="1">#REF!</definedName>
    <definedName name="ｽﾞｰﾑ">#REF!</definedName>
    <definedName name="ｽﾞｰﾑ2">[313]概総括1!$A$1:$O$29</definedName>
    <definedName name="ﾒﾆｭｰ">[1]内訳書!#REF!</definedName>
    <definedName name="แบบบ้าน">[314]Store!$A$3:$D$11</definedName>
    <definedName name="ใบประหน้า">#REF!</definedName>
    <definedName name="ก">'[34]SH-D'!$C$1:$G$531</definedName>
    <definedName name="งานโฮมโปร">#REF!</definedName>
    <definedName name="จมเพิ่มลด">#REF!</definedName>
    <definedName name="บันทัด">#REF!</definedName>
    <definedName name="ผ">#N/A</definedName>
    <definedName name="ฟ">'[315]SH-A'!$C$1:$G$600</definedName>
    <definedName name="ฟ1">#REF!</definedName>
    <definedName name="ฟภุ">'[316]ประมาณการประตูหน้าต่าง '!#REF!</definedName>
    <definedName name="ฟห">'[317]SH-F'!$C$1:$G$600</definedName>
    <definedName name="ฟๅ">#REF!</definedName>
    <definedName name="รวม" hidden="1">{#N/A,#N/A,TRUE,"Str.";#N/A,#N/A,TRUE,"Steel &amp; Roof";#N/A,#N/A,TRUE,"Arc.";#N/A,#N/A,TRUE,"Preliminary";#N/A,#N/A,TRUE,"Sum_Prelim"}</definedName>
    <definedName name="วันที่">#REF!</definedName>
    <definedName name="สรุปทั้งหมด">#REF!</definedName>
    <definedName name="สรุปรวมงานระบบทั้งหมด">#N/A</definedName>
    <definedName name="สำเริง" hidden="1">{#N/A,#N/A,TRUE,"Str.";#N/A,#N/A,TRUE,"Steel &amp; Roof";#N/A,#N/A,TRUE,"Arc.";#N/A,#N/A,TRUE,"Preliminary";#N/A,#N/A,TRUE,"Sum_Prelim"}</definedName>
    <definedName name="건축">#REF!</definedName>
    <definedName name="겡오" hidden="1">{#N/A,#N/A,FALSE,"CCTV"}</definedName>
    <definedName name="견적" hidden="1">{#N/A,#N/A,FALSE,"CCTV"}</definedName>
    <definedName name="견적2" hidden="1">{#N/A,#N/A,FALSE,"CCTV"}</definedName>
    <definedName name="견적SHEET" hidden="1">{#N/A,#N/A,FALSE,"CCTV"}</definedName>
    <definedName name="견적조건" hidden="1">[311]산근!#REF!</definedName>
    <definedName name="계장공사" hidden="1">{#N/A,#N/A,FALSE,"CCTV"}</definedName>
    <definedName name="골재" hidden="1">{#N/A,#N/A,FALSE,"골재소요량";#N/A,#N/A,FALSE,"골재소요량"}</definedName>
    <definedName name="공사개요2" hidden="1">{#N/A,#N/A,FALSE,"골재소요량";#N/A,#N/A,FALSE,"골재소요량"}</definedName>
    <definedName name="공사일지" hidden="1">{#N/A,#N/A,FALSE,"전력간선"}</definedName>
    <definedName name="공종">#REF!</definedName>
    <definedName name="교육" hidden="1">{#N/A,#N/A,FALSE,"전력간선"}</definedName>
    <definedName name="구분">#REF!</definedName>
    <definedName name="구조물공" hidden="1">{#N/A,#N/A,FALSE,"이정표"}</definedName>
    <definedName name="기계">#REF!</definedName>
    <definedName name="기구자재선택">[318]코드관리!$V$4:$V$103</definedName>
    <definedName name="기존도로상태" hidden="1">{#N/A,#N/A,FALSE,"혼합골재"}</definedName>
    <definedName name="기타">#REF!</definedName>
    <definedName name="ㄳ"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노래" hidden="1">{#N/A,#N/A,FALSE,"부대2"}</definedName>
    <definedName name="다" hidden="1">{#N/A,#N/A,FALSE,"운반시간"}</definedName>
    <definedName name="단ㄱ" hidden="1">{#N/A,#N/A,FALSE,"전력간선"}</definedName>
    <definedName name="도로" hidden="1">{#N/A,#N/A,FALSE,"2~8번"}</definedName>
    <definedName name="래그" hidden="1">{#N/A,#N/A,FALSE,"CCTV"}</definedName>
    <definedName name="ㅁㄴ" hidden="1">{#N/A,#N/A,FALSE,"운반시간"}</definedName>
    <definedName name="ㅁㄴㄹ" hidden="1">{#N/A,#N/A,FALSE,"전력간선"}</definedName>
    <definedName name="ㅁㅁ" hidden="1">{#N/A,#N/A,FALSE,"운반시간"}</definedName>
    <definedName name="ㅁㅁㅁㅁ" hidden="1">{#N/A,#N/A,FALSE,"혼합골재"}</definedName>
    <definedName name="목자" hidden="1">{#N/A,#N/A,FALSE,"전력간선"}</definedName>
    <definedName name="목차" hidden="1">{#N/A,#N/A,FALSE,"2~8번"}</definedName>
    <definedName name="ㅂㅂ" hidden="1">{#N/A,#N/A,FALSE,"표지"}</definedName>
    <definedName name="ㅂㅈ" hidden="1">{#N/A,#N/A,TRUE,"1";#N/A,#N/A,TRUE,"2";#N/A,#N/A,TRUE,"3";#N/A,#N/A,TRUE,"4";#N/A,#N/A,TRUE,"5";#N/A,#N/A,TRUE,"6";#N/A,#N/A,TRUE,"7"}</definedName>
    <definedName name="바보" hidden="1">{#N/A,#N/A,FALSE,"표지목차"}</definedName>
    <definedName name="바보2" hidden="1">{#N/A,#N/A,FALSE,"운반시간"}</definedName>
    <definedName name="바붕" hidden="1">{#N/A,#N/A,FALSE,"전력간선"}</definedName>
    <definedName name="밥보" hidden="1">{#N/A,#N/A,FALSE,"표지목차"}</definedName>
    <definedName name="배선자재선택">[319]코드관리!$P$4:$P$250</definedName>
    <definedName name="배수공" hidden="1">{#N/A,#N/A,FALSE,"부대1"}</definedName>
    <definedName name="부대공사" hidden="1">#REF!</definedName>
    <definedName name="비교표2" hidden="1">#REF!</definedName>
    <definedName name="사진">#REF!</definedName>
    <definedName name="사진2" hidden="1">{#N/A,#N/A,FALSE,"전력간선"}</definedName>
    <definedName name="사진3" hidden="1">{#N/A,#N/A,FALSE,"2~8번"}</definedName>
    <definedName name="샘풀카피" hidden="1">{#N/A,#N/A,FALSE,"CCTV"}</definedName>
    <definedName name="샘플카피2" hidden="1">{#N/A,#N/A,FALSE,"CCTV"}</definedName>
    <definedName name="샘플카피3" hidden="1">{#N/A,#N/A,FALSE,"CCTV"}</definedName>
    <definedName name="소모비">#REF!</definedName>
    <definedName name="소요">'[34]#REF'!#REF!</definedName>
    <definedName name="실행검토" hidden="1">#REF!</definedName>
    <definedName name="실행예상액" hidden="1">#REF!</definedName>
    <definedName name="ㅇㄹㅇㅁ"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ㅇㅈㄱㄹㄴㅇㄹ"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억이상" hidden="1">{#N/A,#N/A,FALSE,"2~8번"}</definedName>
    <definedName name="의" hidden="1">{#N/A,#N/A,FALSE,"운반시간"}</definedName>
    <definedName name="이" hidden="1">{#N/A,#N/A,FALSE,"운반시간"}</definedName>
    <definedName name="이름" hidden="1">{#N/A,#N/A,FALSE,"포장2"}</definedName>
    <definedName name="ㅈ" hidden="1">{#N/A,#N/A,FALSE,"전력간선"}</definedName>
    <definedName name="자재비">'[34]#REF'!#REF!</definedName>
    <definedName name="작업계획">#REF!</definedName>
    <definedName name="전">#REF!</definedName>
    <definedName name="전기계장">#REF!</definedName>
    <definedName name="조직"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주요공사물량" hidden="1">{#N/A,#N/A,FALSE,"조골재"}</definedName>
    <definedName name="주요공종">'[34]#REF'!#REF!</definedName>
    <definedName name="주택사업본부">#REF!</definedName>
    <definedName name="중기">#REF!</definedName>
    <definedName name="직원소요계획">[320]LAB!#REF!</definedName>
    <definedName name="진행요약"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철구사업본부">#REF!</definedName>
    <definedName name="총공" hidden="1">{#N/A,#N/A,FALSE,"운반시간"}</definedName>
    <definedName name="총괄표0" hidden="1">#REF!</definedName>
    <definedName name="토목">#REF!</definedName>
    <definedName name="토목설계" hidden="1">{#N/A,#N/A,FALSE,"골재소요량";#N/A,#N/A,FALSE,"골재소요량"}</definedName>
    <definedName name="표지" hidden="1">#REF!</definedName>
    <definedName name="표지1">#REF!</definedName>
    <definedName name="혼합골재2" hidden="1">{#N/A,#N/A,FALSE,"혼합골재"}</definedName>
    <definedName name="ㅓㅓㅓ" hidden="1">{#N/A,#N/A,FALSE,"운반시간"}</definedName>
    <definedName name="ㅓㅓㅓㅓ" hidden="1">{#N/A,#N/A,FALSE,"조골재"}</definedName>
    <definedName name="ㅗㅗ" hidden="1">{#N/A,#N/A,FALSE,"단가표지"}</definedName>
    <definedName name="ㅠㅠ" hidden="1">{#N/A,#N/A,FALSE,"포장2"}</definedName>
    <definedName name="ㅣㅏ" hidden="1">{#N/A,#N/A,FALSE,"2~8번"}</definedName>
    <definedName name="三社材料">#REF!</definedName>
    <definedName name="付帯">#REF!</definedName>
    <definedName name="仮設">#REF!</definedName>
    <definedName name="入力">[1]内訳書!#REF!</definedName>
    <definedName name="共通">[24]基本ﾃﾞｰﾀ!#REF!</definedName>
    <definedName name="内外構">#REF!</definedName>
    <definedName name="内屋根">#REF!</definedName>
    <definedName name="内躯体">#REF!</definedName>
    <definedName name="内部建具">#REF!</definedName>
    <definedName name="内部雑">#REF!</definedName>
    <definedName name="出差費用" hidden="1">{"'Sheet1'!$L$16"}</definedName>
    <definedName name="別途">#REF!</definedName>
    <definedName name="印刷">#REF!</definedName>
    <definedName name="印刷A">#REF!</definedName>
    <definedName name="土工">[24]基本ﾃﾞｰﾀ!#REF!</definedName>
    <definedName name="外構">#REF!</definedName>
    <definedName name="外部建具">#REF!</definedName>
    <definedName name="室内">#REF!</definedName>
    <definedName name="屋根">#REF!</definedName>
    <definedName name="建築">#REF!</definedName>
    <definedName name="掛率">#REF!</definedName>
    <definedName name="操作説明A">[313]概総括1!$A$1:$O$29</definedName>
    <definedName name="材料">#REF!</definedName>
    <definedName name="環A">#REF!</definedName>
    <definedName name="白紙">#REF!</definedName>
    <definedName name="直仮">#REF!</definedName>
    <definedName name="砌体">#REF!</definedName>
    <definedName name="空調労務割掛">#N/A</definedName>
    <definedName name="総括">#REF!</definedName>
    <definedName name="表示">#REF!</definedName>
    <definedName name="躯体">#REF!</definedName>
    <definedName name="_xlnm.Print_Area" localSheetId="1">Rates!$B$1:$F$52</definedName>
    <definedName name="__FST2" localSheetId="2">Arch-[32]Master01!$L$2:$L$65536</definedName>
    <definedName name="_FST2" localSheetId="2">Arch-[32]Master01!$L$2:$L$65536</definedName>
    <definedName name="ADDR" localSheetId="2">HAJIME:OWARI</definedName>
    <definedName name="ffgghh" localSheetId="2">Arch-[32]Master01!$N$2:$N$65536</definedName>
    <definedName name="FS" localSheetId="2">Arch-[32]Master01!$N$2:$N$65536</definedName>
    <definedName name="FST_2" localSheetId="2">Arch-[32]Master01!$O$2:$O$65536</definedName>
    <definedName name="guang" localSheetId="2">Arch-[32]Master01!$L$2:$L$65536</definedName>
    <definedName name="SectA" localSheetId="2">Arch-[32]Master01!$J$2:$J$65536</definedName>
    <definedName name="SectB" localSheetId="2">Arch-[32]Master01!$K$2:$K$65536</definedName>
    <definedName name="SectC" localSheetId="2">Arch-[32]Master01!$L$2:$L$65536</definedName>
    <definedName name="SectD" localSheetId="2">Arch-[32]Master01!$M$2:$M$65536</definedName>
    <definedName name="SectE" localSheetId="2">Arch-[32]Master01!$N$2:$N$65536</definedName>
    <definedName name="SectF" localSheetId="2">Arch-[32]Master01!$O$2:$O$65536</definedName>
    <definedName name="SectG" localSheetId="2">Arch-[32]Master01!$P$2:$P$65536</definedName>
    <definedName name="sssh" localSheetId="2">Arch-[32]Master01!$K$2:$K$65536</definedName>
    <definedName name="ｓｓｓｓｓｆ" localSheetId="2">Arch-[32]Master01!$N$2:$N$65536</definedName>
    <definedName name="_xlnm.Print_Area" localSheetId="2">'Rate beak up'!$B$1:$I$623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<sst xmlns="http://schemas.openxmlformats.org/spreadsheetml/2006/main" count="1308" uniqueCount="343">
  <si>
    <t>BOQ FOR CONSTRUCTION OF SERVER ROOM AT ETD L1</t>
  </si>
  <si>
    <t>OH/P</t>
  </si>
  <si>
    <t>ITEM</t>
  </si>
  <si>
    <t>DESCRIPTION</t>
  </si>
  <si>
    <t>UNIT</t>
  </si>
  <si>
    <t>QTY</t>
  </si>
  <si>
    <t>RATE-COST</t>
  </si>
  <si>
    <t>Prliminaries</t>
  </si>
  <si>
    <t>Rate</t>
  </si>
  <si>
    <t>AMOUNT</t>
  </si>
  <si>
    <t>Remarks</t>
  </si>
  <si>
    <t>Rs.   Cts.</t>
  </si>
  <si>
    <t>●</t>
  </si>
  <si>
    <t>Refer the  drawings provided</t>
  </si>
  <si>
    <t>Note</t>
  </si>
  <si>
    <t>Rate shall include for all materials, labor, machinery &amp; tools. 
Ready mix concrete 
Cement-Sanstha
Reinforcement steel - Sanstha
PVC - Z - lone
Paint - CIC</t>
  </si>
  <si>
    <t>PRELIMINARIES</t>
  </si>
  <si>
    <t>The Bidder is advised to visit the proposed work site and it is the Bidders' responsibility to asserting the existing working conditions, governing factors regarding access to the site, the extent of working space, storage area, waste disposal etc. The Bidder is required to consider the above matters and price the BOQ accordingly.
No work in any trade shall be carried out in such a manner as to cause any nuisance to adjacent owners, guests or public.
All precautions to be taken for protecting existing adjacent properties.
Client will provide electricity connection &amp; drinking water connection to the site.</t>
  </si>
  <si>
    <t>A</t>
  </si>
  <si>
    <t>MOBILIZATIONS</t>
  </si>
  <si>
    <t>Installing barrier tapes, warning boards display, safety cones. Contractor should be create safety area of all around the site.
As per the safety team guide lines.</t>
  </si>
  <si>
    <t>A.01</t>
  </si>
  <si>
    <t>Proper site covering need to be required around the site, 8ft height.
As per client request.</t>
  </si>
  <si>
    <t>item</t>
  </si>
  <si>
    <t>B</t>
  </si>
  <si>
    <t>REMOVING AND EARTH WORKS</t>
  </si>
  <si>
    <t>B.01</t>
  </si>
  <si>
    <t>Safely removing existing cladding sheet with steel frame work (IF NEEDED) including refixing, fixing for use necessary materials supplying and all necessary arrangements.</t>
  </si>
  <si>
    <r>
      <rPr>
        <sz val="10"/>
        <color theme="1"/>
        <rFont val="Cambria"/>
        <charset val="134"/>
      </rPr>
      <t>m</t>
    </r>
    <r>
      <rPr>
        <vertAlign val="superscript"/>
        <sz val="10"/>
        <color theme="1"/>
        <rFont val="Cambria"/>
        <charset val="134"/>
      </rPr>
      <t>2</t>
    </r>
  </si>
  <si>
    <t>B.02</t>
  </si>
  <si>
    <t>Demolition existing concrete floor for construction of column footing including cutting for use asphalt cutter, excavation, debris material disposal and all necessary arrangements.
Average size -: 900x900x900mm
Column -: 08 nos.</t>
  </si>
  <si>
    <t>m³</t>
  </si>
  <si>
    <t>B.03</t>
  </si>
  <si>
    <t xml:space="preserve">Supply and laying ABC for filling including compaction for use Wacker and all necessary arrangements.
Average height -: 300mm layer
</t>
  </si>
  <si>
    <t>B.04</t>
  </si>
  <si>
    <t xml:space="preserve">Supply and laying dry soil/ red soil  back filling including compaction for use Wacker(IF NEEDED) and all necessary arrangements.
</t>
  </si>
  <si>
    <t>B.05</t>
  </si>
  <si>
    <t>Provisional cost for unexpected removing and earth works</t>
  </si>
  <si>
    <t>Provisional Cost</t>
  </si>
  <si>
    <t>C</t>
  </si>
  <si>
    <t>CONCRETE WORKS</t>
  </si>
  <si>
    <t>Contractor should be submit test reports to engineer, 
               1. Concrete test cube 
As per the engineer instruction.</t>
  </si>
  <si>
    <t>Contractor should be use bonding agent chemicals for concreting use barra-emulsion or approved equivalent.
As per the engineer instruction.</t>
  </si>
  <si>
    <t>C.01</t>
  </si>
  <si>
    <t>Supply and laying 50mm thk G20 screed concrete  for under column base including all  necessary arrangements.</t>
  </si>
  <si>
    <t>C.02</t>
  </si>
  <si>
    <t xml:space="preserve">Supply and laying G25 concrete for column base including pockering, curing and all necessary arrangements.
Average size -: 900x900x200mm
</t>
  </si>
  <si>
    <t>C.03</t>
  </si>
  <si>
    <t xml:space="preserve">Supply and laying G25 concrete for  columns including construction joint,  pockering, curing and all necessary arrangements.
Average size -: 225x225mm
</t>
  </si>
  <si>
    <t>C.04</t>
  </si>
  <si>
    <t>Supply and laying G25 concrete for plinth beams including reinforcement 
4T10, R6@200c/c, formwork, curing and all necessary arrangements.
Average size -: 225x150mm</t>
  </si>
  <si>
    <t>m</t>
  </si>
  <si>
    <t>C.05</t>
  </si>
  <si>
    <t>Supply and laying G25 concrete for Ramp beam including reinforcement 
4T10, R6@150c/c, formwork, curing and all necessary arrangements.
Average size -: 150x150mm</t>
  </si>
  <si>
    <t>C.06</t>
  </si>
  <si>
    <t>Supply and laying G25, 125mm thk. concrete for Ramp including chipping existing floor, reinforcement 
T10@200c/c, formwork, curing and all necessary arrangements.</t>
  </si>
  <si>
    <t>C.07</t>
  </si>
  <si>
    <t>Supply and laying G25,125mm thk. concrete for floor including use BRC mesh, pockering, curing, cube testing and all necessary arrangements.</t>
  </si>
  <si>
    <t>C.08</t>
  </si>
  <si>
    <t>Supply and laying G25 concrete for slab beams including reinforcement 
2T16, 3T12, R6@150c/c, formwork, curing and all necessary arrangements.
Average size -: 225x225mm</t>
  </si>
  <si>
    <t>C.09</t>
  </si>
  <si>
    <r>
      <rPr>
        <sz val="10"/>
        <color theme="1"/>
        <rFont val="Cambria"/>
        <charset val="134"/>
      </rPr>
      <t xml:space="preserve">Supply and laying G25 concrete for slab(125mm thk.) including  pockering, curing, cube testing </t>
    </r>
    <r>
      <rPr>
        <b/>
        <sz val="10"/>
        <color theme="1"/>
        <rFont val="Cambria"/>
        <charset val="134"/>
      </rPr>
      <t xml:space="preserve"> </t>
    </r>
    <r>
      <rPr>
        <sz val="10"/>
        <color theme="1"/>
        <rFont val="Cambria"/>
        <charset val="134"/>
      </rPr>
      <t>and all necessary arrangements</t>
    </r>
    <r>
      <rPr>
        <b/>
        <sz val="10"/>
        <color theme="1"/>
        <rFont val="Cambria"/>
        <charset val="134"/>
      </rPr>
      <t>.</t>
    </r>
    <r>
      <rPr>
        <sz val="10"/>
        <color theme="1"/>
        <rFont val="Cambria"/>
        <charset val="134"/>
      </rPr>
      <t xml:space="preserve">
</t>
    </r>
  </si>
  <si>
    <t>C.10</t>
  </si>
  <si>
    <t>Supply and laying reinforcement 
(T10@150c/c ) for column base including bending to shape, laying in position, tying with  as directed and all necessary arrangements.</t>
  </si>
  <si>
    <t>Kg</t>
  </si>
  <si>
    <t>C.11</t>
  </si>
  <si>
    <t>Supply and laying reinforcement 
(6T12 &amp; R6@200c/c) for column including bending to shape, laying in position, tying with  as directed.</t>
  </si>
  <si>
    <t>C.12</t>
  </si>
  <si>
    <t>Supply and laying reinforcement 
(T10@ 200c/c) for  slab  including bending to shape, laying in position, tying with  as directed.</t>
  </si>
  <si>
    <t>C.13</t>
  </si>
  <si>
    <t xml:space="preserve"> Supply and fixing   formwork for sides of columns including necessary boarding  supports, erecting, framing, removing, cleaning.
Approximate Height -: 3600mm</t>
  </si>
  <si>
    <t>C.14</t>
  </si>
  <si>
    <t xml:space="preserve"> Supply and fixing  formwork for sides of slab including necessary boarding  supports, erecting, framing, removing, cleaning, wetting.
Approximate Height -: 125mm</t>
  </si>
  <si>
    <t>D</t>
  </si>
  <si>
    <t>MASONRY  AND FINISHING WORKS</t>
  </si>
  <si>
    <t>D.01</t>
  </si>
  <si>
    <t>Supply and construction 150mm thk. solid block in  1:5 cement sand mortar.</t>
  </si>
  <si>
    <t>D.02</t>
  </si>
  <si>
    <t>Supply and plastering 15mm thk. internal walls in 1:3 cement sand mortar including revels, smooth finish.</t>
  </si>
  <si>
    <t>D.03</t>
  </si>
  <si>
    <t>Supply and plastering 16mm thk. external walls in 1:5 cement sand mortar including revels, semi - rough finish.</t>
  </si>
  <si>
    <t>D.04</t>
  </si>
  <si>
    <t>Prepare and apply plaster surface with two coats of wall  putty,  painting two coats of filler for internal walls with reveals including painting two coats of approved color emulsion paints.</t>
  </si>
  <si>
    <r>
      <rPr>
        <sz val="10"/>
        <color theme="1"/>
        <rFont val="Cambria"/>
        <charset val="134"/>
      </rPr>
      <t>m</t>
    </r>
    <r>
      <rPr>
        <sz val="10"/>
        <color theme="1"/>
        <rFont val="Calibri"/>
        <charset val="134"/>
      </rPr>
      <t>²</t>
    </r>
  </si>
  <si>
    <t>D.05</t>
  </si>
  <si>
    <t xml:space="preserve">Supply and painting two coats of filler for external wall with reveals including painting two coats of approved color weather shield paints and all necessary arrangements. </t>
  </si>
  <si>
    <t>D.06</t>
  </si>
  <si>
    <t>Prepare and apply plaster surface with two coats of  putty,  painting two coats of filler for sofit including  all necessary arrangements.</t>
  </si>
  <si>
    <t>E</t>
  </si>
  <si>
    <t>DOOR AND WINDOW WORKS</t>
  </si>
  <si>
    <t>E.01</t>
  </si>
  <si>
    <t>Design and built 2 Hrs. fire rated door with door frame including double sash ,door closer, door handle, door lock and all necessary arrangements.
As per the client request.
Average size -: 1200x2100</t>
  </si>
  <si>
    <t>Nr</t>
  </si>
  <si>
    <t xml:space="preserve">Door Frame: 2mm thk Electro Galvanized (Zn Coated) Steel
Sheet (Powder Coated Texture Finished with RAL Color -
)
: Door Slash:0.8mm thk Electro Galvanized (Zn Coated) Steel
Sheet &amp; View Panel: 200 x 600mm Fire Rated Glass View
Panel
: Infill Material : Fire Rated Infield Materials &amp; Door
Thickness: 48mm
: Hinges : 4" x 3" x 3mm Ball Bearing Hinges(SS Grade 304)
: Edge Preparation : Roller forming machine, CNC bending
machine
: Lock Set : Panic Device or Cylinder Lock, Handle and Door
Closer
</t>
  </si>
  <si>
    <t>E.02</t>
  </si>
  <si>
    <t>Design and built 2 Hrs. fire rated door with door frame including double sash, door closer, door handle, door lock and all necessary arrangements.
The door should have two shutters.
As per the client request.
Average size -: 2400x2100</t>
  </si>
  <si>
    <t>F</t>
  </si>
  <si>
    <t>OTHER WORKS</t>
  </si>
  <si>
    <t>F.01</t>
  </si>
  <si>
    <t>Providing and laying non-slip homogenous ceramic glazed floor tiles of size 12"x12" or 12"x24" (thickness to be specified by the manufacturer) of 1st quality and pointing to matching colored cement grout and wastage. 
Rate shall be included tile beds with tile adhesive.
Sample approval by client.</t>
  </si>
  <si>
    <t>m²</t>
  </si>
  <si>
    <t>F.02</t>
  </si>
  <si>
    <r>
      <rPr>
        <sz val="10"/>
        <color theme="1"/>
        <rFont val="Cambria"/>
        <charset val="134"/>
      </rPr>
      <t xml:space="preserve">Supply and painting </t>
    </r>
    <r>
      <rPr>
        <b/>
        <sz val="10"/>
        <color theme="1"/>
        <rFont val="Cambria"/>
        <charset val="134"/>
      </rPr>
      <t>Epoxy</t>
    </r>
    <r>
      <rPr>
        <sz val="10"/>
        <color theme="1"/>
        <rFont val="Cambria"/>
        <charset val="134"/>
      </rPr>
      <t xml:space="preserve"> floor paint for ramp and front floor including  painting equipment and necessary arrangements.
Color select by client.
</t>
    </r>
  </si>
  <si>
    <t>F.03</t>
  </si>
  <si>
    <t xml:space="preserve">Provisional cost for other works. </t>
  </si>
  <si>
    <t>TOTAL AMOUNT</t>
  </si>
  <si>
    <t>PRICE LIST</t>
  </si>
  <si>
    <t>N0</t>
  </si>
  <si>
    <t>RATE</t>
  </si>
  <si>
    <t>REMARKS</t>
  </si>
  <si>
    <t>MATERAIL</t>
  </si>
  <si>
    <t>G15 Ready mix  Concrete</t>
  </si>
  <si>
    <t>m3</t>
  </si>
  <si>
    <t>G15 Ready mix  Concrete-For Minimum Req</t>
  </si>
  <si>
    <t>G15 Ready mix  Concrete-Transport</t>
  </si>
  <si>
    <t>G25 Ready mix  Concrete</t>
  </si>
  <si>
    <t>G25 Ready mix  Concrete-For Minimum Req</t>
  </si>
  <si>
    <t>G25 Ready mix  Concrete-Transport</t>
  </si>
  <si>
    <t>Cement</t>
  </si>
  <si>
    <t>Bag</t>
  </si>
  <si>
    <t>River sand</t>
  </si>
  <si>
    <t>Cube</t>
  </si>
  <si>
    <t>Metal</t>
  </si>
  <si>
    <t>Query dust</t>
  </si>
  <si>
    <t>ABC</t>
  </si>
  <si>
    <t>BRC mesh</t>
  </si>
  <si>
    <t>m2</t>
  </si>
  <si>
    <t>Rubble</t>
  </si>
  <si>
    <t xml:space="preserve">Plywood sheet - 15mm tk double coated </t>
  </si>
  <si>
    <t>nos</t>
  </si>
  <si>
    <t>2 x 2 batten</t>
  </si>
  <si>
    <t>ft</t>
  </si>
  <si>
    <t>2 x 4 batten</t>
  </si>
  <si>
    <t>Wire nail</t>
  </si>
  <si>
    <t>Tor steel with transport</t>
  </si>
  <si>
    <t>Binding wire</t>
  </si>
  <si>
    <t>Block 400 x 200 x 150mm with transport</t>
  </si>
  <si>
    <t xml:space="preserve">Water </t>
  </si>
  <si>
    <t>Gal</t>
  </si>
  <si>
    <t>Primer</t>
  </si>
  <si>
    <t>l</t>
  </si>
  <si>
    <t>Crack Bridging Exterior Wall Primer</t>
  </si>
  <si>
    <t>Emulsion Paint CIC</t>
  </si>
  <si>
    <t>Putty</t>
  </si>
  <si>
    <t>Whethersheild Paint CIC</t>
  </si>
  <si>
    <t>Sand paper</t>
  </si>
  <si>
    <t>Soil</t>
  </si>
  <si>
    <t>300 x 300 mm tile</t>
  </si>
  <si>
    <t>Bricks</t>
  </si>
  <si>
    <t>LABOUR</t>
  </si>
  <si>
    <t>Skill Labour</t>
  </si>
  <si>
    <t>day</t>
  </si>
  <si>
    <t>Skill labour- mason</t>
  </si>
  <si>
    <t>Skill labour -Painter</t>
  </si>
  <si>
    <t>Skill labour -Carpenter</t>
  </si>
  <si>
    <t>Unskill Labour</t>
  </si>
  <si>
    <t>MACHINES</t>
  </si>
  <si>
    <t>Rammer with fuel</t>
  </si>
  <si>
    <t>Vibrator with fuel</t>
  </si>
  <si>
    <t>Mixture</t>
  </si>
  <si>
    <t>1 cube tipper</t>
  </si>
  <si>
    <t xml:space="preserve">Analysis for </t>
  </si>
  <si>
    <t>No</t>
  </si>
  <si>
    <t>Item Description</t>
  </si>
  <si>
    <t>Item Ref</t>
  </si>
  <si>
    <t>Unit</t>
  </si>
  <si>
    <t>Quantity</t>
  </si>
  <si>
    <t>Amount</t>
  </si>
  <si>
    <t>Tarporling</t>
  </si>
  <si>
    <t>Scaffolding</t>
  </si>
  <si>
    <t>Item</t>
  </si>
  <si>
    <t>Unskill fixing</t>
  </si>
  <si>
    <t>Unskill Removing</t>
  </si>
  <si>
    <t xml:space="preserve">Total for </t>
  </si>
  <si>
    <t xml:space="preserve">Rate for 1 </t>
  </si>
  <si>
    <t>Removing</t>
  </si>
  <si>
    <t>SK Labour</t>
  </si>
  <si>
    <t>Day</t>
  </si>
  <si>
    <t>U / SK  Labourer</t>
  </si>
  <si>
    <t xml:space="preserve">U / SK  Labourer </t>
  </si>
  <si>
    <t>Fixing</t>
  </si>
  <si>
    <t>Allow 2.5% of Items ( 1 ) for Tools</t>
  </si>
  <si>
    <t>Rate(Say)</t>
  </si>
  <si>
    <t>Say</t>
  </si>
  <si>
    <t>Demolition existing concrete floor for construction of column footing including cutting for use asphalt cutter, excavation, debris material disposal and all necessary arrangements.</t>
  </si>
  <si>
    <t xml:space="preserve">U /sk  Labourer </t>
  </si>
  <si>
    <t>Asphalt cutter</t>
  </si>
  <si>
    <t>Braeker</t>
  </si>
  <si>
    <t>Grinder</t>
  </si>
  <si>
    <t>Tipper</t>
  </si>
  <si>
    <t>1m3</t>
  </si>
  <si>
    <r>
      <rPr>
        <b/>
        <sz val="10"/>
        <rFont val="Times New Roman"/>
        <charset val="0"/>
      </rPr>
      <t>1m</t>
    </r>
    <r>
      <rPr>
        <b/>
        <vertAlign val="superscript"/>
        <sz val="10"/>
        <rFont val="Times New Roman"/>
        <charset val="0"/>
      </rPr>
      <t>3</t>
    </r>
  </si>
  <si>
    <t>Supply and laying ABC for filling including compaction for use Wacker and all necessary arrangements.</t>
  </si>
  <si>
    <t>cube</t>
  </si>
  <si>
    <t xml:space="preserve">U /un SK  Labourer </t>
  </si>
  <si>
    <t>Rammer</t>
  </si>
  <si>
    <t>Supply and laying dry soil/ red soil  back filling including compaction for use Wacker(IF NEEDED) and all necessary arrangements.</t>
  </si>
  <si>
    <t>Mixing and placing of Redymix Concrete G 15</t>
  </si>
  <si>
    <t>No.</t>
  </si>
  <si>
    <t>Ready mix with 5% wastage</t>
  </si>
  <si>
    <t>Additinal cost for minimum Req</t>
  </si>
  <si>
    <t>Transport</t>
  </si>
  <si>
    <t>Tools 3%</t>
  </si>
  <si>
    <t>1Cube</t>
  </si>
  <si>
    <t>Mixing and placing of Redymix Concrete G 25</t>
  </si>
  <si>
    <t>Ready mix with 10% wastage</t>
  </si>
  <si>
    <t>Trasport</t>
  </si>
  <si>
    <t>Bonding agent</t>
  </si>
  <si>
    <t>L</t>
  </si>
  <si>
    <t>Sk</t>
  </si>
  <si>
    <t>Un</t>
  </si>
  <si>
    <t>Conctre</t>
  </si>
  <si>
    <t>FW</t>
  </si>
  <si>
    <t>RF</t>
  </si>
  <si>
    <t>1m</t>
  </si>
  <si>
    <t>Unskill for Chipping</t>
  </si>
  <si>
    <t>14.A.02</t>
  </si>
  <si>
    <t>Glazed tiles fixed to walls including bedding in cement mortar 1:2 and raking in ground floor.(Specials measured separately)</t>
  </si>
  <si>
    <t>BRC</t>
  </si>
  <si>
    <t>Sqr</t>
  </si>
  <si>
    <t>Glazed Tiles (8''x12")</t>
  </si>
  <si>
    <t>M-156</t>
  </si>
  <si>
    <t>Allow 10% of Items ( 1.01 ) for Wastage</t>
  </si>
  <si>
    <t>-</t>
  </si>
  <si>
    <t>M-026</t>
  </si>
  <si>
    <t>Sand</t>
  </si>
  <si>
    <t>M-113</t>
  </si>
  <si>
    <t>Cu</t>
  </si>
  <si>
    <t>White Cement</t>
  </si>
  <si>
    <t>M-159</t>
  </si>
  <si>
    <t>Lbs</t>
  </si>
  <si>
    <t>Mason</t>
  </si>
  <si>
    <t>L-009</t>
  </si>
  <si>
    <t>L-007</t>
  </si>
  <si>
    <t>1Sq</t>
  </si>
  <si>
    <t>05.A.04</t>
  </si>
  <si>
    <t>Mixing Concrete 1:3:6 (3/4")</t>
  </si>
  <si>
    <t>1 1/2 " Metal</t>
  </si>
  <si>
    <t>Hire of Mixer</t>
  </si>
  <si>
    <t>Water</t>
  </si>
  <si>
    <t>Rate for 50mm tk</t>
  </si>
  <si>
    <t>05.A.05</t>
  </si>
  <si>
    <t>Mixing Concrete 1:1.5:3(3/4")</t>
  </si>
  <si>
    <t>3/4 " Metal</t>
  </si>
  <si>
    <t>Random Rubble Masonry in cement mortar 1:5 in foundation</t>
  </si>
  <si>
    <t>6" - 9" Rubble</t>
  </si>
  <si>
    <r>
      <rPr>
        <b/>
        <sz val="10"/>
        <rFont val="Times New Roman"/>
        <charset val="0"/>
      </rPr>
      <t>1ft</t>
    </r>
    <r>
      <rPr>
        <b/>
        <vertAlign val="superscript"/>
        <sz val="10"/>
        <rFont val="Times New Roman"/>
        <charset val="0"/>
      </rPr>
      <t>3</t>
    </r>
  </si>
  <si>
    <t>Form work</t>
  </si>
  <si>
    <t>Uses</t>
  </si>
  <si>
    <t>This is not BSR Norms</t>
  </si>
  <si>
    <t>2" x 2" Class II Timber In Yokes</t>
  </si>
  <si>
    <t>L.ft</t>
  </si>
  <si>
    <t>4"X2" Timber bearers</t>
  </si>
  <si>
    <t>Wire Nails</t>
  </si>
  <si>
    <t>Carpenter</t>
  </si>
  <si>
    <t>U / SK  Labourer-Removing</t>
  </si>
  <si>
    <t>Saffolding 5%</t>
  </si>
  <si>
    <t>1 Use</t>
  </si>
  <si>
    <r>
      <rPr>
        <b/>
        <sz val="10"/>
        <rFont val="Times New Roman"/>
        <charset val="0"/>
      </rPr>
      <t>1m</t>
    </r>
    <r>
      <rPr>
        <b/>
        <vertAlign val="superscript"/>
        <sz val="10"/>
        <rFont val="Times New Roman"/>
        <charset val="0"/>
      </rPr>
      <t>2</t>
    </r>
  </si>
  <si>
    <t>Tor steel reinforcement to lintels, slabs, beams or columns bent to shape, laid in position and tied with G.I. Wire as directed.</t>
  </si>
  <si>
    <t>Cwt.</t>
  </si>
  <si>
    <t>M.S./Tor Steel Rods including transport to site</t>
  </si>
  <si>
    <t>kg</t>
  </si>
  <si>
    <t>Allow 20% of Items ( 1.01 ) for Wastage</t>
  </si>
  <si>
    <t>BSR norm change for labour</t>
  </si>
  <si>
    <t>16 BWG Binding Wire</t>
  </si>
  <si>
    <t>Allow 1.5% of Items ( 1.01 ) for spaces or chairs</t>
  </si>
  <si>
    <t>1Cwt</t>
  </si>
  <si>
    <t>1Kg</t>
  </si>
  <si>
    <t>Apply waterproofing</t>
  </si>
  <si>
    <t>Mix Gurad</t>
  </si>
  <si>
    <t>20Kg</t>
  </si>
  <si>
    <t>Allow 5% of Items ( 1.01 ) for Wastage</t>
  </si>
  <si>
    <t>Concrete Protevtive screed</t>
  </si>
  <si>
    <t>Allow 5% of Items ( 1.05, 1.06 ) for Scaffolding</t>
  </si>
  <si>
    <t>Rate for</t>
  </si>
  <si>
    <t>Epoxy paint</t>
  </si>
  <si>
    <t xml:space="preserve">2K Epoxy Floor Paint </t>
  </si>
  <si>
    <t>Skill</t>
  </si>
  <si>
    <t>6" Thick hollow block work in cement and sand mortar 1:5 with cavities unfilled.</t>
  </si>
  <si>
    <t>Hollow Cement Blocks (16"x 8"x 4")</t>
  </si>
  <si>
    <t>Add item for lintol</t>
  </si>
  <si>
    <t>09.02</t>
  </si>
  <si>
    <t>9" thick brick wall cement sand 1:5 in ground floor</t>
  </si>
  <si>
    <t>M-019</t>
  </si>
  <si>
    <t>M-157</t>
  </si>
  <si>
    <t>U / SK  Labour</t>
  </si>
  <si>
    <t>Allow 3% of Items (1.06,  1.07 ) for Scaffolding</t>
  </si>
  <si>
    <t>5/8" thick Plastering to wall in lime cement and sand 1:1:5 finished smooth with lime putty floating.-Internal plaster</t>
  </si>
  <si>
    <t>Chicken mesh</t>
  </si>
  <si>
    <t>Slaked Lime</t>
  </si>
  <si>
    <t>Mason for revels plstering</t>
  </si>
  <si>
    <t>Allow 3% of Items ( 1.05, 1.06 ) for Scaffolding</t>
  </si>
  <si>
    <t>1ft2</t>
  </si>
  <si>
    <t>1m2</t>
  </si>
  <si>
    <t>13.A.01</t>
  </si>
  <si>
    <t>5/8" thick plastering to wall in Cement and sand 1:3 including Cement floating -External plaster</t>
  </si>
  <si>
    <t>Allow 3% of Items ( 1.04, 1.05 ) for Scaffolding</t>
  </si>
  <si>
    <r>
      <rPr>
        <b/>
        <sz val="10"/>
        <rFont val="MS Sans Serif"/>
        <charset val="0"/>
      </rPr>
      <t>1ft</t>
    </r>
    <r>
      <rPr>
        <b/>
        <vertAlign val="superscript"/>
        <sz val="10"/>
        <rFont val="MS Sans Serif"/>
        <charset val="0"/>
      </rPr>
      <t>2</t>
    </r>
  </si>
  <si>
    <r>
      <rPr>
        <b/>
        <sz val="10"/>
        <rFont val="MS Sans Serif"/>
        <charset val="0"/>
      </rPr>
      <t>1m</t>
    </r>
    <r>
      <rPr>
        <b/>
        <vertAlign val="superscript"/>
        <sz val="10"/>
        <rFont val="MS Sans Serif"/>
        <charset val="0"/>
      </rPr>
      <t>2</t>
    </r>
  </si>
  <si>
    <t xml:space="preserve">3/4" thick rendering in cement and sand 1:3 finished smooth </t>
  </si>
  <si>
    <t>U / SK  Labourer - curing</t>
  </si>
  <si>
    <t>Preparing and apply one coat of Alkali resistant primer and two coats of emulsion paint to walls.</t>
  </si>
  <si>
    <t>litre</t>
  </si>
  <si>
    <t>Emulsion Paint</t>
  </si>
  <si>
    <t>6" Brush</t>
  </si>
  <si>
    <t>Sand Papers</t>
  </si>
  <si>
    <t>Sheet</t>
  </si>
  <si>
    <t>Painter</t>
  </si>
  <si>
    <t>Allow 3% of Items (1.06) for Scaffolding</t>
  </si>
  <si>
    <t>1 Sq</t>
  </si>
  <si>
    <r>
      <rPr>
        <b/>
        <sz val="10"/>
        <rFont val="Times New Roman"/>
        <charset val="0"/>
      </rPr>
      <t>1ft</t>
    </r>
    <r>
      <rPr>
        <b/>
        <vertAlign val="superscript"/>
        <sz val="10"/>
        <rFont val="Times New Roman"/>
        <charset val="0"/>
      </rPr>
      <t>2</t>
    </r>
  </si>
  <si>
    <t>Preparing and apply one coat of  primer and two coats of whethersheild paint to walls.</t>
  </si>
  <si>
    <t>Whethersheild Paint</t>
  </si>
  <si>
    <t>Preparing and apply one coat of alkali resistant primer and two coats of emulsion paint to soffit of slabs</t>
  </si>
  <si>
    <t>Sq</t>
  </si>
  <si>
    <t>Sand papers</t>
  </si>
  <si>
    <t>Allow 3% of Items (1.05 ) for Scaffolding</t>
  </si>
  <si>
    <t>Ground floor</t>
  </si>
  <si>
    <t>Supply</t>
  </si>
  <si>
    <t>1 nos</t>
  </si>
  <si>
    <t>Glazed Tiles (6''x12")</t>
  </si>
  <si>
    <t>1 m2</t>
  </si>
  <si>
    <t>Container box- for office</t>
  </si>
  <si>
    <t>WS</t>
  </si>
  <si>
    <t xml:space="preserve"> PM</t>
  </si>
  <si>
    <t>Part time</t>
  </si>
  <si>
    <t>1/ Month</t>
  </si>
  <si>
    <t>PE</t>
  </si>
  <si>
    <t>QS</t>
  </si>
  <si>
    <t>Transport- Vehicle hire</t>
  </si>
  <si>
    <t>Test report</t>
  </si>
  <si>
    <t>Welfare -Tea- staff</t>
  </si>
  <si>
    <t>Welfare -Tea- Labour</t>
  </si>
  <si>
    <t>Stationery</t>
  </si>
  <si>
    <t>Compressor</t>
  </si>
  <si>
    <t>Safety</t>
  </si>
  <si>
    <t>Safety boot</t>
  </si>
  <si>
    <t>Safety helmet</t>
  </si>
  <si>
    <t>Gloves</t>
  </si>
  <si>
    <t>Safety overroll</t>
  </si>
  <si>
    <t>Safety clear glass</t>
  </si>
  <si>
    <t>Safety full body harness</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</si>
</sst>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3" formatCode="_(* #,##0.00_);_(* \(#,##0.00\);_(* &quot;-&quot;??_);_(@_)"/>
    <numFmt numFmtId="176" formatCode="_-&quot;£&quot;* #,##0.00_-;\-&quot;£&quot;* #,##0.00_-;_-&quot;£&quot;* &quot;-&quot;??_-;_-@_-"/>
    <numFmt numFmtId="177" formatCode="_-* #,##0_-;\-* #,##0_-;_-* &quot;-&quot;_-;_-@_-"/>
    <numFmt numFmtId="178" formatCode="_-&quot;£&quot;* #,##0_-;\-&quot;£&quot;* #,##0_-;_-&quot;£&quot;* &quot;-&quot;_-;_-@_-"/>
    <numFmt numFmtId="179" formatCode="_-* #,##0.00_-;\-* #,##0.00_-;_-* &quot;-&quot;??_-;_-@_-"/>
    <numFmt numFmtId="180" formatCode="_(* #,##0.000_);_(* \(#,##0.000\);_(* &quot;-&quot;??.0_);_(@_)"/>
    <numFmt numFmtId="181" formatCode="_-* #,##0.000_-;\-* #,##0.000_-;_-* &quot;-&quot;??.0_-;_-@_-"/>
    <numFmt numFmtId="182" formatCode="0.000"/>
  </numFmts>
  <fonts count="46">
    <font>
      <sz val="11"/>
      <color theme="1"/>
      <name val="Calibri"/>
      <charset val="134"/>
      <scheme val="minor"/>
    </font>
    <font>
      <sz val="10"/>
      <color theme="1"/>
      <name val="Calibri"/>
      <charset val="134"/>
      <scheme val="minor"/>
    </font>
    <font>
      <b/>
      <sz val="10"/>
      <color theme="1"/>
      <name val="Calibri"/>
      <charset val="134"/>
      <scheme val="minor"/>
    </font>
    <font>
      <b/>
      <sz val="10"/>
      <name val="Times New Roman"/>
      <charset val="0"/>
    </font>
    <font>
      <u/>
      <sz val="10"/>
      <name val="Times New Roman"/>
      <charset val="0"/>
    </font>
    <font>
      <sz val="10"/>
      <name val="Times New Roman"/>
      <charset val="0"/>
    </font>
    <font>
      <b/>
      <u/>
      <sz val="10"/>
      <name val="Times New Roman"/>
      <charset val="0"/>
    </font>
    <font>
      <sz val="9"/>
      <name val="MS Sans Serif"/>
      <charset val="0"/>
    </font>
    <font>
      <b/>
      <sz val="10"/>
      <name val="MS Sans Serif"/>
      <charset val="0"/>
    </font>
    <font>
      <u/>
      <sz val="10"/>
      <name val="MS Sans Serif"/>
      <charset val="0"/>
    </font>
    <font>
      <sz val="10"/>
      <name val="MS Sans Serif"/>
      <charset val="0"/>
    </font>
    <font>
      <b/>
      <u/>
      <sz val="10"/>
      <name val="MS Sans Serif"/>
      <charset val="0"/>
    </font>
    <font>
      <sz val="10"/>
      <color theme="1"/>
      <name val="Calibri"/>
      <charset val="134"/>
    </font>
    <font>
      <b/>
      <sz val="12"/>
      <color theme="1"/>
      <name val="Calibri"/>
      <charset val="134"/>
    </font>
    <font>
      <b/>
      <sz val="10"/>
      <color theme="1"/>
      <name val="Calibri"/>
      <charset val="134"/>
    </font>
    <font>
      <sz val="12"/>
      <color theme="1"/>
      <name val="Calibri"/>
      <charset val="134"/>
    </font>
    <font>
      <sz val="10"/>
      <name val="Calibri"/>
      <charset val="0"/>
    </font>
    <font>
      <b/>
      <u/>
      <sz val="10"/>
      <color theme="1"/>
      <name val="Cambria"/>
      <charset val="134"/>
    </font>
    <font>
      <b/>
      <sz val="10"/>
      <color theme="1"/>
      <name val="Cambria"/>
      <charset val="134"/>
    </font>
    <font>
      <sz val="10"/>
      <color theme="1"/>
      <name val="Cambria"/>
      <charset val="134"/>
    </font>
    <font>
      <sz val="10"/>
      <name val="Cambria"/>
      <charset val="134"/>
    </font>
    <font>
      <sz val="11"/>
      <color theme="1"/>
      <name val="Cambria"/>
      <charset val="134"/>
    </font>
    <font>
      <sz val="10"/>
      <color rgb="FFFF000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Arial"/>
      <charset val="134"/>
    </font>
    <font>
      <b/>
      <vertAlign val="superscript"/>
      <sz val="10"/>
      <name val="Times New Roman"/>
      <charset val="0"/>
    </font>
    <font>
      <b/>
      <vertAlign val="superscript"/>
      <sz val="10"/>
      <name val="MS Sans Serif"/>
      <charset val="0"/>
    </font>
    <font>
      <vertAlign val="superscript"/>
      <sz val="10"/>
      <color theme="1"/>
      <name val="Cambria"/>
      <charset val="134"/>
    </font>
  </fonts>
  <fills count="43">
    <fill>
      <patternFill patternType="none"/>
    </fill>
    <fill>
      <patternFill patternType="gray125"/>
    </fill>
    <fill>
      <patternFill patternType="solid">
        <fgColor rgb="FFFFFF00"/>
        <bgColor indexed="64"/>
      </patternFill>
    </fill>
    <fill>
      <patternFill patternType="solid">
        <fgColor indexed="44"/>
        <bgColor indexed="64"/>
      </patternFill>
    </fill>
    <fill>
      <patternFill patternType="solid">
        <fgColor indexed="13"/>
        <bgColor indexed="64"/>
      </patternFill>
    </fill>
    <fill>
      <patternFill patternType="solid">
        <fgColor indexed="9"/>
        <bgColor indexed="64"/>
      </patternFill>
    </fill>
    <fill>
      <patternFill patternType="solid">
        <fgColor theme="7" tint="0.6"/>
        <bgColor indexed="64"/>
      </patternFill>
    </fill>
    <fill>
      <patternFill patternType="solid">
        <fgColor theme="9" tint="0.4"/>
        <bgColor indexed="64"/>
      </patternFill>
    </fill>
    <fill>
      <patternFill patternType="solid">
        <fgColor rgb="FF92D050"/>
        <bgColor indexed="64"/>
      </patternFill>
    </fill>
    <fill>
      <patternFill patternType="solid">
        <fgColor theme="5" tint="0.4"/>
        <bgColor indexed="64"/>
      </patternFill>
    </fill>
    <fill>
      <patternFill patternType="solid">
        <fgColor theme="3" tint="0.4"/>
        <bgColor indexed="64"/>
      </patternFill>
    </fill>
    <fill>
      <patternFill patternType="solid">
        <fgColor theme="0" tint="-0.049989318521683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style="thin">
        <color auto="1"/>
      </right>
      <top style="thin">
        <color auto="1"/>
      </top>
      <bottom style="hair">
        <color auto="1"/>
      </bottom>
      <diagonal/>
    </border>
    <border>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right style="thin">
        <color auto="1"/>
      </right>
      <top style="hair">
        <color auto="1"/>
      </top>
      <bottom style="hair">
        <color auto="1"/>
      </bottom>
      <diagonal/>
    </border>
    <border>
      <left/>
      <right style="thin">
        <color auto="1"/>
      </right>
      <top style="hair">
        <color auto="1"/>
      </top>
      <bottom/>
      <diagonal/>
    </border>
    <border>
      <left style="thin">
        <color auto="1"/>
      </left>
      <right style="thin">
        <color auto="1"/>
      </right>
      <top style="hair">
        <color auto="1"/>
      </top>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right/>
      <top style="hair">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diagonal/>
    </border>
    <border>
      <left style="thin">
        <color auto="1"/>
      </left>
      <right/>
      <top/>
      <bottom/>
      <diagonal/>
    </border>
    <border>
      <left style="thin">
        <color auto="1"/>
      </left>
      <right style="thin">
        <color auto="1"/>
      </right>
      <top style="thin">
        <color auto="1"/>
      </top>
      <bottom style="double">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Font="0" applyFill="0" applyBorder="0" applyAlignment="0" applyProtection="0"/>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178" fontId="0" fillId="0" borderId="0" applyFon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0" fillId="12" borderId="22" applyNumberFormat="0" applyFont="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23" applyNumberFormat="0" applyFill="0" applyAlignment="0" applyProtection="0">
      <alignment vertical="center"/>
    </xf>
    <xf numFmtId="0" fontId="29" fillId="0" borderId="23" applyNumberFormat="0" applyFill="0" applyAlignment="0" applyProtection="0">
      <alignment vertical="center"/>
    </xf>
    <xf numFmtId="0" fontId="30" fillId="0" borderId="24" applyNumberFormat="0" applyFill="0" applyAlignment="0" applyProtection="0">
      <alignment vertical="center"/>
    </xf>
    <xf numFmtId="0" fontId="30" fillId="0" borderId="0" applyNumberFormat="0" applyFill="0" applyBorder="0" applyAlignment="0" applyProtection="0">
      <alignment vertical="center"/>
    </xf>
    <xf numFmtId="0" fontId="31" fillId="13" borderId="25" applyNumberFormat="0" applyAlignment="0" applyProtection="0">
      <alignment vertical="center"/>
    </xf>
    <xf numFmtId="0" fontId="32" fillId="14" borderId="26" applyNumberFormat="0" applyAlignment="0" applyProtection="0">
      <alignment vertical="center"/>
    </xf>
    <xf numFmtId="0" fontId="33" fillId="14" borderId="25" applyNumberFormat="0" applyAlignment="0" applyProtection="0">
      <alignment vertical="center"/>
    </xf>
    <xf numFmtId="0" fontId="34" fillId="15" borderId="27" applyNumberFormat="0" applyAlignment="0" applyProtection="0">
      <alignment vertical="center"/>
    </xf>
    <xf numFmtId="0" fontId="35" fillId="0" borderId="28" applyNumberFormat="0" applyFill="0" applyAlignment="0" applyProtection="0">
      <alignment vertical="center"/>
    </xf>
    <xf numFmtId="0" fontId="36" fillId="0" borderId="29" applyNumberFormat="0" applyFill="0" applyAlignment="0" applyProtection="0">
      <alignment vertical="center"/>
    </xf>
    <xf numFmtId="0" fontId="37" fillId="16" borderId="0" applyNumberFormat="0" applyBorder="0" applyAlignment="0" applyProtection="0">
      <alignment vertical="center"/>
    </xf>
    <xf numFmtId="0" fontId="38" fillId="17" borderId="0" applyNumberFormat="0" applyBorder="0" applyAlignment="0" applyProtection="0">
      <alignment vertical="center"/>
    </xf>
    <xf numFmtId="0" fontId="39" fillId="18" borderId="0" applyNumberFormat="0" applyBorder="0" applyAlignment="0" applyProtection="0">
      <alignment vertical="center"/>
    </xf>
    <xf numFmtId="0" fontId="40" fillId="19" borderId="0" applyNumberFormat="0" applyBorder="0" applyAlignment="0" applyProtection="0">
      <alignment vertical="center"/>
    </xf>
    <xf numFmtId="0" fontId="41" fillId="20" borderId="0" applyNumberFormat="0" applyBorder="0" applyAlignment="0" applyProtection="0">
      <alignment vertical="center"/>
    </xf>
    <xf numFmtId="0" fontId="41" fillId="21" borderId="0" applyNumberFormat="0" applyBorder="0" applyAlignment="0" applyProtection="0">
      <alignment vertical="center"/>
    </xf>
    <xf numFmtId="0" fontId="40" fillId="22" borderId="0" applyNumberFormat="0" applyBorder="0" applyAlignment="0" applyProtection="0">
      <alignment vertical="center"/>
    </xf>
    <xf numFmtId="0" fontId="40" fillId="23" borderId="0" applyNumberFormat="0" applyBorder="0" applyAlignment="0" applyProtection="0">
      <alignment vertical="center"/>
    </xf>
    <xf numFmtId="0" fontId="41" fillId="24" borderId="0" applyNumberFormat="0" applyBorder="0" applyAlignment="0" applyProtection="0">
      <alignment vertical="center"/>
    </xf>
    <xf numFmtId="0" fontId="41" fillId="25" borderId="0" applyNumberFormat="0" applyBorder="0" applyAlignment="0" applyProtection="0">
      <alignment vertical="center"/>
    </xf>
    <xf numFmtId="0" fontId="40" fillId="26" borderId="0" applyNumberFormat="0" applyBorder="0" applyAlignment="0" applyProtection="0">
      <alignment vertical="center"/>
    </xf>
    <xf numFmtId="0" fontId="40" fillId="27" borderId="0" applyNumberFormat="0" applyBorder="0" applyAlignment="0" applyProtection="0">
      <alignment vertical="center"/>
    </xf>
    <xf numFmtId="0" fontId="41" fillId="28" borderId="0" applyNumberFormat="0" applyBorder="0" applyAlignment="0" applyProtection="0">
      <alignment vertical="center"/>
    </xf>
    <xf numFmtId="0" fontId="41" fillId="29" borderId="0" applyNumberFormat="0" applyBorder="0" applyAlignment="0" applyProtection="0">
      <alignment vertical="center"/>
    </xf>
    <xf numFmtId="0" fontId="40" fillId="30" borderId="0" applyNumberFormat="0" applyBorder="0" applyAlignment="0" applyProtection="0">
      <alignment vertical="center"/>
    </xf>
    <xf numFmtId="0" fontId="40" fillId="31" borderId="0" applyNumberFormat="0" applyBorder="0" applyAlignment="0" applyProtection="0">
      <alignment vertical="center"/>
    </xf>
    <xf numFmtId="0" fontId="41" fillId="32" borderId="0" applyNumberFormat="0" applyBorder="0" applyAlignment="0" applyProtection="0">
      <alignment vertical="center"/>
    </xf>
    <xf numFmtId="0" fontId="41" fillId="33" borderId="0" applyNumberFormat="0" applyBorder="0" applyAlignment="0" applyProtection="0">
      <alignment vertical="center"/>
    </xf>
    <xf numFmtId="0" fontId="40" fillId="34" borderId="0" applyNumberFormat="0" applyBorder="0" applyAlignment="0" applyProtection="0">
      <alignment vertical="center"/>
    </xf>
    <xf numFmtId="0" fontId="40" fillId="35" borderId="0" applyNumberFormat="0" applyBorder="0" applyAlignment="0" applyProtection="0">
      <alignment vertical="center"/>
    </xf>
    <xf numFmtId="0" fontId="41" fillId="36" borderId="0" applyNumberFormat="0" applyBorder="0" applyAlignment="0" applyProtection="0">
      <alignment vertical="center"/>
    </xf>
    <xf numFmtId="0" fontId="41" fillId="37" borderId="0" applyNumberFormat="0" applyBorder="0" applyAlignment="0" applyProtection="0">
      <alignment vertical="center"/>
    </xf>
    <xf numFmtId="0" fontId="40" fillId="38" borderId="0" applyNumberFormat="0" applyBorder="0" applyAlignment="0" applyProtection="0">
      <alignment vertical="center"/>
    </xf>
    <xf numFmtId="0" fontId="40" fillId="39" borderId="0" applyNumberFormat="0" applyBorder="0" applyAlignment="0" applyProtection="0">
      <alignment vertical="center"/>
    </xf>
    <xf numFmtId="0" fontId="41" fillId="40" borderId="0" applyNumberFormat="0" applyBorder="0" applyAlignment="0" applyProtection="0">
      <alignment vertical="center"/>
    </xf>
    <xf numFmtId="0" fontId="41" fillId="41" borderId="0" applyNumberFormat="0" applyBorder="0" applyAlignment="0" applyProtection="0">
      <alignment vertical="center"/>
    </xf>
    <xf numFmtId="0" fontId="40" fillId="42" borderId="0" applyNumberFormat="0" applyBorder="0" applyAlignment="0" applyProtection="0">
      <alignment vertical="center"/>
    </xf>
    <xf numFmtId="0" fontId="42" fillId="0" borderId="0"/>
  </cellStyleXfs>
  <cellXfs count="254">
    <xf numFmtId="0" fontId="0" fillId="0" borderId="0" xfId="0"/>
    <xf numFmtId="0" fontId="1" fillId="0" borderId="0" xfId="0" applyFont="1" applyFill="1" applyAlignment="1"/>
    <xf numFmtId="0" fontId="0" fillId="0" borderId="0" xfId="0" applyFont="1" applyFill="1" applyAlignment="1"/>
    <xf numFmtId="179" fontId="1" fillId="0" borderId="0" xfId="1" applyNumberFormat="1" applyFont="1" applyAlignment="1">
      <alignment horizontal="center"/>
    </xf>
    <xf numFmtId="179" fontId="1" fillId="0" borderId="0" xfId="1" applyNumberFormat="1" applyFont="1" applyAlignment="1"/>
    <xf numFmtId="0" fontId="2" fillId="0" borderId="0" xfId="0" applyFont="1" applyFill="1" applyAlignment="1"/>
    <xf numFmtId="9" fontId="1" fillId="0" borderId="0" xfId="3" applyNumberFormat="1" applyFont="1" applyAlignment="1">
      <alignment horizontal="center"/>
    </xf>
    <xf numFmtId="0" fontId="1" fillId="0" borderId="0" xfId="0" applyFont="1" applyFill="1" applyAlignment="1">
      <alignment horizontal="center"/>
    </xf>
    <xf numFmtId="179" fontId="1" fillId="2" borderId="0" xfId="1" applyNumberFormat="1" applyFont="1" applyFill="1" applyAlignment="1"/>
    <xf numFmtId="179" fontId="2" fillId="0" borderId="0" xfId="0" applyNumberFormat="1" applyFont="1" applyFill="1" applyAlignment="1"/>
    <xf numFmtId="9" fontId="1" fillId="0" borderId="0" xfId="3" applyNumberFormat="1" applyFont="1" applyAlignment="1"/>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left" vertical="center" wrapText="1"/>
    </xf>
    <xf numFmtId="0" fontId="4" fillId="0" borderId="0" xfId="0" applyFont="1" applyFill="1" applyBorder="1" applyAlignment="1">
      <alignment vertical="top"/>
    </xf>
    <xf numFmtId="0" fontId="4" fillId="0" borderId="0" xfId="0" applyFont="1" applyFill="1" applyBorder="1" applyAlignment="1">
      <alignment horizontal="center" vertical="top"/>
    </xf>
    <xf numFmtId="0" fontId="4" fillId="0" borderId="0" xfId="0" applyFont="1" applyFill="1" applyBorder="1" applyAlignment="1">
      <alignment horizontal="right" vertical="top"/>
    </xf>
    <xf numFmtId="0" fontId="5" fillId="0" borderId="0" xfId="0" applyFont="1" applyFill="1" applyBorder="1" applyAlignment="1">
      <alignment vertical="top"/>
    </xf>
    <xf numFmtId="0" fontId="5" fillId="0" borderId="3" xfId="0" applyFont="1" applyFill="1" applyBorder="1" applyAlignment="1">
      <alignment horizontal="center" vertical="center"/>
    </xf>
    <xf numFmtId="0" fontId="5" fillId="0" borderId="3" xfId="0" applyFont="1" applyFill="1" applyBorder="1" applyAlignment="1">
      <alignment vertical="center" wrapText="1"/>
    </xf>
    <xf numFmtId="4" fontId="5" fillId="0" borderId="3" xfId="0" applyNumberFormat="1" applyFont="1" applyFill="1" applyBorder="1" applyAlignment="1">
      <alignment horizontal="right" vertical="center"/>
    </xf>
    <xf numFmtId="0" fontId="5" fillId="0" borderId="0" xfId="0" applyFont="1" applyFill="1" applyBorder="1" applyAlignment="1">
      <alignment vertical="center"/>
    </xf>
    <xf numFmtId="0" fontId="5" fillId="0" borderId="1" xfId="0" applyFont="1" applyFill="1" applyBorder="1" applyAlignment="1">
      <alignment horizontal="left" vertical="center"/>
    </xf>
    <xf numFmtId="0" fontId="5" fillId="0" borderId="4" xfId="0" applyFont="1" applyFill="1" applyBorder="1" applyAlignment="1">
      <alignment horizontal="center" vertical="center"/>
    </xf>
    <xf numFmtId="0" fontId="5" fillId="0" borderId="4" xfId="0" applyFont="1" applyFill="1" applyBorder="1" applyAlignment="1">
      <alignment horizontal="right" vertical="center"/>
    </xf>
    <xf numFmtId="0" fontId="5" fillId="0" borderId="0" xfId="0" applyFont="1" applyFill="1" applyAlignment="1">
      <alignment vertical="top"/>
    </xf>
    <xf numFmtId="0" fontId="5" fillId="0" borderId="0" xfId="0" applyFont="1" applyFill="1" applyAlignment="1">
      <alignment vertical="center"/>
    </xf>
    <xf numFmtId="0" fontId="5" fillId="0" borderId="0" xfId="0" applyFont="1" applyFill="1" applyAlignment="1">
      <alignment horizontal="left" vertical="center"/>
    </xf>
    <xf numFmtId="0" fontId="5" fillId="0" borderId="0" xfId="0" applyFont="1" applyFill="1" applyAlignment="1">
      <alignment horizontal="center" vertical="center"/>
    </xf>
    <xf numFmtId="0" fontId="5" fillId="0" borderId="0" xfId="0" applyFont="1" applyFill="1" applyAlignment="1">
      <alignment horizontal="right" vertical="center"/>
    </xf>
    <xf numFmtId="0" fontId="3" fillId="0" borderId="3" xfId="0" applyFont="1" applyFill="1" applyBorder="1" applyAlignment="1">
      <alignment horizontal="center" vertical="center"/>
    </xf>
    <xf numFmtId="0" fontId="6" fillId="0" borderId="0" xfId="0" applyFont="1" applyFill="1" applyBorder="1" applyAlignment="1">
      <alignment vertical="top"/>
    </xf>
    <xf numFmtId="0" fontId="6" fillId="0" borderId="0" xfId="0" applyFont="1" applyFill="1" applyBorder="1" applyAlignment="1">
      <alignment vertical="center"/>
    </xf>
    <xf numFmtId="0" fontId="3" fillId="4" borderId="3" xfId="0" applyFont="1" applyFill="1" applyBorder="1" applyAlignment="1">
      <alignment horizontal="left" vertical="center"/>
    </xf>
    <xf numFmtId="0" fontId="3" fillId="4" borderId="3" xfId="0" applyFont="1" applyFill="1" applyBorder="1" applyAlignment="1">
      <alignment horizontal="center" vertical="center"/>
    </xf>
    <xf numFmtId="0" fontId="3" fillId="4" borderId="3" xfId="0" applyFont="1" applyFill="1" applyBorder="1" applyAlignment="1">
      <alignment horizontal="right" vertical="center"/>
    </xf>
    <xf numFmtId="179" fontId="3" fillId="4" borderId="3" xfId="1" applyNumberFormat="1" applyFont="1" applyFill="1" applyBorder="1" applyAlignment="1">
      <alignment horizontal="center" vertical="center"/>
    </xf>
    <xf numFmtId="9" fontId="3" fillId="4" borderId="3" xfId="3" applyFont="1" applyFill="1" applyBorder="1" applyAlignment="1">
      <alignment horizontal="right" vertical="center"/>
    </xf>
    <xf numFmtId="0" fontId="5" fillId="0" borderId="3" xfId="0" applyFont="1" applyFill="1" applyBorder="1" applyAlignment="1">
      <alignment horizontal="left" vertical="center"/>
    </xf>
    <xf numFmtId="179" fontId="5" fillId="0" borderId="3" xfId="0" applyNumberFormat="1" applyFont="1" applyFill="1" applyBorder="1" applyAlignment="1">
      <alignment horizontal="center" vertical="center"/>
    </xf>
    <xf numFmtId="179" fontId="4" fillId="0" borderId="0" xfId="1" applyNumberFormat="1" applyFont="1" applyAlignment="1">
      <alignment horizontal="right" vertical="top"/>
    </xf>
    <xf numFmtId="179" fontId="5" fillId="0" borderId="3" xfId="1" applyNumberFormat="1" applyFont="1" applyBorder="1" applyAlignment="1">
      <alignment horizontal="center" vertical="center"/>
    </xf>
    <xf numFmtId="179" fontId="5" fillId="0" borderId="3" xfId="1" applyNumberFormat="1" applyFont="1" applyBorder="1" applyAlignment="1">
      <alignment horizontal="right" vertical="center"/>
    </xf>
    <xf numFmtId="179" fontId="5" fillId="0" borderId="0" xfId="1" applyNumberFormat="1" applyFont="1" applyAlignment="1">
      <alignment horizontal="right" vertical="center"/>
    </xf>
    <xf numFmtId="179" fontId="3" fillId="4" borderId="3" xfId="1" applyNumberFormat="1" applyFont="1" applyFill="1" applyBorder="1" applyAlignment="1">
      <alignment horizontal="right" vertical="center"/>
    </xf>
    <xf numFmtId="179" fontId="1" fillId="0" borderId="0" xfId="0" applyNumberFormat="1" applyFont="1" applyFill="1" applyAlignment="1"/>
    <xf numFmtId="179" fontId="3" fillId="4" borderId="3" xfId="1" applyNumberFormat="1" applyFont="1" applyFill="1" applyBorder="1" applyAlignment="1">
      <alignment vertical="center"/>
    </xf>
    <xf numFmtId="180" fontId="5" fillId="0" borderId="3" xfId="1" applyNumberFormat="1" applyFont="1" applyFill="1" applyBorder="1" applyAlignment="1">
      <alignment horizontal="center" vertical="center"/>
    </xf>
    <xf numFmtId="43" fontId="5" fillId="0" borderId="3" xfId="1" applyFont="1" applyFill="1" applyBorder="1" applyAlignment="1">
      <alignment horizontal="center" vertical="center"/>
    </xf>
    <xf numFmtId="0" fontId="3" fillId="3" borderId="3" xfId="0" applyFont="1" applyFill="1" applyBorder="1" applyAlignment="1">
      <alignment vertical="center"/>
    </xf>
    <xf numFmtId="179" fontId="3" fillId="3" borderId="3" xfId="1" applyNumberFormat="1" applyFont="1" applyFill="1" applyBorder="1" applyAlignment="1">
      <alignment horizontal="left" vertical="center" wrapText="1"/>
    </xf>
    <xf numFmtId="179" fontId="4" fillId="0" borderId="0" xfId="1" applyNumberFormat="1" applyFont="1" applyFill="1" applyBorder="1" applyAlignment="1">
      <alignment horizontal="center" vertical="top"/>
    </xf>
    <xf numFmtId="179" fontId="5" fillId="0" borderId="3" xfId="1" applyNumberFormat="1" applyFont="1" applyFill="1" applyBorder="1" applyAlignment="1">
      <alignment horizontal="center" vertical="center"/>
    </xf>
    <xf numFmtId="0" fontId="5" fillId="0" borderId="3" xfId="0" applyFont="1" applyFill="1" applyBorder="1" applyAlignment="1">
      <alignment horizontal="right" vertical="center"/>
    </xf>
    <xf numFmtId="0" fontId="6" fillId="0" borderId="0" xfId="0" applyFont="1" applyFill="1" applyAlignment="1">
      <alignment vertical="top"/>
    </xf>
    <xf numFmtId="0" fontId="6" fillId="0" borderId="0" xfId="0" applyFont="1" applyFill="1" applyAlignment="1">
      <alignment vertical="center"/>
    </xf>
    <xf numFmtId="179" fontId="4" fillId="0" borderId="0" xfId="1" applyNumberFormat="1" applyFont="1" applyAlignment="1">
      <alignment horizontal="right" vertical="center"/>
    </xf>
    <xf numFmtId="179" fontId="5" fillId="0" borderId="4" xfId="1" applyNumberFormat="1" applyFont="1" applyFill="1" applyBorder="1" applyAlignment="1">
      <alignment horizontal="center" vertical="center"/>
    </xf>
    <xf numFmtId="0" fontId="3" fillId="4" borderId="0" xfId="0" applyFont="1" applyFill="1" applyAlignment="1">
      <alignment horizontal="left" vertical="center"/>
    </xf>
    <xf numFmtId="0" fontId="3" fillId="4" borderId="0" xfId="0" applyFont="1" applyFill="1" applyAlignment="1">
      <alignment horizontal="center" vertical="center"/>
    </xf>
    <xf numFmtId="179" fontId="3" fillId="4" borderId="0" xfId="1" applyNumberFormat="1" applyFont="1" applyFill="1" applyAlignment="1">
      <alignment horizontal="center" vertical="center"/>
    </xf>
    <xf numFmtId="0" fontId="3" fillId="4" borderId="0" xfId="0" applyFont="1" applyFill="1" applyAlignment="1">
      <alignment horizontal="right" vertical="center"/>
    </xf>
    <xf numFmtId="4" fontId="5" fillId="2" borderId="3" xfId="0" applyNumberFormat="1" applyFont="1" applyFill="1" applyBorder="1" applyAlignment="1">
      <alignment horizontal="right" vertical="center"/>
    </xf>
    <xf numFmtId="0" fontId="5" fillId="0" borderId="0" xfId="0" applyFont="1" applyFill="1" applyBorder="1" applyAlignment="1">
      <alignment horizontal="center" vertical="center"/>
    </xf>
    <xf numFmtId="0" fontId="5" fillId="0" borderId="0" xfId="0" applyFont="1" applyFill="1" applyBorder="1" applyAlignment="1">
      <alignment vertical="center" wrapText="1"/>
    </xf>
    <xf numFmtId="0" fontId="5" fillId="0" borderId="1" xfId="0" applyFont="1" applyFill="1" applyBorder="1" applyAlignment="1">
      <alignment horizontal="center" vertical="center"/>
    </xf>
    <xf numFmtId="4" fontId="5" fillId="0" borderId="4" xfId="0" applyNumberFormat="1" applyFont="1" applyFill="1" applyBorder="1" applyAlignment="1">
      <alignment horizontal="right" vertical="center"/>
    </xf>
    <xf numFmtId="181" fontId="4" fillId="0" borderId="0" xfId="1" applyNumberFormat="1" applyFont="1" applyFill="1" applyBorder="1" applyAlignment="1">
      <alignment horizontal="center" vertical="top"/>
    </xf>
    <xf numFmtId="179" fontId="3" fillId="4" borderId="0" xfId="1" applyNumberFormat="1" applyFont="1" applyFill="1" applyAlignment="1">
      <alignment vertical="center"/>
    </xf>
    <xf numFmtId="0" fontId="7" fillId="0" borderId="3" xfId="0" applyFont="1" applyFill="1" applyBorder="1" applyAlignment="1">
      <alignment horizontal="center" vertical="center"/>
    </xf>
    <xf numFmtId="0" fontId="3" fillId="4" borderId="1" xfId="0" applyFont="1" applyFill="1" applyBorder="1" applyAlignment="1">
      <alignment horizontal="left" vertical="center"/>
    </xf>
    <xf numFmtId="0" fontId="3" fillId="4" borderId="4" xfId="0" applyFont="1" applyFill="1" applyBorder="1" applyAlignment="1">
      <alignment horizontal="center" vertical="center"/>
    </xf>
    <xf numFmtId="4" fontId="7" fillId="0" borderId="3" xfId="0" applyNumberFormat="1" applyFont="1" applyFill="1" applyBorder="1" applyAlignment="1">
      <alignment horizontal="right" vertical="center"/>
    </xf>
    <xf numFmtId="0" fontId="5" fillId="2" borderId="3" xfId="0" applyFont="1" applyFill="1" applyBorder="1" applyAlignment="1">
      <alignment horizontal="center" vertical="center"/>
    </xf>
    <xf numFmtId="0" fontId="3" fillId="0" borderId="0" xfId="0" applyFont="1" applyFill="1" applyBorder="1" applyAlignment="1">
      <alignment horizontal="left" vertical="center"/>
    </xf>
    <xf numFmtId="0" fontId="3" fillId="0" borderId="0" xfId="0" applyFont="1" applyFill="1" applyBorder="1" applyAlignment="1">
      <alignment horizontal="center" vertical="center"/>
    </xf>
    <xf numFmtId="0" fontId="3" fillId="0" borderId="0" xfId="0" applyFont="1" applyFill="1" applyBorder="1" applyAlignment="1">
      <alignment horizontal="right" vertical="center"/>
    </xf>
    <xf numFmtId="0" fontId="4" fillId="0" borderId="0" xfId="0" applyFont="1" applyFill="1" applyAlignment="1">
      <alignment vertical="top"/>
    </xf>
    <xf numFmtId="0" fontId="4" fillId="0" borderId="0" xfId="0" applyFont="1" applyFill="1" applyAlignment="1">
      <alignment horizontal="center" vertical="top"/>
    </xf>
    <xf numFmtId="179" fontId="3" fillId="0" borderId="0" xfId="1" applyNumberFormat="1" applyFont="1" applyFill="1" applyBorder="1" applyAlignment="1">
      <alignment vertical="center"/>
    </xf>
    <xf numFmtId="0" fontId="1" fillId="0" borderId="5" xfId="0" applyFont="1" applyFill="1" applyBorder="1" applyAlignment="1">
      <alignment horizontal="center" vertical="center" wrapText="1"/>
    </xf>
    <xf numFmtId="0" fontId="1" fillId="0" borderId="6"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1" fillId="0" borderId="7" xfId="0" applyFont="1" applyFill="1" applyBorder="1" applyAlignment="1">
      <alignment horizontal="center" vertical="center" wrapText="1"/>
    </xf>
    <xf numFmtId="0" fontId="8" fillId="3" borderId="3" xfId="0" applyFont="1" applyFill="1" applyBorder="1" applyAlignment="1">
      <alignment vertical="center"/>
    </xf>
    <xf numFmtId="0" fontId="8" fillId="3" borderId="3" xfId="0" applyFont="1" applyFill="1" applyBorder="1" applyAlignment="1">
      <alignment horizontal="left" vertical="center" wrapText="1"/>
    </xf>
    <xf numFmtId="0" fontId="9" fillId="0" borderId="0" xfId="0" applyFont="1" applyFill="1" applyBorder="1" applyAlignment="1">
      <alignment vertical="top"/>
    </xf>
    <xf numFmtId="0" fontId="9" fillId="0" borderId="0" xfId="0" applyFont="1" applyFill="1" applyBorder="1" applyAlignment="1">
      <alignment horizontal="center" vertical="top"/>
    </xf>
    <xf numFmtId="0" fontId="9" fillId="0" borderId="0" xfId="0" applyFont="1" applyFill="1" applyBorder="1" applyAlignment="1">
      <alignment horizontal="right" vertical="top"/>
    </xf>
    <xf numFmtId="0" fontId="10" fillId="0" borderId="0" xfId="0" applyFont="1" applyFill="1" applyBorder="1" applyAlignment="1">
      <alignment vertical="top"/>
    </xf>
    <xf numFmtId="0" fontId="10" fillId="0" borderId="3" xfId="0" applyFont="1" applyFill="1" applyBorder="1" applyAlignment="1">
      <alignment horizontal="center" vertical="center"/>
    </xf>
    <xf numFmtId="0" fontId="10" fillId="0" borderId="3" xfId="0" applyFont="1" applyFill="1" applyBorder="1" applyAlignment="1">
      <alignment vertical="center" wrapText="1"/>
    </xf>
    <xf numFmtId="4" fontId="10" fillId="0" borderId="3" xfId="0" applyNumberFormat="1" applyFont="1" applyFill="1" applyBorder="1" applyAlignment="1">
      <alignment horizontal="right" vertical="center"/>
    </xf>
    <xf numFmtId="0" fontId="10" fillId="0" borderId="0" xfId="0" applyFont="1" applyFill="1" applyBorder="1" applyAlignment="1">
      <alignment vertical="center"/>
    </xf>
    <xf numFmtId="0" fontId="10" fillId="0" borderId="3" xfId="0" applyFont="1" applyFill="1" applyBorder="1" applyAlignment="1">
      <alignment horizontal="left" vertical="center"/>
    </xf>
    <xf numFmtId="0" fontId="10" fillId="0" borderId="3" xfId="0" applyFont="1" applyFill="1" applyBorder="1" applyAlignment="1">
      <alignment horizontal="right" vertical="center"/>
    </xf>
    <xf numFmtId="0" fontId="11" fillId="0" borderId="0" xfId="0" applyFont="1" applyFill="1" applyBorder="1" applyAlignment="1">
      <alignment vertical="top"/>
    </xf>
    <xf numFmtId="0" fontId="11" fillId="0" borderId="0" xfId="0" applyFont="1" applyFill="1" applyBorder="1" applyAlignment="1">
      <alignment vertical="center"/>
    </xf>
    <xf numFmtId="0" fontId="8" fillId="4" borderId="3" xfId="0" applyFont="1" applyFill="1" applyBorder="1" applyAlignment="1">
      <alignment horizontal="left" vertical="center"/>
    </xf>
    <xf numFmtId="0" fontId="8" fillId="4" borderId="3" xfId="0" applyFont="1" applyFill="1" applyBorder="1" applyAlignment="1">
      <alignment horizontal="center" vertical="center"/>
    </xf>
    <xf numFmtId="0" fontId="8" fillId="4" borderId="3" xfId="0" applyFont="1" applyFill="1" applyBorder="1" applyAlignment="1">
      <alignment horizontal="right" vertical="center"/>
    </xf>
    <xf numFmtId="179" fontId="4" fillId="0" borderId="0" xfId="1" applyNumberFormat="1" applyFont="1" applyFill="1" applyAlignment="1">
      <alignment horizontal="right" vertical="top"/>
    </xf>
    <xf numFmtId="179" fontId="9" fillId="0" borderId="0" xfId="1" applyNumberFormat="1" applyFont="1" applyAlignment="1">
      <alignment horizontal="right" vertical="top"/>
    </xf>
    <xf numFmtId="179" fontId="10" fillId="0" borderId="3" xfId="1" applyNumberFormat="1" applyFont="1" applyBorder="1" applyAlignment="1">
      <alignment horizontal="center" vertical="center"/>
    </xf>
    <xf numFmtId="179" fontId="10" fillId="0" borderId="3" xfId="1" applyNumberFormat="1" applyFont="1" applyBorder="1" applyAlignment="1">
      <alignment horizontal="right" vertical="center"/>
    </xf>
    <xf numFmtId="179" fontId="8" fillId="4" borderId="3" xfId="1" applyNumberFormat="1" applyFont="1" applyFill="1" applyBorder="1" applyAlignment="1">
      <alignment vertical="center"/>
    </xf>
    <xf numFmtId="0" fontId="10" fillId="0" borderId="1" xfId="0" applyFont="1" applyFill="1" applyBorder="1" applyAlignment="1">
      <alignment horizontal="left" vertical="center"/>
    </xf>
    <xf numFmtId="0" fontId="10" fillId="0" borderId="4" xfId="0" applyFont="1" applyFill="1" applyBorder="1" applyAlignment="1">
      <alignment horizontal="center" vertical="center"/>
    </xf>
    <xf numFmtId="0" fontId="10" fillId="0" borderId="4" xfId="0" applyFont="1" applyFill="1" applyBorder="1" applyAlignment="1">
      <alignment horizontal="right" vertical="center"/>
    </xf>
    <xf numFmtId="4" fontId="5" fillId="0" borderId="3" xfId="0" applyNumberFormat="1" applyFont="1" applyFill="1" applyBorder="1" applyAlignment="1">
      <alignment vertical="center"/>
    </xf>
    <xf numFmtId="179" fontId="3" fillId="4" borderId="1" xfId="1" applyNumberFormat="1" applyFont="1" applyFill="1" applyBorder="1" applyAlignment="1">
      <alignment vertical="center"/>
    </xf>
    <xf numFmtId="0" fontId="5" fillId="2" borderId="3" xfId="0" applyFont="1" applyFill="1" applyBorder="1" applyAlignment="1">
      <alignment vertical="center" wrapText="1"/>
    </xf>
    <xf numFmtId="4" fontId="5" fillId="2" borderId="3" xfId="0" applyNumberFormat="1" applyFont="1" applyFill="1" applyBorder="1" applyAlignment="1">
      <alignment vertical="center"/>
    </xf>
    <xf numFmtId="0" fontId="3" fillId="5" borderId="1" xfId="0" applyFont="1" applyFill="1" applyBorder="1" applyAlignment="1">
      <alignment horizontal="left" vertical="center"/>
    </xf>
    <xf numFmtId="0" fontId="3" fillId="5" borderId="4" xfId="0" applyFont="1" applyFill="1" applyBorder="1" applyAlignment="1">
      <alignment horizontal="center" vertical="center"/>
    </xf>
    <xf numFmtId="179" fontId="5" fillId="2" borderId="3" xfId="1" applyNumberFormat="1" applyFont="1" applyFill="1" applyBorder="1" applyAlignment="1">
      <alignment horizontal="right" vertical="center"/>
    </xf>
    <xf numFmtId="0" fontId="12" fillId="0" borderId="0" xfId="0" applyFont="1" applyFill="1" applyAlignment="1">
      <alignment horizontal="center"/>
    </xf>
    <xf numFmtId="0" fontId="12" fillId="0" borderId="0" xfId="0" applyFont="1" applyFill="1" applyAlignment="1">
      <alignment vertical="center"/>
    </xf>
    <xf numFmtId="0" fontId="12" fillId="0" borderId="0" xfId="0" applyFont="1" applyFill="1" applyAlignment="1"/>
    <xf numFmtId="179" fontId="12" fillId="0" borderId="0" xfId="1" applyNumberFormat="1" applyFont="1" applyAlignment="1"/>
    <xf numFmtId="0" fontId="13" fillId="6" borderId="1" xfId="0" applyFont="1" applyFill="1" applyBorder="1" applyAlignment="1">
      <alignment horizontal="center"/>
    </xf>
    <xf numFmtId="0" fontId="13" fillId="6" borderId="4" xfId="0" applyFont="1" applyFill="1" applyBorder="1" applyAlignment="1">
      <alignment horizontal="center"/>
    </xf>
    <xf numFmtId="0" fontId="13" fillId="6" borderId="2" xfId="0" applyFont="1" applyFill="1" applyBorder="1" applyAlignment="1">
      <alignment horizontal="center"/>
    </xf>
    <xf numFmtId="0" fontId="12" fillId="0" borderId="0" xfId="0" applyFont="1" applyFill="1" applyBorder="1" applyAlignment="1"/>
    <xf numFmtId="0" fontId="12" fillId="0" borderId="0" xfId="0" applyFont="1" applyFill="1" applyBorder="1" applyAlignment="1">
      <alignment horizontal="center"/>
    </xf>
    <xf numFmtId="179" fontId="12" fillId="0" borderId="0" xfId="1" applyNumberFormat="1" applyFont="1" applyBorder="1" applyAlignment="1"/>
    <xf numFmtId="0" fontId="13" fillId="0" borderId="3" xfId="0" applyFont="1" applyFill="1" applyBorder="1" applyAlignment="1">
      <alignment horizontal="center"/>
    </xf>
    <xf numFmtId="0" fontId="13" fillId="0" borderId="2" xfId="0" applyFont="1" applyFill="1" applyBorder="1" applyAlignment="1">
      <alignment horizontal="center"/>
    </xf>
    <xf numFmtId="179" fontId="13" fillId="0" borderId="3" xfId="1" applyNumberFormat="1" applyFont="1" applyBorder="1" applyAlignment="1">
      <alignment horizontal="center"/>
    </xf>
    <xf numFmtId="0" fontId="14" fillId="0" borderId="3" xfId="0" applyFont="1" applyFill="1" applyBorder="1" applyAlignment="1">
      <alignment horizontal="center"/>
    </xf>
    <xf numFmtId="0" fontId="14" fillId="0" borderId="2" xfId="0" applyFont="1" applyFill="1" applyBorder="1" applyAlignment="1">
      <alignment horizontal="center"/>
    </xf>
    <xf numFmtId="179" fontId="14" fillId="0" borderId="3" xfId="1" applyNumberFormat="1" applyFont="1" applyBorder="1" applyAlignment="1">
      <alignment horizontal="center"/>
    </xf>
    <xf numFmtId="0" fontId="14" fillId="0" borderId="2" xfId="0" applyFont="1" applyFill="1" applyBorder="1" applyAlignment="1"/>
    <xf numFmtId="9" fontId="14" fillId="0" borderId="3" xfId="3" applyNumberFormat="1" applyFont="1" applyBorder="1" applyAlignment="1">
      <alignment horizontal="center"/>
    </xf>
    <xf numFmtId="0" fontId="12" fillId="0" borderId="3" xfId="0" applyFont="1" applyFill="1" applyBorder="1" applyAlignment="1">
      <alignment horizontal="center"/>
    </xf>
    <xf numFmtId="0" fontId="12" fillId="0" borderId="2" xfId="0" applyFont="1" applyFill="1" applyBorder="1" applyAlignment="1"/>
    <xf numFmtId="0" fontId="15" fillId="0" borderId="3" xfId="0" applyFont="1" applyFill="1" applyBorder="1" applyAlignment="1">
      <alignment horizontal="center"/>
    </xf>
    <xf numFmtId="0" fontId="13" fillId="7" borderId="2" xfId="0" applyFont="1" applyFill="1" applyBorder="1" applyAlignment="1">
      <alignment horizontal="center"/>
    </xf>
    <xf numFmtId="0" fontId="12" fillId="0" borderId="8" xfId="0" applyFont="1" applyFill="1" applyBorder="1" applyAlignment="1">
      <alignment horizontal="center" vertical="center"/>
    </xf>
    <xf numFmtId="0" fontId="12" fillId="0" borderId="9" xfId="0" applyFont="1" applyFill="1" applyBorder="1" applyAlignment="1">
      <alignment vertical="center"/>
    </xf>
    <xf numFmtId="179" fontId="12" fillId="0" borderId="8" xfId="1" applyNumberFormat="1" applyFont="1" applyBorder="1" applyAlignment="1">
      <alignment vertical="center"/>
    </xf>
    <xf numFmtId="0" fontId="12" fillId="0" borderId="8" xfId="0" applyFont="1" applyFill="1" applyBorder="1" applyAlignment="1">
      <alignment vertical="center"/>
    </xf>
    <xf numFmtId="0" fontId="12" fillId="0" borderId="10" xfId="0" applyFont="1" applyFill="1" applyBorder="1" applyAlignment="1">
      <alignment horizontal="center" vertical="center"/>
    </xf>
    <xf numFmtId="0" fontId="12" fillId="0" borderId="11" xfId="0" applyFont="1" applyFill="1" applyBorder="1" applyAlignment="1">
      <alignment vertical="center"/>
    </xf>
    <xf numFmtId="179" fontId="12" fillId="0" borderId="10" xfId="1" applyNumberFormat="1" applyFont="1" applyBorder="1" applyAlignment="1">
      <alignment vertical="center"/>
    </xf>
    <xf numFmtId="0" fontId="12" fillId="0" borderId="10" xfId="0" applyFont="1" applyFill="1" applyBorder="1" applyAlignment="1">
      <alignment vertical="center"/>
    </xf>
    <xf numFmtId="179" fontId="12" fillId="2" borderId="10" xfId="1" applyNumberFormat="1" applyFont="1" applyFill="1" applyBorder="1" applyAlignment="1">
      <alignment vertical="center"/>
    </xf>
    <xf numFmtId="179" fontId="12" fillId="8" borderId="10" xfId="1" applyNumberFormat="1" applyFont="1" applyFill="1" applyBorder="1" applyAlignment="1">
      <alignment vertical="center"/>
    </xf>
    <xf numFmtId="0" fontId="12" fillId="0" borderId="12" xfId="0" applyFont="1" applyFill="1" applyBorder="1" applyAlignment="1">
      <alignment vertical="center"/>
    </xf>
    <xf numFmtId="0" fontId="12" fillId="0" borderId="13" xfId="0" applyFont="1" applyFill="1" applyBorder="1" applyAlignment="1">
      <alignment horizontal="center" vertical="center"/>
    </xf>
    <xf numFmtId="0" fontId="12" fillId="0" borderId="13" xfId="0" applyFont="1" applyFill="1" applyBorder="1" applyAlignment="1">
      <alignment vertical="center"/>
    </xf>
    <xf numFmtId="0" fontId="12" fillId="0" borderId="14" xfId="0" applyFont="1" applyFill="1" applyBorder="1" applyAlignment="1">
      <alignment vertical="center"/>
    </xf>
    <xf numFmtId="0" fontId="12" fillId="0" borderId="15" xfId="0" applyFont="1" applyFill="1" applyBorder="1" applyAlignment="1">
      <alignment horizontal="center" vertical="center"/>
    </xf>
    <xf numFmtId="179" fontId="12" fillId="0" borderId="15" xfId="1" applyNumberFormat="1" applyFont="1" applyBorder="1" applyAlignment="1">
      <alignment vertical="center"/>
    </xf>
    <xf numFmtId="0" fontId="12" fillId="0" borderId="15" xfId="0" applyFont="1" applyFill="1" applyBorder="1" applyAlignment="1">
      <alignment vertical="center"/>
    </xf>
    <xf numFmtId="0" fontId="15" fillId="0" borderId="3" xfId="0" applyFont="1" applyFill="1" applyBorder="1" applyAlignment="1"/>
    <xf numFmtId="0" fontId="13" fillId="9" borderId="2" xfId="0" applyFont="1" applyFill="1" applyBorder="1" applyAlignment="1">
      <alignment horizontal="center"/>
    </xf>
    <xf numFmtId="179" fontId="15" fillId="0" borderId="3" xfId="1" applyNumberFormat="1" applyFont="1" applyBorder="1" applyAlignment="1"/>
    <xf numFmtId="0" fontId="12" fillId="0" borderId="9" xfId="0" applyFont="1" applyFill="1" applyBorder="1" applyAlignment="1"/>
    <xf numFmtId="0" fontId="12" fillId="0" borderId="8" xfId="0" applyFont="1" applyFill="1" applyBorder="1" applyAlignment="1">
      <alignment horizontal="center"/>
    </xf>
    <xf numFmtId="179" fontId="12" fillId="0" borderId="8" xfId="1" applyNumberFormat="1" applyFont="1" applyBorder="1" applyAlignment="1"/>
    <xf numFmtId="0" fontId="12" fillId="0" borderId="8" xfId="0" applyFont="1" applyFill="1" applyBorder="1" applyAlignment="1"/>
    <xf numFmtId="0" fontId="12" fillId="0" borderId="11" xfId="0" applyFont="1" applyFill="1" applyBorder="1" applyAlignment="1"/>
    <xf numFmtId="0" fontId="12" fillId="0" borderId="10" xfId="0" applyFont="1" applyFill="1" applyBorder="1" applyAlignment="1">
      <alignment horizontal="center"/>
    </xf>
    <xf numFmtId="179" fontId="12" fillId="0" borderId="10" xfId="1" applyNumberFormat="1" applyFont="1" applyBorder="1" applyAlignment="1"/>
    <xf numFmtId="0" fontId="12" fillId="0" borderId="10" xfId="0" applyFont="1" applyFill="1" applyBorder="1" applyAlignment="1"/>
    <xf numFmtId="0" fontId="12" fillId="0" borderId="15" xfId="0" applyFont="1" applyFill="1" applyBorder="1" applyAlignment="1"/>
    <xf numFmtId="0" fontId="12" fillId="0" borderId="16" xfId="0" applyFont="1" applyFill="1" applyBorder="1" applyAlignment="1"/>
    <xf numFmtId="0" fontId="12" fillId="0" borderId="15" xfId="0" applyFont="1" applyFill="1" applyBorder="1" applyAlignment="1">
      <alignment horizontal="center"/>
    </xf>
    <xf numFmtId="179" fontId="12" fillId="0" borderId="15" xfId="1" applyNumberFormat="1" applyFont="1" applyBorder="1" applyAlignment="1"/>
    <xf numFmtId="0" fontId="13" fillId="10" borderId="2" xfId="0" applyFont="1" applyFill="1" applyBorder="1" applyAlignment="1">
      <alignment horizontal="center"/>
    </xf>
    <xf numFmtId="179" fontId="16" fillId="0" borderId="8" xfId="1" applyNumberFormat="1" applyFont="1" applyFill="1" applyBorder="1" applyAlignment="1">
      <alignment horizontal="right" vertical="center"/>
    </xf>
    <xf numFmtId="0" fontId="12" fillId="0" borderId="14" xfId="0" applyFont="1" applyFill="1" applyBorder="1" applyAlignment="1"/>
    <xf numFmtId="0" fontId="1" fillId="0" borderId="0" xfId="0" applyFont="1" applyAlignment="1">
      <alignment vertical="center"/>
    </xf>
    <xf numFmtId="43" fontId="1" fillId="0" borderId="0" xfId="1" applyFont="1" applyAlignment="1">
      <alignment vertical="center"/>
    </xf>
    <xf numFmtId="43" fontId="1" fillId="0" borderId="0" xfId="1" applyFont="1" applyFill="1" applyAlignment="1">
      <alignment vertical="center"/>
    </xf>
    <xf numFmtId="43" fontId="1" fillId="0" borderId="0" xfId="1" applyFont="1" applyFill="1" applyAlignment="1">
      <alignment vertical="center" wrapText="1"/>
    </xf>
    <xf numFmtId="0" fontId="1" fillId="0" borderId="0" xfId="0" applyFont="1"/>
    <xf numFmtId="0" fontId="17" fillId="11" borderId="1" xfId="0" applyFont="1" applyFill="1" applyBorder="1" applyAlignment="1">
      <alignment horizontal="center" vertical="center" wrapText="1"/>
    </xf>
    <xf numFmtId="0" fontId="17" fillId="11" borderId="4" xfId="0" applyFont="1" applyFill="1" applyBorder="1" applyAlignment="1">
      <alignment horizontal="center" vertical="center" wrapText="1"/>
    </xf>
    <xf numFmtId="0" fontId="18" fillId="11" borderId="17" xfId="0" applyFont="1" applyFill="1" applyBorder="1" applyAlignment="1">
      <alignment horizontal="center" vertical="center"/>
    </xf>
    <xf numFmtId="43" fontId="18" fillId="11" borderId="2" xfId="1" applyFont="1" applyFill="1" applyBorder="1" applyAlignment="1">
      <alignment horizontal="center" vertical="center"/>
    </xf>
    <xf numFmtId="43" fontId="18" fillId="0" borderId="2" xfId="1" applyFont="1" applyFill="1" applyBorder="1" applyAlignment="1">
      <alignment horizontal="center" vertical="center"/>
    </xf>
    <xf numFmtId="0" fontId="18" fillId="11" borderId="18" xfId="0" applyFont="1" applyFill="1" applyBorder="1" applyAlignment="1">
      <alignment horizontal="center" vertical="center"/>
    </xf>
    <xf numFmtId="43" fontId="18" fillId="11" borderId="5" xfId="1" applyFont="1" applyFill="1" applyBorder="1" applyAlignment="1">
      <alignment horizontal="center" vertical="center"/>
    </xf>
    <xf numFmtId="43" fontId="18" fillId="0" borderId="5" xfId="1" applyFont="1" applyFill="1" applyBorder="1" applyAlignment="1">
      <alignment horizontal="center" vertical="center"/>
    </xf>
    <xf numFmtId="0" fontId="14" fillId="0" borderId="3" xfId="0" applyFont="1" applyBorder="1" applyAlignment="1">
      <alignment horizontal="center" vertical="center" wrapText="1"/>
    </xf>
    <xf numFmtId="0" fontId="17" fillId="0" borderId="3" xfId="0" applyFont="1" applyBorder="1" applyAlignment="1">
      <alignment horizontal="left" vertical="center" wrapText="1"/>
    </xf>
    <xf numFmtId="0" fontId="18" fillId="0" borderId="19" xfId="0" applyFont="1" applyBorder="1" applyAlignment="1">
      <alignment horizontal="center" vertical="center"/>
    </xf>
    <xf numFmtId="43" fontId="18" fillId="0" borderId="19" xfId="1" applyFont="1" applyBorder="1" applyAlignment="1">
      <alignment horizontal="center" vertical="center"/>
    </xf>
    <xf numFmtId="43" fontId="18" fillId="0" borderId="19" xfId="1" applyFont="1" applyFill="1" applyBorder="1" applyAlignment="1">
      <alignment horizontal="center" vertical="center"/>
    </xf>
    <xf numFmtId="0" fontId="19" fillId="0" borderId="3" xfId="0" applyFont="1" applyBorder="1" applyAlignment="1">
      <alignment horizontal="left" vertical="center" wrapText="1"/>
    </xf>
    <xf numFmtId="0" fontId="18" fillId="11" borderId="3" xfId="0" applyFont="1" applyFill="1" applyBorder="1" applyAlignment="1">
      <alignment horizontal="center" vertical="center" wrapText="1"/>
    </xf>
    <xf numFmtId="0" fontId="18" fillId="11" borderId="1" xfId="0" applyFont="1" applyFill="1" applyBorder="1" applyAlignment="1">
      <alignment horizontal="left" vertical="center" wrapText="1"/>
    </xf>
    <xf numFmtId="0" fontId="18" fillId="11" borderId="4" xfId="0" applyFont="1" applyFill="1" applyBorder="1" applyAlignment="1">
      <alignment horizontal="center" vertical="center"/>
    </xf>
    <xf numFmtId="43" fontId="19" fillId="11" borderId="4" xfId="1" applyFont="1" applyFill="1" applyBorder="1" applyAlignment="1">
      <alignment vertical="center"/>
    </xf>
    <xf numFmtId="43" fontId="19" fillId="0" borderId="4" xfId="1" applyFont="1" applyFill="1" applyBorder="1" applyAlignment="1">
      <alignment vertical="center"/>
    </xf>
    <xf numFmtId="0" fontId="19" fillId="0" borderId="17" xfId="0" applyFont="1" applyBorder="1" applyAlignment="1">
      <alignment horizontal="left" vertical="center" wrapText="1"/>
    </xf>
    <xf numFmtId="0" fontId="18" fillId="11" borderId="1" xfId="0" applyFont="1" applyFill="1" applyBorder="1" applyAlignment="1">
      <alignment vertical="center" wrapText="1"/>
    </xf>
    <xf numFmtId="0" fontId="12" fillId="0" borderId="3" xfId="0" applyFont="1" applyFill="1" applyBorder="1" applyAlignment="1">
      <alignment horizontal="center" vertical="center" wrapText="1"/>
    </xf>
    <xf numFmtId="0" fontId="19" fillId="0" borderId="3" xfId="0" applyFont="1" applyFill="1" applyBorder="1" applyAlignment="1">
      <alignment horizontal="center" vertical="center" wrapText="1"/>
    </xf>
    <xf numFmtId="0" fontId="19" fillId="0" borderId="19" xfId="0" applyFont="1" applyBorder="1" applyAlignment="1">
      <alignment horizontal="center" vertical="center"/>
    </xf>
    <xf numFmtId="43" fontId="19" fillId="0" borderId="19" xfId="1" applyFont="1" applyBorder="1" applyAlignment="1">
      <alignment horizontal="center" vertical="center"/>
    </xf>
    <xf numFmtId="43" fontId="19" fillId="2" borderId="19" xfId="1" applyFont="1" applyFill="1" applyBorder="1" applyAlignment="1">
      <alignment horizontal="center" vertical="center"/>
    </xf>
    <xf numFmtId="43" fontId="19" fillId="0" borderId="19" xfId="1" applyFont="1" applyFill="1" applyBorder="1" applyAlignment="1">
      <alignment horizontal="center" vertical="center"/>
    </xf>
    <xf numFmtId="0" fontId="18" fillId="11" borderId="4" xfId="0" applyFont="1" applyFill="1" applyBorder="1" applyAlignment="1">
      <alignment vertical="center" wrapText="1"/>
    </xf>
    <xf numFmtId="43" fontId="18" fillId="11" borderId="4" xfId="1" applyFont="1" applyFill="1" applyBorder="1" applyAlignment="1">
      <alignment vertical="center" wrapText="1"/>
    </xf>
    <xf numFmtId="43" fontId="18" fillId="0" borderId="4" xfId="1" applyFont="1" applyFill="1" applyBorder="1" applyAlignment="1">
      <alignment vertical="center" wrapText="1"/>
    </xf>
    <xf numFmtId="0" fontId="19" fillId="0" borderId="3" xfId="0" applyFont="1" applyBorder="1" applyAlignment="1">
      <alignment vertical="center" wrapText="1"/>
    </xf>
    <xf numFmtId="0" fontId="19" fillId="0" borderId="3" xfId="0" applyFont="1" applyBorder="1" applyAlignment="1">
      <alignment horizontal="center" vertical="center" wrapText="1"/>
    </xf>
    <xf numFmtId="43" fontId="19" fillId="0" borderId="3" xfId="1" applyFont="1" applyFill="1" applyBorder="1" applyAlignment="1">
      <alignment horizontal="center" vertical="center" wrapText="1"/>
    </xf>
    <xf numFmtId="43" fontId="19" fillId="0" borderId="3" xfId="1" applyFont="1" applyBorder="1" applyAlignment="1">
      <alignment horizontal="center" vertical="center"/>
    </xf>
    <xf numFmtId="0" fontId="19" fillId="0" borderId="17" xfId="0" applyFont="1" applyFill="1" applyBorder="1" applyAlignment="1">
      <alignment horizontal="center" vertical="center" wrapText="1"/>
    </xf>
    <xf numFmtId="0" fontId="20" fillId="0" borderId="3" xfId="0" applyFont="1" applyBorder="1" applyAlignment="1">
      <alignment horizontal="left" vertical="center" wrapText="1"/>
    </xf>
    <xf numFmtId="0" fontId="19" fillId="0" borderId="3" xfId="0" applyFont="1" applyBorder="1" applyAlignment="1">
      <alignment horizontal="center" vertical="center"/>
    </xf>
    <xf numFmtId="43" fontId="19" fillId="0" borderId="3" xfId="1" applyFont="1" applyFill="1" applyBorder="1" applyAlignment="1">
      <alignment horizontal="center" vertical="center"/>
    </xf>
    <xf numFmtId="43" fontId="19" fillId="0" borderId="3" xfId="1" applyFont="1" applyBorder="1" applyAlignment="1">
      <alignment horizontal="left" vertical="center" wrapText="1"/>
    </xf>
    <xf numFmtId="43" fontId="19" fillId="0" borderId="3" xfId="1" applyFont="1" applyBorder="1" applyAlignment="1">
      <alignment vertical="center"/>
    </xf>
    <xf numFmtId="2" fontId="19" fillId="0" borderId="3" xfId="0" applyNumberFormat="1" applyFont="1" applyBorder="1" applyAlignment="1">
      <alignment horizontal="center" vertical="center"/>
    </xf>
    <xf numFmtId="0" fontId="14" fillId="0" borderId="17" xfId="0" applyFont="1" applyBorder="1" applyAlignment="1">
      <alignment horizontal="center" vertical="center" wrapText="1"/>
    </xf>
    <xf numFmtId="43" fontId="19" fillId="0" borderId="3" xfId="1" applyFont="1" applyFill="1" applyBorder="1" applyAlignment="1">
      <alignment horizontal="left" vertical="center" wrapText="1"/>
    </xf>
    <xf numFmtId="0" fontId="19" fillId="0" borderId="3" xfId="0" applyFont="1" applyFill="1" applyBorder="1" applyAlignment="1">
      <alignment horizontal="left" vertical="center" wrapText="1"/>
    </xf>
    <xf numFmtId="43" fontId="19" fillId="2" borderId="3" xfId="1" applyFont="1" applyFill="1" applyBorder="1" applyAlignment="1">
      <alignment vertical="center"/>
    </xf>
    <xf numFmtId="0" fontId="21" fillId="0" borderId="3" xfId="0" applyFont="1" applyFill="1" applyBorder="1" applyAlignment="1">
      <alignment horizontal="left" vertical="top" wrapText="1"/>
    </xf>
    <xf numFmtId="0" fontId="17" fillId="0" borderId="3" xfId="0" applyFont="1" applyBorder="1" applyAlignment="1">
      <alignment horizontal="left" vertical="center"/>
    </xf>
    <xf numFmtId="43" fontId="17" fillId="0" borderId="3" xfId="1" applyFont="1" applyBorder="1" applyAlignment="1">
      <alignment horizontal="left" vertical="center"/>
    </xf>
    <xf numFmtId="43" fontId="17" fillId="0" borderId="17" xfId="1" applyFont="1" applyFill="1" applyBorder="1" applyAlignment="1">
      <alignment horizontal="left" vertical="center"/>
    </xf>
    <xf numFmtId="0" fontId="17" fillId="11" borderId="2" xfId="0" applyFont="1" applyFill="1" applyBorder="1" applyAlignment="1">
      <alignment horizontal="center" vertical="center" wrapText="1"/>
    </xf>
    <xf numFmtId="0" fontId="1" fillId="0" borderId="0" xfId="0" applyFont="1" applyAlignment="1">
      <alignment horizontal="center"/>
    </xf>
    <xf numFmtId="43" fontId="18" fillId="0" borderId="3" xfId="1" applyFont="1" applyFill="1" applyBorder="1" applyAlignment="1">
      <alignment horizontal="center" vertical="center"/>
    </xf>
    <xf numFmtId="43" fontId="18" fillId="0" borderId="3" xfId="1" applyFont="1" applyFill="1" applyBorder="1" applyAlignment="1">
      <alignment horizontal="center" vertical="center" wrapText="1"/>
    </xf>
    <xf numFmtId="43" fontId="18" fillId="0" borderId="5" xfId="1" applyFont="1" applyFill="1" applyBorder="1" applyAlignment="1">
      <alignment horizontal="center" vertical="center" wrapText="1"/>
    </xf>
    <xf numFmtId="43" fontId="19" fillId="0" borderId="2" xfId="1" applyFont="1" applyFill="1" applyBorder="1" applyAlignment="1">
      <alignment vertical="center"/>
    </xf>
    <xf numFmtId="43" fontId="19" fillId="0" borderId="2" xfId="1" applyFont="1" applyFill="1" applyBorder="1" applyAlignment="1">
      <alignment vertical="center" wrapText="1"/>
    </xf>
    <xf numFmtId="43" fontId="1" fillId="0" borderId="0" xfId="1" applyFont="1"/>
    <xf numFmtId="0" fontId="1" fillId="0" borderId="0" xfId="0" applyFont="1" applyFill="1"/>
    <xf numFmtId="43" fontId="1" fillId="0" borderId="0" xfId="0" applyNumberFormat="1" applyFont="1" applyFill="1"/>
    <xf numFmtId="43" fontId="18" fillId="0" borderId="2" xfId="1" applyFont="1" applyFill="1" applyBorder="1" applyAlignment="1">
      <alignment vertical="center" wrapText="1"/>
    </xf>
    <xf numFmtId="0" fontId="1" fillId="0" borderId="0" xfId="0" applyFont="1" applyFill="1" applyAlignment="1">
      <alignment horizontal="center" vertical="center"/>
    </xf>
    <xf numFmtId="0" fontId="22" fillId="0" borderId="0" xfId="0" applyFont="1" applyFill="1" applyAlignment="1">
      <alignment horizontal="center" vertical="center"/>
    </xf>
    <xf numFmtId="0" fontId="1" fillId="0" borderId="0" xfId="0" applyFont="1" applyFill="1" applyAlignment="1">
      <alignment horizontal="center" vertical="center" wrapText="1"/>
    </xf>
    <xf numFmtId="182" fontId="1" fillId="0" borderId="0" xfId="0" applyNumberFormat="1" applyFont="1" applyFill="1" applyAlignment="1">
      <alignment horizontal="center" vertical="center"/>
    </xf>
    <xf numFmtId="43" fontId="1" fillId="0" borderId="0" xfId="0" applyNumberFormat="1" applyFont="1" applyFill="1" applyAlignment="1">
      <alignment horizontal="center" vertical="center" wrapText="1"/>
    </xf>
    <xf numFmtId="0" fontId="1" fillId="0" borderId="0" xfId="0" applyFont="1" applyFill="1" applyAlignment="1">
      <alignment vertical="center"/>
    </xf>
    <xf numFmtId="43" fontId="19" fillId="0" borderId="3" xfId="1" applyFont="1" applyFill="1" applyBorder="1" applyAlignment="1">
      <alignment vertical="center"/>
    </xf>
    <xf numFmtId="43" fontId="19" fillId="0" borderId="3" xfId="1" applyFont="1" applyFill="1" applyBorder="1" applyAlignment="1">
      <alignment vertical="center" wrapText="1"/>
    </xf>
    <xf numFmtId="0" fontId="1" fillId="0" borderId="20" xfId="0" applyFont="1" applyFill="1" applyBorder="1" applyAlignment="1">
      <alignment vertical="center" wrapText="1"/>
    </xf>
    <xf numFmtId="43" fontId="18" fillId="0" borderId="21" xfId="1" applyFont="1" applyFill="1" applyBorder="1" applyAlignment="1">
      <alignment vertical="center"/>
    </xf>
    <xf numFmtId="43" fontId="18" fillId="0" borderId="21" xfId="1" applyFont="1" applyFill="1" applyBorder="1" applyAlignment="1">
      <alignment vertical="center" wrapText="1"/>
    </xf>
    <xf numFmtId="43" fontId="19" fillId="0" borderId="21" xfId="1" applyFont="1" applyFill="1" applyBorder="1" applyAlignment="1">
      <alignment vertical="center"/>
    </xf>
    <xf numFmtId="179" fontId="1" fillId="0" borderId="0" xfId="0" applyNumberFormat="1" applyFont="1"/>
    <xf numFmtId="43" fontId="1" fillId="0" borderId="0" xfId="0" applyNumberFormat="1" applyFont="1"/>
    <xf numFmtId="9" fontId="1" fillId="0" borderId="0" xfId="3" applyFont="1" applyAlignment="1"/>
    <xf numFmtId="0" fontId="1" fillId="0" borderId="0" xfId="0" applyFont="1" applyAlignment="1">
      <alignment horizontal="center" vertical="center"/>
    </xf>
    <xf numFmtId="0" fontId="5" fillId="0" borderId="3" xfId="0" applyFont="1" applyFill="1" applyBorder="1" applyAlignment="1" quotePrefix="1">
      <alignment horizontal="center" vertical="center"/>
    </xf>
    <xf numFmtId="179" fontId="5" fillId="0" borderId="3" xfId="1" applyNumberFormat="1" applyFont="1" applyFill="1" applyBorder="1" applyAlignment="1" quotePrefix="1">
      <alignment horizontal="center" vertical="center"/>
    </xf>
    <xf numFmtId="0" fontId="3" fillId="3" borderId="1" xfId="0" applyFont="1" applyFill="1" applyBorder="1" applyAlignment="1" quotePrefix="1">
      <alignment horizontal="center" vertical="center"/>
    </xf>
    <xf numFmtId="0" fontId="10" fillId="0" borderId="3" xfId="0" applyFont="1" applyFill="1" applyBorder="1" applyAlignment="1" quotePrefix="1">
      <alignment horizontal="center" vertical="center"/>
    </xf>
    <xf numFmtId="0" fontId="5" fillId="2" borderId="3" xfId="0" applyFont="1" applyFill="1" applyBorder="1" applyAlignment="1" quotePrefix="1">
      <alignment horizontal="center" vertical="center"/>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7"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9" Type="http://schemas.openxmlformats.org/officeDocument/2006/relationships/externalLink" Target="externalLinks/externalLink93.xml"/><Relationship Id="rId98" Type="http://schemas.openxmlformats.org/officeDocument/2006/relationships/externalLink" Target="externalLinks/externalLink92.xml"/><Relationship Id="rId97" Type="http://schemas.openxmlformats.org/officeDocument/2006/relationships/externalLink" Target="externalLinks/externalLink91.xml"/><Relationship Id="rId96" Type="http://schemas.openxmlformats.org/officeDocument/2006/relationships/externalLink" Target="externalLinks/externalLink90.xml"/><Relationship Id="rId95" Type="http://schemas.openxmlformats.org/officeDocument/2006/relationships/externalLink" Target="externalLinks/externalLink89.xml"/><Relationship Id="rId94" Type="http://schemas.openxmlformats.org/officeDocument/2006/relationships/externalLink" Target="externalLinks/externalLink88.xml"/><Relationship Id="rId93" Type="http://schemas.openxmlformats.org/officeDocument/2006/relationships/externalLink" Target="externalLinks/externalLink87.xml"/><Relationship Id="rId92" Type="http://schemas.openxmlformats.org/officeDocument/2006/relationships/externalLink" Target="externalLinks/externalLink86.xml"/><Relationship Id="rId91" Type="http://schemas.openxmlformats.org/officeDocument/2006/relationships/externalLink" Target="externalLinks/externalLink85.xml"/><Relationship Id="rId90" Type="http://schemas.openxmlformats.org/officeDocument/2006/relationships/externalLink" Target="externalLinks/externalLink84.xml"/><Relationship Id="rId9" Type="http://schemas.openxmlformats.org/officeDocument/2006/relationships/externalLink" Target="externalLinks/externalLink3.xml"/><Relationship Id="rId89" Type="http://schemas.openxmlformats.org/officeDocument/2006/relationships/externalLink" Target="externalLinks/externalLink83.xml"/><Relationship Id="rId88" Type="http://schemas.openxmlformats.org/officeDocument/2006/relationships/externalLink" Target="externalLinks/externalLink82.xml"/><Relationship Id="rId87" Type="http://schemas.openxmlformats.org/officeDocument/2006/relationships/externalLink" Target="externalLinks/externalLink81.xml"/><Relationship Id="rId86" Type="http://schemas.openxmlformats.org/officeDocument/2006/relationships/externalLink" Target="externalLinks/externalLink80.xml"/><Relationship Id="rId85" Type="http://schemas.openxmlformats.org/officeDocument/2006/relationships/externalLink" Target="externalLinks/externalLink79.xml"/><Relationship Id="rId84" Type="http://schemas.openxmlformats.org/officeDocument/2006/relationships/externalLink" Target="externalLinks/externalLink78.xml"/><Relationship Id="rId83" Type="http://schemas.openxmlformats.org/officeDocument/2006/relationships/externalLink" Target="externalLinks/externalLink77.xml"/><Relationship Id="rId82" Type="http://schemas.openxmlformats.org/officeDocument/2006/relationships/externalLink" Target="externalLinks/externalLink76.xml"/><Relationship Id="rId81" Type="http://schemas.openxmlformats.org/officeDocument/2006/relationships/externalLink" Target="externalLinks/externalLink75.xml"/><Relationship Id="rId80" Type="http://schemas.openxmlformats.org/officeDocument/2006/relationships/externalLink" Target="externalLinks/externalLink74.xml"/><Relationship Id="rId8" Type="http://schemas.openxmlformats.org/officeDocument/2006/relationships/externalLink" Target="externalLinks/externalLink2.xml"/><Relationship Id="rId79" Type="http://schemas.openxmlformats.org/officeDocument/2006/relationships/externalLink" Target="externalLinks/externalLink73.xml"/><Relationship Id="rId78" Type="http://schemas.openxmlformats.org/officeDocument/2006/relationships/externalLink" Target="externalLinks/externalLink72.xml"/><Relationship Id="rId77" Type="http://schemas.openxmlformats.org/officeDocument/2006/relationships/externalLink" Target="externalLinks/externalLink71.xml"/><Relationship Id="rId76" Type="http://schemas.openxmlformats.org/officeDocument/2006/relationships/externalLink" Target="externalLinks/externalLink70.xml"/><Relationship Id="rId75" Type="http://schemas.openxmlformats.org/officeDocument/2006/relationships/externalLink" Target="externalLinks/externalLink69.xml"/><Relationship Id="rId74" Type="http://schemas.openxmlformats.org/officeDocument/2006/relationships/externalLink" Target="externalLinks/externalLink68.xml"/><Relationship Id="rId73" Type="http://schemas.openxmlformats.org/officeDocument/2006/relationships/externalLink" Target="externalLinks/externalLink67.xml"/><Relationship Id="rId72" Type="http://schemas.openxmlformats.org/officeDocument/2006/relationships/externalLink" Target="externalLinks/externalLink66.xml"/><Relationship Id="rId71" Type="http://schemas.openxmlformats.org/officeDocument/2006/relationships/externalLink" Target="externalLinks/externalLink65.xml"/><Relationship Id="rId70" Type="http://schemas.openxmlformats.org/officeDocument/2006/relationships/externalLink" Target="externalLinks/externalLink64.xml"/><Relationship Id="rId7" Type="http://schemas.openxmlformats.org/officeDocument/2006/relationships/externalLink" Target="externalLinks/externalLink1.xml"/><Relationship Id="rId69" Type="http://schemas.openxmlformats.org/officeDocument/2006/relationships/externalLink" Target="externalLinks/externalLink63.xml"/><Relationship Id="rId68" Type="http://schemas.openxmlformats.org/officeDocument/2006/relationships/externalLink" Target="externalLinks/externalLink62.xml"/><Relationship Id="rId67" Type="http://schemas.openxmlformats.org/officeDocument/2006/relationships/externalLink" Target="externalLinks/externalLink61.xml"/><Relationship Id="rId66" Type="http://schemas.openxmlformats.org/officeDocument/2006/relationships/externalLink" Target="externalLinks/externalLink60.xml"/><Relationship Id="rId65" Type="http://schemas.openxmlformats.org/officeDocument/2006/relationships/externalLink" Target="externalLinks/externalLink59.xml"/><Relationship Id="rId64" Type="http://schemas.openxmlformats.org/officeDocument/2006/relationships/externalLink" Target="externalLinks/externalLink58.xml"/><Relationship Id="rId63" Type="http://schemas.openxmlformats.org/officeDocument/2006/relationships/externalLink" Target="externalLinks/externalLink57.xml"/><Relationship Id="rId62" Type="http://schemas.openxmlformats.org/officeDocument/2006/relationships/externalLink" Target="externalLinks/externalLink56.xml"/><Relationship Id="rId61" Type="http://schemas.openxmlformats.org/officeDocument/2006/relationships/externalLink" Target="externalLinks/externalLink55.xml"/><Relationship Id="rId60" Type="http://schemas.openxmlformats.org/officeDocument/2006/relationships/externalLink" Target="externalLinks/externalLink54.xml"/><Relationship Id="rId6" Type="http://schemas.openxmlformats.org/officeDocument/2006/relationships/customXml" Target="../customXml/item2.xml"/><Relationship Id="rId59" Type="http://schemas.openxmlformats.org/officeDocument/2006/relationships/externalLink" Target="externalLinks/externalLink53.xml"/><Relationship Id="rId58" Type="http://schemas.openxmlformats.org/officeDocument/2006/relationships/externalLink" Target="externalLinks/externalLink52.xml"/><Relationship Id="rId57" Type="http://schemas.openxmlformats.org/officeDocument/2006/relationships/externalLink" Target="externalLinks/externalLink51.xml"/><Relationship Id="rId56" Type="http://schemas.openxmlformats.org/officeDocument/2006/relationships/externalLink" Target="externalLinks/externalLink50.xml"/><Relationship Id="rId55" Type="http://schemas.openxmlformats.org/officeDocument/2006/relationships/externalLink" Target="externalLinks/externalLink49.xml"/><Relationship Id="rId54" Type="http://schemas.openxmlformats.org/officeDocument/2006/relationships/externalLink" Target="externalLinks/externalLink48.xml"/><Relationship Id="rId53" Type="http://schemas.openxmlformats.org/officeDocument/2006/relationships/externalLink" Target="externalLinks/externalLink47.xml"/><Relationship Id="rId52" Type="http://schemas.openxmlformats.org/officeDocument/2006/relationships/externalLink" Target="externalLinks/externalLink46.xml"/><Relationship Id="rId51" Type="http://schemas.openxmlformats.org/officeDocument/2006/relationships/externalLink" Target="externalLinks/externalLink45.xml"/><Relationship Id="rId50" Type="http://schemas.openxmlformats.org/officeDocument/2006/relationships/externalLink" Target="externalLinks/externalLink44.xml"/><Relationship Id="rId5" Type="http://schemas.openxmlformats.org/officeDocument/2006/relationships/customXml" Target="../customXml/item1.xml"/><Relationship Id="rId49" Type="http://schemas.openxmlformats.org/officeDocument/2006/relationships/externalLink" Target="externalLinks/externalLink43.xml"/><Relationship Id="rId48" Type="http://schemas.openxmlformats.org/officeDocument/2006/relationships/externalLink" Target="externalLinks/externalLink42.xml"/><Relationship Id="rId47" Type="http://schemas.openxmlformats.org/officeDocument/2006/relationships/externalLink" Target="externalLinks/externalLink41.xml"/><Relationship Id="rId46" Type="http://schemas.openxmlformats.org/officeDocument/2006/relationships/externalLink" Target="externalLinks/externalLink40.xml"/><Relationship Id="rId45" Type="http://schemas.openxmlformats.org/officeDocument/2006/relationships/externalLink" Target="externalLinks/externalLink39.xml"/><Relationship Id="rId44" Type="http://schemas.openxmlformats.org/officeDocument/2006/relationships/externalLink" Target="externalLinks/externalLink38.xml"/><Relationship Id="rId43" Type="http://schemas.openxmlformats.org/officeDocument/2006/relationships/externalLink" Target="externalLinks/externalLink37.xml"/><Relationship Id="rId42" Type="http://schemas.openxmlformats.org/officeDocument/2006/relationships/externalLink" Target="externalLinks/externalLink36.xml"/><Relationship Id="rId41" Type="http://schemas.openxmlformats.org/officeDocument/2006/relationships/externalLink" Target="externalLinks/externalLink35.xml"/><Relationship Id="rId40" Type="http://schemas.openxmlformats.org/officeDocument/2006/relationships/externalLink" Target="externalLinks/externalLink34.xml"/><Relationship Id="rId4" Type="http://schemas.openxmlformats.org/officeDocument/2006/relationships/worksheet" Target="worksheets/sheet4.xml"/><Relationship Id="rId39" Type="http://schemas.openxmlformats.org/officeDocument/2006/relationships/externalLink" Target="externalLinks/externalLink33.xml"/><Relationship Id="rId38" Type="http://schemas.openxmlformats.org/officeDocument/2006/relationships/externalLink" Target="externalLinks/externalLink32.xml"/><Relationship Id="rId37" Type="http://schemas.openxmlformats.org/officeDocument/2006/relationships/externalLink" Target="externalLinks/externalLink31.xml"/><Relationship Id="rId36" Type="http://schemas.openxmlformats.org/officeDocument/2006/relationships/externalLink" Target="externalLinks/externalLink30.xml"/><Relationship Id="rId35" Type="http://schemas.openxmlformats.org/officeDocument/2006/relationships/externalLink" Target="externalLinks/externalLink29.xml"/><Relationship Id="rId34" Type="http://schemas.openxmlformats.org/officeDocument/2006/relationships/externalLink" Target="externalLinks/externalLink28.xml"/><Relationship Id="rId33" Type="http://schemas.openxmlformats.org/officeDocument/2006/relationships/externalLink" Target="externalLinks/externalLink27.xml"/><Relationship Id="rId329" Type="http://schemas.openxmlformats.org/officeDocument/2006/relationships/sharedStrings" Target="sharedStrings.xml"/><Relationship Id="rId328" Type="http://schemas.openxmlformats.org/officeDocument/2006/relationships/styles" Target="styles.xml"/><Relationship Id="rId327" Type="http://schemas.openxmlformats.org/officeDocument/2006/relationships/theme" Target="theme/theme1.xml"/><Relationship Id="rId326" Type="http://schemas.openxmlformats.org/officeDocument/2006/relationships/externalLink" Target="externalLinks/externalLink320.xml"/><Relationship Id="rId325" Type="http://schemas.openxmlformats.org/officeDocument/2006/relationships/externalLink" Target="externalLinks/externalLink319.xml"/><Relationship Id="rId324" Type="http://schemas.openxmlformats.org/officeDocument/2006/relationships/externalLink" Target="externalLinks/externalLink318.xml"/><Relationship Id="rId323" Type="http://schemas.openxmlformats.org/officeDocument/2006/relationships/externalLink" Target="externalLinks/externalLink317.xml"/><Relationship Id="rId322" Type="http://schemas.openxmlformats.org/officeDocument/2006/relationships/externalLink" Target="externalLinks/externalLink316.xml"/><Relationship Id="rId321" Type="http://schemas.openxmlformats.org/officeDocument/2006/relationships/externalLink" Target="externalLinks/externalLink315.xml"/><Relationship Id="rId320" Type="http://schemas.openxmlformats.org/officeDocument/2006/relationships/externalLink" Target="externalLinks/externalLink314.xml"/><Relationship Id="rId32" Type="http://schemas.openxmlformats.org/officeDocument/2006/relationships/externalLink" Target="externalLinks/externalLink26.xml"/><Relationship Id="rId319" Type="http://schemas.openxmlformats.org/officeDocument/2006/relationships/externalLink" Target="externalLinks/externalLink313.xml"/><Relationship Id="rId318" Type="http://schemas.openxmlformats.org/officeDocument/2006/relationships/externalLink" Target="externalLinks/externalLink312.xml"/><Relationship Id="rId317" Type="http://schemas.openxmlformats.org/officeDocument/2006/relationships/externalLink" Target="externalLinks/externalLink311.xml"/><Relationship Id="rId316" Type="http://schemas.openxmlformats.org/officeDocument/2006/relationships/externalLink" Target="externalLinks/externalLink310.xml"/><Relationship Id="rId315" Type="http://schemas.openxmlformats.org/officeDocument/2006/relationships/externalLink" Target="externalLinks/externalLink309.xml"/><Relationship Id="rId314" Type="http://schemas.openxmlformats.org/officeDocument/2006/relationships/externalLink" Target="externalLinks/externalLink308.xml"/><Relationship Id="rId313" Type="http://schemas.openxmlformats.org/officeDocument/2006/relationships/externalLink" Target="externalLinks/externalLink307.xml"/><Relationship Id="rId312" Type="http://schemas.openxmlformats.org/officeDocument/2006/relationships/externalLink" Target="externalLinks/externalLink306.xml"/><Relationship Id="rId311" Type="http://schemas.openxmlformats.org/officeDocument/2006/relationships/externalLink" Target="externalLinks/externalLink305.xml"/><Relationship Id="rId310" Type="http://schemas.openxmlformats.org/officeDocument/2006/relationships/externalLink" Target="externalLinks/externalLink304.xml"/><Relationship Id="rId31" Type="http://schemas.openxmlformats.org/officeDocument/2006/relationships/externalLink" Target="externalLinks/externalLink25.xml"/><Relationship Id="rId309" Type="http://schemas.openxmlformats.org/officeDocument/2006/relationships/externalLink" Target="externalLinks/externalLink303.xml"/><Relationship Id="rId308" Type="http://schemas.openxmlformats.org/officeDocument/2006/relationships/externalLink" Target="externalLinks/externalLink302.xml"/><Relationship Id="rId307" Type="http://schemas.openxmlformats.org/officeDocument/2006/relationships/externalLink" Target="externalLinks/externalLink301.xml"/><Relationship Id="rId306" Type="http://schemas.openxmlformats.org/officeDocument/2006/relationships/externalLink" Target="externalLinks/externalLink300.xml"/><Relationship Id="rId305" Type="http://schemas.openxmlformats.org/officeDocument/2006/relationships/externalLink" Target="externalLinks/externalLink299.xml"/><Relationship Id="rId304" Type="http://schemas.openxmlformats.org/officeDocument/2006/relationships/externalLink" Target="externalLinks/externalLink298.xml"/><Relationship Id="rId303" Type="http://schemas.openxmlformats.org/officeDocument/2006/relationships/externalLink" Target="externalLinks/externalLink297.xml"/><Relationship Id="rId302" Type="http://schemas.openxmlformats.org/officeDocument/2006/relationships/externalLink" Target="externalLinks/externalLink296.xml"/><Relationship Id="rId301" Type="http://schemas.openxmlformats.org/officeDocument/2006/relationships/externalLink" Target="externalLinks/externalLink295.xml"/><Relationship Id="rId300" Type="http://schemas.openxmlformats.org/officeDocument/2006/relationships/externalLink" Target="externalLinks/externalLink294.xml"/><Relationship Id="rId30" Type="http://schemas.openxmlformats.org/officeDocument/2006/relationships/externalLink" Target="externalLinks/externalLink24.xml"/><Relationship Id="rId3" Type="http://schemas.openxmlformats.org/officeDocument/2006/relationships/worksheet" Target="worksheets/sheet3.xml"/><Relationship Id="rId299" Type="http://schemas.openxmlformats.org/officeDocument/2006/relationships/externalLink" Target="externalLinks/externalLink293.xml"/><Relationship Id="rId298" Type="http://schemas.openxmlformats.org/officeDocument/2006/relationships/externalLink" Target="externalLinks/externalLink292.xml"/><Relationship Id="rId297" Type="http://schemas.openxmlformats.org/officeDocument/2006/relationships/externalLink" Target="externalLinks/externalLink291.xml"/><Relationship Id="rId296" Type="http://schemas.openxmlformats.org/officeDocument/2006/relationships/externalLink" Target="externalLinks/externalLink290.xml"/><Relationship Id="rId295" Type="http://schemas.openxmlformats.org/officeDocument/2006/relationships/externalLink" Target="externalLinks/externalLink289.xml"/><Relationship Id="rId294" Type="http://schemas.openxmlformats.org/officeDocument/2006/relationships/externalLink" Target="externalLinks/externalLink288.xml"/><Relationship Id="rId293" Type="http://schemas.openxmlformats.org/officeDocument/2006/relationships/externalLink" Target="externalLinks/externalLink287.xml"/><Relationship Id="rId292" Type="http://schemas.openxmlformats.org/officeDocument/2006/relationships/externalLink" Target="externalLinks/externalLink286.xml"/><Relationship Id="rId291" Type="http://schemas.openxmlformats.org/officeDocument/2006/relationships/externalLink" Target="externalLinks/externalLink285.xml"/><Relationship Id="rId290" Type="http://schemas.openxmlformats.org/officeDocument/2006/relationships/externalLink" Target="externalLinks/externalLink284.xml"/><Relationship Id="rId29" Type="http://schemas.openxmlformats.org/officeDocument/2006/relationships/externalLink" Target="externalLinks/externalLink23.xml"/><Relationship Id="rId289" Type="http://schemas.openxmlformats.org/officeDocument/2006/relationships/externalLink" Target="externalLinks/externalLink283.xml"/><Relationship Id="rId288" Type="http://schemas.openxmlformats.org/officeDocument/2006/relationships/externalLink" Target="externalLinks/externalLink282.xml"/><Relationship Id="rId287" Type="http://schemas.openxmlformats.org/officeDocument/2006/relationships/externalLink" Target="externalLinks/externalLink281.xml"/><Relationship Id="rId286" Type="http://schemas.openxmlformats.org/officeDocument/2006/relationships/externalLink" Target="externalLinks/externalLink280.xml"/><Relationship Id="rId285" Type="http://schemas.openxmlformats.org/officeDocument/2006/relationships/externalLink" Target="externalLinks/externalLink279.xml"/><Relationship Id="rId284" Type="http://schemas.openxmlformats.org/officeDocument/2006/relationships/externalLink" Target="externalLinks/externalLink278.xml"/><Relationship Id="rId283" Type="http://schemas.openxmlformats.org/officeDocument/2006/relationships/externalLink" Target="externalLinks/externalLink277.xml"/><Relationship Id="rId282" Type="http://schemas.openxmlformats.org/officeDocument/2006/relationships/externalLink" Target="externalLinks/externalLink276.xml"/><Relationship Id="rId281" Type="http://schemas.openxmlformats.org/officeDocument/2006/relationships/externalLink" Target="externalLinks/externalLink275.xml"/><Relationship Id="rId280" Type="http://schemas.openxmlformats.org/officeDocument/2006/relationships/externalLink" Target="externalLinks/externalLink274.xml"/><Relationship Id="rId28" Type="http://schemas.openxmlformats.org/officeDocument/2006/relationships/externalLink" Target="externalLinks/externalLink22.xml"/><Relationship Id="rId279" Type="http://schemas.openxmlformats.org/officeDocument/2006/relationships/externalLink" Target="externalLinks/externalLink273.xml"/><Relationship Id="rId278" Type="http://schemas.openxmlformats.org/officeDocument/2006/relationships/externalLink" Target="externalLinks/externalLink272.xml"/><Relationship Id="rId277" Type="http://schemas.openxmlformats.org/officeDocument/2006/relationships/externalLink" Target="externalLinks/externalLink271.xml"/><Relationship Id="rId276" Type="http://schemas.openxmlformats.org/officeDocument/2006/relationships/externalLink" Target="externalLinks/externalLink270.xml"/><Relationship Id="rId275" Type="http://schemas.openxmlformats.org/officeDocument/2006/relationships/externalLink" Target="externalLinks/externalLink269.xml"/><Relationship Id="rId274" Type="http://schemas.openxmlformats.org/officeDocument/2006/relationships/externalLink" Target="externalLinks/externalLink268.xml"/><Relationship Id="rId273" Type="http://schemas.openxmlformats.org/officeDocument/2006/relationships/externalLink" Target="externalLinks/externalLink267.xml"/><Relationship Id="rId272" Type="http://schemas.openxmlformats.org/officeDocument/2006/relationships/externalLink" Target="externalLinks/externalLink266.xml"/><Relationship Id="rId271" Type="http://schemas.openxmlformats.org/officeDocument/2006/relationships/externalLink" Target="externalLinks/externalLink265.xml"/><Relationship Id="rId270" Type="http://schemas.openxmlformats.org/officeDocument/2006/relationships/externalLink" Target="externalLinks/externalLink264.xml"/><Relationship Id="rId27" Type="http://schemas.openxmlformats.org/officeDocument/2006/relationships/externalLink" Target="externalLinks/externalLink21.xml"/><Relationship Id="rId269" Type="http://schemas.openxmlformats.org/officeDocument/2006/relationships/externalLink" Target="externalLinks/externalLink263.xml"/><Relationship Id="rId268" Type="http://schemas.openxmlformats.org/officeDocument/2006/relationships/externalLink" Target="externalLinks/externalLink262.xml"/><Relationship Id="rId267" Type="http://schemas.openxmlformats.org/officeDocument/2006/relationships/externalLink" Target="externalLinks/externalLink261.xml"/><Relationship Id="rId266" Type="http://schemas.openxmlformats.org/officeDocument/2006/relationships/externalLink" Target="externalLinks/externalLink260.xml"/><Relationship Id="rId265" Type="http://schemas.openxmlformats.org/officeDocument/2006/relationships/externalLink" Target="externalLinks/externalLink259.xml"/><Relationship Id="rId264" Type="http://schemas.openxmlformats.org/officeDocument/2006/relationships/externalLink" Target="externalLinks/externalLink258.xml"/><Relationship Id="rId263" Type="http://schemas.openxmlformats.org/officeDocument/2006/relationships/externalLink" Target="externalLinks/externalLink257.xml"/><Relationship Id="rId262" Type="http://schemas.openxmlformats.org/officeDocument/2006/relationships/externalLink" Target="externalLinks/externalLink256.xml"/><Relationship Id="rId261" Type="http://schemas.openxmlformats.org/officeDocument/2006/relationships/externalLink" Target="externalLinks/externalLink255.xml"/><Relationship Id="rId260" Type="http://schemas.openxmlformats.org/officeDocument/2006/relationships/externalLink" Target="externalLinks/externalLink254.xml"/><Relationship Id="rId26" Type="http://schemas.openxmlformats.org/officeDocument/2006/relationships/externalLink" Target="externalLinks/externalLink20.xml"/><Relationship Id="rId259" Type="http://schemas.openxmlformats.org/officeDocument/2006/relationships/externalLink" Target="externalLinks/externalLink253.xml"/><Relationship Id="rId258" Type="http://schemas.openxmlformats.org/officeDocument/2006/relationships/externalLink" Target="externalLinks/externalLink252.xml"/><Relationship Id="rId257" Type="http://schemas.openxmlformats.org/officeDocument/2006/relationships/externalLink" Target="externalLinks/externalLink251.xml"/><Relationship Id="rId256" Type="http://schemas.openxmlformats.org/officeDocument/2006/relationships/externalLink" Target="externalLinks/externalLink250.xml"/><Relationship Id="rId255" Type="http://schemas.openxmlformats.org/officeDocument/2006/relationships/externalLink" Target="externalLinks/externalLink249.xml"/><Relationship Id="rId254" Type="http://schemas.openxmlformats.org/officeDocument/2006/relationships/externalLink" Target="externalLinks/externalLink248.xml"/><Relationship Id="rId253" Type="http://schemas.openxmlformats.org/officeDocument/2006/relationships/externalLink" Target="externalLinks/externalLink247.xml"/><Relationship Id="rId252" Type="http://schemas.openxmlformats.org/officeDocument/2006/relationships/externalLink" Target="externalLinks/externalLink246.xml"/><Relationship Id="rId251" Type="http://schemas.openxmlformats.org/officeDocument/2006/relationships/externalLink" Target="externalLinks/externalLink245.xml"/><Relationship Id="rId250" Type="http://schemas.openxmlformats.org/officeDocument/2006/relationships/externalLink" Target="externalLinks/externalLink244.xml"/><Relationship Id="rId25" Type="http://schemas.openxmlformats.org/officeDocument/2006/relationships/externalLink" Target="externalLinks/externalLink19.xml"/><Relationship Id="rId249" Type="http://schemas.openxmlformats.org/officeDocument/2006/relationships/externalLink" Target="externalLinks/externalLink243.xml"/><Relationship Id="rId248" Type="http://schemas.openxmlformats.org/officeDocument/2006/relationships/externalLink" Target="externalLinks/externalLink242.xml"/><Relationship Id="rId247" Type="http://schemas.openxmlformats.org/officeDocument/2006/relationships/externalLink" Target="externalLinks/externalLink241.xml"/><Relationship Id="rId246" Type="http://schemas.openxmlformats.org/officeDocument/2006/relationships/externalLink" Target="externalLinks/externalLink240.xml"/><Relationship Id="rId245" Type="http://schemas.openxmlformats.org/officeDocument/2006/relationships/externalLink" Target="externalLinks/externalLink239.xml"/><Relationship Id="rId244" Type="http://schemas.openxmlformats.org/officeDocument/2006/relationships/externalLink" Target="externalLinks/externalLink238.xml"/><Relationship Id="rId243" Type="http://schemas.openxmlformats.org/officeDocument/2006/relationships/externalLink" Target="externalLinks/externalLink237.xml"/><Relationship Id="rId242" Type="http://schemas.openxmlformats.org/officeDocument/2006/relationships/externalLink" Target="externalLinks/externalLink236.xml"/><Relationship Id="rId241" Type="http://schemas.openxmlformats.org/officeDocument/2006/relationships/externalLink" Target="externalLinks/externalLink235.xml"/><Relationship Id="rId240" Type="http://schemas.openxmlformats.org/officeDocument/2006/relationships/externalLink" Target="externalLinks/externalLink234.xml"/><Relationship Id="rId24" Type="http://schemas.openxmlformats.org/officeDocument/2006/relationships/externalLink" Target="externalLinks/externalLink18.xml"/><Relationship Id="rId239" Type="http://schemas.openxmlformats.org/officeDocument/2006/relationships/externalLink" Target="externalLinks/externalLink233.xml"/><Relationship Id="rId238" Type="http://schemas.openxmlformats.org/officeDocument/2006/relationships/externalLink" Target="externalLinks/externalLink232.xml"/><Relationship Id="rId237" Type="http://schemas.openxmlformats.org/officeDocument/2006/relationships/externalLink" Target="externalLinks/externalLink231.xml"/><Relationship Id="rId236" Type="http://schemas.openxmlformats.org/officeDocument/2006/relationships/externalLink" Target="externalLinks/externalLink230.xml"/><Relationship Id="rId235" Type="http://schemas.openxmlformats.org/officeDocument/2006/relationships/externalLink" Target="externalLinks/externalLink229.xml"/><Relationship Id="rId234" Type="http://schemas.openxmlformats.org/officeDocument/2006/relationships/externalLink" Target="externalLinks/externalLink228.xml"/><Relationship Id="rId233" Type="http://schemas.openxmlformats.org/officeDocument/2006/relationships/externalLink" Target="externalLinks/externalLink227.xml"/><Relationship Id="rId232" Type="http://schemas.openxmlformats.org/officeDocument/2006/relationships/externalLink" Target="externalLinks/externalLink226.xml"/><Relationship Id="rId231" Type="http://schemas.openxmlformats.org/officeDocument/2006/relationships/externalLink" Target="externalLinks/externalLink225.xml"/><Relationship Id="rId230" Type="http://schemas.openxmlformats.org/officeDocument/2006/relationships/externalLink" Target="externalLinks/externalLink224.xml"/><Relationship Id="rId23" Type="http://schemas.openxmlformats.org/officeDocument/2006/relationships/externalLink" Target="externalLinks/externalLink17.xml"/><Relationship Id="rId229" Type="http://schemas.openxmlformats.org/officeDocument/2006/relationships/externalLink" Target="externalLinks/externalLink223.xml"/><Relationship Id="rId228" Type="http://schemas.openxmlformats.org/officeDocument/2006/relationships/externalLink" Target="externalLinks/externalLink222.xml"/><Relationship Id="rId227" Type="http://schemas.openxmlformats.org/officeDocument/2006/relationships/externalLink" Target="externalLinks/externalLink221.xml"/><Relationship Id="rId226" Type="http://schemas.openxmlformats.org/officeDocument/2006/relationships/externalLink" Target="externalLinks/externalLink220.xml"/><Relationship Id="rId225" Type="http://schemas.openxmlformats.org/officeDocument/2006/relationships/externalLink" Target="externalLinks/externalLink219.xml"/><Relationship Id="rId224" Type="http://schemas.openxmlformats.org/officeDocument/2006/relationships/externalLink" Target="externalLinks/externalLink218.xml"/><Relationship Id="rId223" Type="http://schemas.openxmlformats.org/officeDocument/2006/relationships/externalLink" Target="externalLinks/externalLink217.xml"/><Relationship Id="rId222" Type="http://schemas.openxmlformats.org/officeDocument/2006/relationships/externalLink" Target="externalLinks/externalLink216.xml"/><Relationship Id="rId221" Type="http://schemas.openxmlformats.org/officeDocument/2006/relationships/externalLink" Target="externalLinks/externalLink215.xml"/><Relationship Id="rId220" Type="http://schemas.openxmlformats.org/officeDocument/2006/relationships/externalLink" Target="externalLinks/externalLink214.xml"/><Relationship Id="rId22" Type="http://schemas.openxmlformats.org/officeDocument/2006/relationships/externalLink" Target="externalLinks/externalLink16.xml"/><Relationship Id="rId219" Type="http://schemas.openxmlformats.org/officeDocument/2006/relationships/externalLink" Target="externalLinks/externalLink213.xml"/><Relationship Id="rId218" Type="http://schemas.openxmlformats.org/officeDocument/2006/relationships/externalLink" Target="externalLinks/externalLink212.xml"/><Relationship Id="rId217" Type="http://schemas.openxmlformats.org/officeDocument/2006/relationships/externalLink" Target="externalLinks/externalLink211.xml"/><Relationship Id="rId216" Type="http://schemas.openxmlformats.org/officeDocument/2006/relationships/externalLink" Target="externalLinks/externalLink210.xml"/><Relationship Id="rId215" Type="http://schemas.openxmlformats.org/officeDocument/2006/relationships/externalLink" Target="externalLinks/externalLink209.xml"/><Relationship Id="rId214" Type="http://schemas.openxmlformats.org/officeDocument/2006/relationships/externalLink" Target="externalLinks/externalLink208.xml"/><Relationship Id="rId213" Type="http://schemas.openxmlformats.org/officeDocument/2006/relationships/externalLink" Target="externalLinks/externalLink207.xml"/><Relationship Id="rId212" Type="http://schemas.openxmlformats.org/officeDocument/2006/relationships/externalLink" Target="externalLinks/externalLink206.xml"/><Relationship Id="rId211" Type="http://schemas.openxmlformats.org/officeDocument/2006/relationships/externalLink" Target="externalLinks/externalLink205.xml"/><Relationship Id="rId210" Type="http://schemas.openxmlformats.org/officeDocument/2006/relationships/externalLink" Target="externalLinks/externalLink204.xml"/><Relationship Id="rId21" Type="http://schemas.openxmlformats.org/officeDocument/2006/relationships/externalLink" Target="externalLinks/externalLink15.xml"/><Relationship Id="rId209" Type="http://schemas.openxmlformats.org/officeDocument/2006/relationships/externalLink" Target="externalLinks/externalLink203.xml"/><Relationship Id="rId208" Type="http://schemas.openxmlformats.org/officeDocument/2006/relationships/externalLink" Target="externalLinks/externalLink202.xml"/><Relationship Id="rId207" Type="http://schemas.openxmlformats.org/officeDocument/2006/relationships/externalLink" Target="externalLinks/externalLink201.xml"/><Relationship Id="rId206" Type="http://schemas.openxmlformats.org/officeDocument/2006/relationships/externalLink" Target="externalLinks/externalLink200.xml"/><Relationship Id="rId205" Type="http://schemas.openxmlformats.org/officeDocument/2006/relationships/externalLink" Target="externalLinks/externalLink199.xml"/><Relationship Id="rId204" Type="http://schemas.openxmlformats.org/officeDocument/2006/relationships/externalLink" Target="externalLinks/externalLink198.xml"/><Relationship Id="rId203" Type="http://schemas.openxmlformats.org/officeDocument/2006/relationships/externalLink" Target="externalLinks/externalLink197.xml"/><Relationship Id="rId202" Type="http://schemas.openxmlformats.org/officeDocument/2006/relationships/externalLink" Target="externalLinks/externalLink196.xml"/><Relationship Id="rId201" Type="http://schemas.openxmlformats.org/officeDocument/2006/relationships/externalLink" Target="externalLinks/externalLink195.xml"/><Relationship Id="rId200" Type="http://schemas.openxmlformats.org/officeDocument/2006/relationships/externalLink" Target="externalLinks/externalLink194.xml"/><Relationship Id="rId20" Type="http://schemas.openxmlformats.org/officeDocument/2006/relationships/externalLink" Target="externalLinks/externalLink14.xml"/><Relationship Id="rId2" Type="http://schemas.openxmlformats.org/officeDocument/2006/relationships/worksheet" Target="worksheets/sheet2.xml"/><Relationship Id="rId199" Type="http://schemas.openxmlformats.org/officeDocument/2006/relationships/externalLink" Target="externalLinks/externalLink193.xml"/><Relationship Id="rId198" Type="http://schemas.openxmlformats.org/officeDocument/2006/relationships/externalLink" Target="externalLinks/externalLink192.xml"/><Relationship Id="rId197" Type="http://schemas.openxmlformats.org/officeDocument/2006/relationships/externalLink" Target="externalLinks/externalLink191.xml"/><Relationship Id="rId196" Type="http://schemas.openxmlformats.org/officeDocument/2006/relationships/externalLink" Target="externalLinks/externalLink190.xml"/><Relationship Id="rId195" Type="http://schemas.openxmlformats.org/officeDocument/2006/relationships/externalLink" Target="externalLinks/externalLink189.xml"/><Relationship Id="rId194" Type="http://schemas.openxmlformats.org/officeDocument/2006/relationships/externalLink" Target="externalLinks/externalLink188.xml"/><Relationship Id="rId193" Type="http://schemas.openxmlformats.org/officeDocument/2006/relationships/externalLink" Target="externalLinks/externalLink187.xml"/><Relationship Id="rId192" Type="http://schemas.openxmlformats.org/officeDocument/2006/relationships/externalLink" Target="externalLinks/externalLink186.xml"/><Relationship Id="rId191" Type="http://schemas.openxmlformats.org/officeDocument/2006/relationships/externalLink" Target="externalLinks/externalLink185.xml"/><Relationship Id="rId190" Type="http://schemas.openxmlformats.org/officeDocument/2006/relationships/externalLink" Target="externalLinks/externalLink184.xml"/><Relationship Id="rId19" Type="http://schemas.openxmlformats.org/officeDocument/2006/relationships/externalLink" Target="externalLinks/externalLink13.xml"/><Relationship Id="rId189" Type="http://schemas.openxmlformats.org/officeDocument/2006/relationships/externalLink" Target="externalLinks/externalLink183.xml"/><Relationship Id="rId188" Type="http://schemas.openxmlformats.org/officeDocument/2006/relationships/externalLink" Target="externalLinks/externalLink182.xml"/><Relationship Id="rId187" Type="http://schemas.openxmlformats.org/officeDocument/2006/relationships/externalLink" Target="externalLinks/externalLink181.xml"/><Relationship Id="rId186" Type="http://schemas.openxmlformats.org/officeDocument/2006/relationships/externalLink" Target="externalLinks/externalLink180.xml"/><Relationship Id="rId185" Type="http://schemas.openxmlformats.org/officeDocument/2006/relationships/externalLink" Target="externalLinks/externalLink179.xml"/><Relationship Id="rId184" Type="http://schemas.openxmlformats.org/officeDocument/2006/relationships/externalLink" Target="externalLinks/externalLink178.xml"/><Relationship Id="rId183" Type="http://schemas.openxmlformats.org/officeDocument/2006/relationships/externalLink" Target="externalLinks/externalLink177.xml"/><Relationship Id="rId182" Type="http://schemas.openxmlformats.org/officeDocument/2006/relationships/externalLink" Target="externalLinks/externalLink176.xml"/><Relationship Id="rId181" Type="http://schemas.openxmlformats.org/officeDocument/2006/relationships/externalLink" Target="externalLinks/externalLink175.xml"/><Relationship Id="rId180" Type="http://schemas.openxmlformats.org/officeDocument/2006/relationships/externalLink" Target="externalLinks/externalLink174.xml"/><Relationship Id="rId18" Type="http://schemas.openxmlformats.org/officeDocument/2006/relationships/externalLink" Target="externalLinks/externalLink12.xml"/><Relationship Id="rId179" Type="http://schemas.openxmlformats.org/officeDocument/2006/relationships/externalLink" Target="externalLinks/externalLink173.xml"/><Relationship Id="rId178" Type="http://schemas.openxmlformats.org/officeDocument/2006/relationships/externalLink" Target="externalLinks/externalLink172.xml"/><Relationship Id="rId177" Type="http://schemas.openxmlformats.org/officeDocument/2006/relationships/externalLink" Target="externalLinks/externalLink171.xml"/><Relationship Id="rId176" Type="http://schemas.openxmlformats.org/officeDocument/2006/relationships/externalLink" Target="externalLinks/externalLink170.xml"/><Relationship Id="rId175" Type="http://schemas.openxmlformats.org/officeDocument/2006/relationships/externalLink" Target="externalLinks/externalLink169.xml"/><Relationship Id="rId174" Type="http://schemas.openxmlformats.org/officeDocument/2006/relationships/externalLink" Target="externalLinks/externalLink168.xml"/><Relationship Id="rId173" Type="http://schemas.openxmlformats.org/officeDocument/2006/relationships/externalLink" Target="externalLinks/externalLink167.xml"/><Relationship Id="rId172" Type="http://schemas.openxmlformats.org/officeDocument/2006/relationships/externalLink" Target="externalLinks/externalLink166.xml"/><Relationship Id="rId171" Type="http://schemas.openxmlformats.org/officeDocument/2006/relationships/externalLink" Target="externalLinks/externalLink165.xml"/><Relationship Id="rId170" Type="http://schemas.openxmlformats.org/officeDocument/2006/relationships/externalLink" Target="externalLinks/externalLink164.xml"/><Relationship Id="rId17" Type="http://schemas.openxmlformats.org/officeDocument/2006/relationships/externalLink" Target="externalLinks/externalLink11.xml"/><Relationship Id="rId169" Type="http://schemas.openxmlformats.org/officeDocument/2006/relationships/externalLink" Target="externalLinks/externalLink163.xml"/><Relationship Id="rId168" Type="http://schemas.openxmlformats.org/officeDocument/2006/relationships/externalLink" Target="externalLinks/externalLink162.xml"/><Relationship Id="rId167" Type="http://schemas.openxmlformats.org/officeDocument/2006/relationships/externalLink" Target="externalLinks/externalLink161.xml"/><Relationship Id="rId166" Type="http://schemas.openxmlformats.org/officeDocument/2006/relationships/externalLink" Target="externalLinks/externalLink160.xml"/><Relationship Id="rId165" Type="http://schemas.openxmlformats.org/officeDocument/2006/relationships/externalLink" Target="externalLinks/externalLink159.xml"/><Relationship Id="rId164" Type="http://schemas.openxmlformats.org/officeDocument/2006/relationships/externalLink" Target="externalLinks/externalLink158.xml"/><Relationship Id="rId163" Type="http://schemas.openxmlformats.org/officeDocument/2006/relationships/externalLink" Target="externalLinks/externalLink157.xml"/><Relationship Id="rId162" Type="http://schemas.openxmlformats.org/officeDocument/2006/relationships/externalLink" Target="externalLinks/externalLink156.xml"/><Relationship Id="rId161" Type="http://schemas.openxmlformats.org/officeDocument/2006/relationships/externalLink" Target="externalLinks/externalLink155.xml"/><Relationship Id="rId160" Type="http://schemas.openxmlformats.org/officeDocument/2006/relationships/externalLink" Target="externalLinks/externalLink154.xml"/><Relationship Id="rId16" Type="http://schemas.openxmlformats.org/officeDocument/2006/relationships/externalLink" Target="externalLinks/externalLink10.xml"/><Relationship Id="rId159" Type="http://schemas.openxmlformats.org/officeDocument/2006/relationships/externalLink" Target="externalLinks/externalLink153.xml"/><Relationship Id="rId158" Type="http://schemas.openxmlformats.org/officeDocument/2006/relationships/externalLink" Target="externalLinks/externalLink152.xml"/><Relationship Id="rId157" Type="http://schemas.openxmlformats.org/officeDocument/2006/relationships/externalLink" Target="externalLinks/externalLink151.xml"/><Relationship Id="rId156" Type="http://schemas.openxmlformats.org/officeDocument/2006/relationships/externalLink" Target="externalLinks/externalLink150.xml"/><Relationship Id="rId155" Type="http://schemas.openxmlformats.org/officeDocument/2006/relationships/externalLink" Target="externalLinks/externalLink149.xml"/><Relationship Id="rId154" Type="http://schemas.openxmlformats.org/officeDocument/2006/relationships/externalLink" Target="externalLinks/externalLink148.xml"/><Relationship Id="rId153" Type="http://schemas.openxmlformats.org/officeDocument/2006/relationships/externalLink" Target="externalLinks/externalLink147.xml"/><Relationship Id="rId152" Type="http://schemas.openxmlformats.org/officeDocument/2006/relationships/externalLink" Target="externalLinks/externalLink146.xml"/><Relationship Id="rId151" Type="http://schemas.openxmlformats.org/officeDocument/2006/relationships/externalLink" Target="externalLinks/externalLink145.xml"/><Relationship Id="rId150" Type="http://schemas.openxmlformats.org/officeDocument/2006/relationships/externalLink" Target="externalLinks/externalLink144.xml"/><Relationship Id="rId15" Type="http://schemas.openxmlformats.org/officeDocument/2006/relationships/externalLink" Target="externalLinks/externalLink9.xml"/><Relationship Id="rId149" Type="http://schemas.openxmlformats.org/officeDocument/2006/relationships/externalLink" Target="externalLinks/externalLink143.xml"/><Relationship Id="rId148" Type="http://schemas.openxmlformats.org/officeDocument/2006/relationships/externalLink" Target="externalLinks/externalLink142.xml"/><Relationship Id="rId147" Type="http://schemas.openxmlformats.org/officeDocument/2006/relationships/externalLink" Target="externalLinks/externalLink141.xml"/><Relationship Id="rId146" Type="http://schemas.openxmlformats.org/officeDocument/2006/relationships/externalLink" Target="externalLinks/externalLink140.xml"/><Relationship Id="rId145" Type="http://schemas.openxmlformats.org/officeDocument/2006/relationships/externalLink" Target="externalLinks/externalLink139.xml"/><Relationship Id="rId144" Type="http://schemas.openxmlformats.org/officeDocument/2006/relationships/externalLink" Target="externalLinks/externalLink138.xml"/><Relationship Id="rId143" Type="http://schemas.openxmlformats.org/officeDocument/2006/relationships/externalLink" Target="externalLinks/externalLink137.xml"/><Relationship Id="rId142" Type="http://schemas.openxmlformats.org/officeDocument/2006/relationships/externalLink" Target="externalLinks/externalLink136.xml"/><Relationship Id="rId141" Type="http://schemas.openxmlformats.org/officeDocument/2006/relationships/externalLink" Target="externalLinks/externalLink135.xml"/><Relationship Id="rId140" Type="http://schemas.openxmlformats.org/officeDocument/2006/relationships/externalLink" Target="externalLinks/externalLink134.xml"/><Relationship Id="rId14" Type="http://schemas.openxmlformats.org/officeDocument/2006/relationships/externalLink" Target="externalLinks/externalLink8.xml"/><Relationship Id="rId139" Type="http://schemas.openxmlformats.org/officeDocument/2006/relationships/externalLink" Target="externalLinks/externalLink133.xml"/><Relationship Id="rId138" Type="http://schemas.openxmlformats.org/officeDocument/2006/relationships/externalLink" Target="externalLinks/externalLink132.xml"/><Relationship Id="rId137" Type="http://schemas.openxmlformats.org/officeDocument/2006/relationships/externalLink" Target="externalLinks/externalLink131.xml"/><Relationship Id="rId136" Type="http://schemas.openxmlformats.org/officeDocument/2006/relationships/externalLink" Target="externalLinks/externalLink130.xml"/><Relationship Id="rId135" Type="http://schemas.openxmlformats.org/officeDocument/2006/relationships/externalLink" Target="externalLinks/externalLink129.xml"/><Relationship Id="rId134" Type="http://schemas.openxmlformats.org/officeDocument/2006/relationships/externalLink" Target="externalLinks/externalLink128.xml"/><Relationship Id="rId133" Type="http://schemas.openxmlformats.org/officeDocument/2006/relationships/externalLink" Target="externalLinks/externalLink127.xml"/><Relationship Id="rId132" Type="http://schemas.openxmlformats.org/officeDocument/2006/relationships/externalLink" Target="externalLinks/externalLink126.xml"/><Relationship Id="rId131" Type="http://schemas.openxmlformats.org/officeDocument/2006/relationships/externalLink" Target="externalLinks/externalLink125.xml"/><Relationship Id="rId130" Type="http://schemas.openxmlformats.org/officeDocument/2006/relationships/externalLink" Target="externalLinks/externalLink124.xml"/><Relationship Id="rId13" Type="http://schemas.openxmlformats.org/officeDocument/2006/relationships/externalLink" Target="externalLinks/externalLink7.xml"/><Relationship Id="rId129" Type="http://schemas.openxmlformats.org/officeDocument/2006/relationships/externalLink" Target="externalLinks/externalLink123.xml"/><Relationship Id="rId128" Type="http://schemas.openxmlformats.org/officeDocument/2006/relationships/externalLink" Target="externalLinks/externalLink122.xml"/><Relationship Id="rId127" Type="http://schemas.openxmlformats.org/officeDocument/2006/relationships/externalLink" Target="externalLinks/externalLink121.xml"/><Relationship Id="rId126" Type="http://schemas.openxmlformats.org/officeDocument/2006/relationships/externalLink" Target="externalLinks/externalLink120.xml"/><Relationship Id="rId125" Type="http://schemas.openxmlformats.org/officeDocument/2006/relationships/externalLink" Target="externalLinks/externalLink119.xml"/><Relationship Id="rId124" Type="http://schemas.openxmlformats.org/officeDocument/2006/relationships/externalLink" Target="externalLinks/externalLink118.xml"/><Relationship Id="rId123" Type="http://schemas.openxmlformats.org/officeDocument/2006/relationships/externalLink" Target="externalLinks/externalLink117.xml"/><Relationship Id="rId122" Type="http://schemas.openxmlformats.org/officeDocument/2006/relationships/externalLink" Target="externalLinks/externalLink116.xml"/><Relationship Id="rId121" Type="http://schemas.openxmlformats.org/officeDocument/2006/relationships/externalLink" Target="externalLinks/externalLink115.xml"/><Relationship Id="rId120" Type="http://schemas.openxmlformats.org/officeDocument/2006/relationships/externalLink" Target="externalLinks/externalLink114.xml"/><Relationship Id="rId12" Type="http://schemas.openxmlformats.org/officeDocument/2006/relationships/externalLink" Target="externalLinks/externalLink6.xml"/><Relationship Id="rId119" Type="http://schemas.openxmlformats.org/officeDocument/2006/relationships/externalLink" Target="externalLinks/externalLink113.xml"/><Relationship Id="rId118" Type="http://schemas.openxmlformats.org/officeDocument/2006/relationships/externalLink" Target="externalLinks/externalLink112.xml"/><Relationship Id="rId117" Type="http://schemas.openxmlformats.org/officeDocument/2006/relationships/externalLink" Target="externalLinks/externalLink111.xml"/><Relationship Id="rId116" Type="http://schemas.openxmlformats.org/officeDocument/2006/relationships/externalLink" Target="externalLinks/externalLink110.xml"/><Relationship Id="rId115" Type="http://schemas.openxmlformats.org/officeDocument/2006/relationships/externalLink" Target="externalLinks/externalLink109.xml"/><Relationship Id="rId114" Type="http://schemas.openxmlformats.org/officeDocument/2006/relationships/externalLink" Target="externalLinks/externalLink108.xml"/><Relationship Id="rId113" Type="http://schemas.openxmlformats.org/officeDocument/2006/relationships/externalLink" Target="externalLinks/externalLink107.xml"/><Relationship Id="rId112" Type="http://schemas.openxmlformats.org/officeDocument/2006/relationships/externalLink" Target="externalLinks/externalLink106.xml"/><Relationship Id="rId111" Type="http://schemas.openxmlformats.org/officeDocument/2006/relationships/externalLink" Target="externalLinks/externalLink105.xml"/><Relationship Id="rId110" Type="http://schemas.openxmlformats.org/officeDocument/2006/relationships/externalLink" Target="externalLinks/externalLink104.xml"/><Relationship Id="rId11" Type="http://schemas.openxmlformats.org/officeDocument/2006/relationships/externalLink" Target="externalLinks/externalLink5.xml"/><Relationship Id="rId109" Type="http://schemas.openxmlformats.org/officeDocument/2006/relationships/externalLink" Target="externalLinks/externalLink103.xml"/><Relationship Id="rId108" Type="http://schemas.openxmlformats.org/officeDocument/2006/relationships/externalLink" Target="externalLinks/externalLink102.xml"/><Relationship Id="rId107" Type="http://schemas.openxmlformats.org/officeDocument/2006/relationships/externalLink" Target="externalLinks/externalLink101.xml"/><Relationship Id="rId106" Type="http://schemas.openxmlformats.org/officeDocument/2006/relationships/externalLink" Target="externalLinks/externalLink100.xml"/><Relationship Id="rId105" Type="http://schemas.openxmlformats.org/officeDocument/2006/relationships/externalLink" Target="externalLinks/externalLink99.xml"/><Relationship Id="rId104" Type="http://schemas.openxmlformats.org/officeDocument/2006/relationships/externalLink" Target="externalLinks/externalLink98.xml"/><Relationship Id="rId103" Type="http://schemas.openxmlformats.org/officeDocument/2006/relationships/externalLink" Target="externalLinks/externalLink97.xml"/><Relationship Id="rId102" Type="http://schemas.openxmlformats.org/officeDocument/2006/relationships/externalLink" Target="externalLinks/externalLink96.xml"/><Relationship Id="rId101" Type="http://schemas.openxmlformats.org/officeDocument/2006/relationships/externalLink" Target="externalLinks/externalLink95.xml"/><Relationship Id="rId100" Type="http://schemas.openxmlformats.org/officeDocument/2006/relationships/externalLink" Target="externalLinks/externalLink94.xml"/><Relationship Id="rId10" Type="http://schemas.openxmlformats.org/officeDocument/2006/relationships/externalLink" Target="externalLinks/externalLink4.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VALUAT~1\APLMAR9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1.32\Job\JOB\Alpha%20Apparels%20Ltd_08-11-07\3.Working%20BOQ\Basic%20offer\BOQ_Omega_ACMV_09_11_0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Mufsjmms1\ibd\TEMP\Compco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llaning\shareddocs\JMC\JMCNEW\SP\TCS%20Gandhinagar\Working\TCS%20%20RA-with-cement-stee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Boniface\bonny%20share\Amila\hikkaduwa\print%20doc\BACKUP%20PODI%20RASIKA22.08.2008\Printed%20BOQ\B.%20O.%20Q\Rukmali%20Samarasinghe\Chandra\Boq_4s\Back%20House\pensionFINALplacidu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I:\Management\Mgmt%20Accts\1999-2000\November%201999\November%201999%20@%20Feb%20200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Tiprfs02\fpa\Documents%20and%20Settings\MorizzoP\Local%20Settings\Temporary%20Internet%20Files\OLK3\SVC_REV_OPS_06_APR_fy04b.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2-TENDER%20PROJECT\2008%20Tender\D2-0082-Marina%20Sands-%20IR%20Museum\D2-0082-ACMV%20-%20Resorts%20World%20at%20Sentosa.xls(27.12.07).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W:\DOCUME~1\Admin\LOCALS~1\Temp\Temporary%20Directory%201%20for%20Draft%20final%204.00%20p,m.zip\Users\Win-7\AppData\Local\Microsoft\Windows\Temporary%20Internet%20Files\Low\Content.IE5\SSL5YQDC\COST%20CODE.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rajfls01\data_k$\FI\Pricing\Revenue\revenue%20report%20-%20FY15%20-%20July%20YTD.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Y:\Users\imanihitinayake\Documents\iMANI\Sky\document\Jobs\SKY%20Projects\Keels-%20distibution%20center\Review-50mn%20reduction%20\VE%20sky%20working\Sky%20VE%20Report\MECH\VE%20priced%20BOQ\SUBMISSION\BOQ\Rate%20analysis%20JKH%20-%20AC2%20-R1.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ROSE.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server1\DESIGN\Infra\Geotech\Crep\Soil-inv\O1097\DJB-0509\Spt-BH.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ser\shavin.sedere\OneDrive%20-%20Hayleys%20Group\Desktop\Siyapatha\Final%20Payment\&#44552;&#50997;&#48708;&#50857;"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ActivePrj\BandIP\BandF\Drawings\Cement\Prince\BOQ\Airport-tender\Aditya-%20BOQ-workings-To%20Site-04.08.04.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ActivePrj\BandIP\BandF\Drawings\Cement\Prince\BOQ\O2120\Aditya-%20BOQ-workings-To%20Site-04.08.0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tristfp1\TAV%20INSAAT\Teknik%20Koordinatorluk\Teklif%20Mudurlugu\Teklif%20Calismalari\ABU%20DHABI%20-%20MTB\BAFO%20Works%20(05.03.2012)\Copy%20of%20Comparison%20of%20Section%20P_LET_Rev%2004.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192.168.50.6\Emer\emer_jonson\05.08.12_Construction%20Stage\Price%20Comp%20Nego\Structures\My%20Documents\to%20do%20in%20indi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BandIP\BandF\Drawings\Housing\NARAYAN\BOQ\O2120\O2120-C-HP-01-BOQ-WORKINGS-COLS.%20&amp;%20SLABS-ALL%20Flrs..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92.168.50.6\Emer\emer_jonson\05.08.12_Construction%20Stage\Price%20Comp%20Nego\Structures\emer\AK%20Project%2003\gsis%20qc%20branch%20ofc\gsis%20cost%20estimate-mldm.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erver\e\FROM%20OTHER%20MC\JOB\SETHMIL%20DEVELOERS_COM%20BUILDING\SUBMITTED%20TO%20Mr.RAMOS%20ON%2014.12.2006\14.12.2006.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D817F10\P-18-12-2k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192.168.1.32\Job\JOB\Banyan%20Tree%20Resort_13-11-2006\BOQ\BOQ_ACMV_BANYAN%20TREE_31-10-2006.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rva020\atyrau$\Documents%20and%20Settings\A0731\Desktop\Jacob\Haradh\PlanData\Planning&amp;reporting.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roducts\Price%20Lists\Security\AAAA_Security\Price%20List%20as%20@%20FY10\Security_Price_List_FY10%20Issue_1Dec0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I:\Raj\1154-YISHUN%20S5a\MC\C\Out\017a.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X:\JICA\&#65418;&#65439;&#65420;&#65439;&#65393;&#65414;&#65389;-&#65399;&#65438;&#65414;&#65393;BD\&#65420;&#65384;&#65432;&#65419;&#65439;&#65437;&#35386;&#30274;\JICA&#27010;&#32207;.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Server\E\Djibouti%20project\BOQ%20MAY,%202006\BOQ%20ACMV_May%202006_Finalized.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A:\windows\TEMP\TEMP\CP#2.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P:\Projects\Nano%20Technology%20Park\BOQ\BOQ%20Main%20Building\BOQ%20NANO%20MAIN%20BUILDING%20MVAC.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Port%20City%20Villa\Master01"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1.%20YEL\13.1%20.%20Banquet%20Hall\05.%20BANQUET%20HALL%20from%20Server%202016-11-07\02.%20WORKING%20DOCUMENT\10%20Revision%20with%20kitchen%20service%202016-11-08\1%20With%20Preliminary%202016-11-08\Electrical%20%20BOQ_%20Banquet%20Hall%20-%20R1%202016-09-07.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Port%20City%20Villa\RecoveredExternalLink1"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W:\DOCUME~1\Admin\LOCALS~1\Temp\Temporary%20Directory%201%20for%20Draft%20final%204.00%20p,m.zip\Users\Win-7\AppData\Local\Microsoft\Windows\Temporary%20Internet%20Files\Low\Content.IE5\SSL5YQDC\UnitSOBRR.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ESTI\&#54644;&#50808;\FED\R-0054\KHM\98&#51452;&#49885;.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Nt-idbcd-wg1\USER\SETSUBI\ME-2&#31309;&#31639;\01&#31309;&#31639;&#12503;&#12525;&#12472;&#12455;&#12463;&#12488;\&#20013;&#22269;\(2004.12)ACW%20PJ(&#12381;&#12398;2&#65289;\pulau%20final\WINDOWS\Desktop\New%20Folder\Qo-1585.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H:\Users\Administrator\AppData\Local\Microsoft\Windows\Temporary%20Internet%20Files\Content.Outlook\ETBYE7MA\LOLC%20-%20Electrical%20BOQ%20%2006-2-201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192.168.2.3\design\Documents%20and%20Settings\dxmoyle\My%20Documents\Miscellaneous%20DCM%20Data\Airport%20Cost%20Comparisons%20Rev05.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Bctech07\W2Dat07\BCQs\C423kallang%20Expressway\C423backup1022\C423pumproom.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172.26.6.200\Documents%20and%20Settings\dxmoyle\My%20Documents\Miscellaneous%20DCM%20Data\Airport%20Cost%20Comparisons%20Rev05.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FAEDXA1000.wsatkins.com\AEDXAHome$\Users\omq00665\Desktop\(9a)%20Schedule%205(Sched%20of%20Rates%20-%20cesmm).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Aebdata\Projects\Documents%20and%20Settings\Administrator\Local%20Settings\Temporary%20Internet%20Files\Content.IE5\LG0JXPGX\Devindra\Golf%20Course%20Clubhouse%20and%20Academy\External%20Stair%20Cases.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Users\QS_02\Desktop\BOQ%20R3\Copy%20of%20802%20Estimation-6%2018.03.13.xlsm"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datacenter\ActivePrj\angeline\TFC\boq%20workings.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Users\ASUS\AppData\Local\Microsoft\Windows\Temporary%20Internet%20Files\Content.Outlook\5YKH55DQ\M\A\ToMrMah-PSHSK050-OMB1-CSA-Ver03.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Users\admin\AppData\Local\Microsoft\Windows\Temporary%20Internet%20Files\Content.Outlook\EGFBYU3G\Sumprice%20adjust%20store%202012.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FLBOCFPV02\Boc2Shared\Person%20Folders\Sophia%20Hu\MCF%20Submission%20to%20TEPS\Monthly_Call_File_TEPS%20Format.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10.51.60.239\Private\My%20Docs\Repo\Database%20and%20Utilities\Ansul%20Test%20Data.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F:\G\EME%20ENG\14%20Anantaara\WP03%20SJ%20Progress\06.%2030%20April%202013%20EW%20&amp;%20WW%20BOQ's\East%20Block%20BOQ%20&amp;%20QTO.xlsx"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02.Design%20&amp;%20Estimation\02.Estimates\01.DeMAQ\06.Vision%20Care%20Project\03.Priced%20BOQ\02.Priced%20BOQ%2007-05-2018\Electrical%20BOQ.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100.104.72.32\PROJ_HK\CT%209\Civil%20Team\SSa\CT9_Quo.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wsatkins.com\ProjectMEI\Users\omq00665\Desktop\(9a)%20Schedule%205(Sched%20of%20Rates%20-%20cesmm).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TIRCDB34.tyco.com\TSPRetrieve\Tyco\FISCAL%202005\Quarter%203\Press%20Release\Cash%20Flows\Cashflow%20Worksheet%20-%20Q3%2010Q%20.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Tiprfs02\fpa\Documents%20and%20Settings\dacosta\My%20Documents\Weekly%20Residential%20Reports\January\New%20Business%20Report\Data%20Monthly\QueriesforWeekly%20Count.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Aebdata\Projects\Documents%20and%20Settings\mhenderson\Local%20Settings\Temporary%20Internet%20Files\Content.IE5\ST2FG1MR\Devindra\Golf%20Course%20Clubhouse%20and%20Academy\External%20Stair%20Cases.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K:\DMc%20Files\Midfield%20Grading\Construction%20WBS%201%205%203%202\Conformed%20Contract%20Documents\Supplied%20By%20Gibb\Addendum%20No%201\Volume%204%20BOQ%20-%2019Jun07.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Epcn-1\D\roshan%20kula\ST%20Deverajan\Museum\eng%20est\construction%20of%20Uva%20wellassa%20buiilding%20block%20C%20building.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user\shavin.sedere\OneDrive%20-%20Hayleys%20Group\Desktop\Siyapatha\Final%20Payment\BOQ_%20Revised%20%20for%20Preliminaries%20&amp;%20Breakdown.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20849;&#20139;&#25968;&#25454;2\&#20849;&#20139;&#25968;&#25454;2\CHINA\616\BQ-MEA\MC\HOUSE\REIN_H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Users\ASUS\AppData\Local\Microsoft\Windows\Temporary%20Internet%20Files\Content.Outlook\5YKH55DQ\users\PRECON\Apartment%20and%20offices%20at%20Ebene\Reports\Cost%20Report\OOM%20Nr%201\Area\OOM%20Rev%200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Plant_main\khw\DAEWOO\UPSC\&#49444;&#52824;&#44277;&#49324;\&#51077;&#52272;&#44204;&#51201;-1.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1411c-bt01-l7\Shared_Documents\Users\lakmalh\Desktop\BOQ%20%20Mehewarapiyasa%20Det%2016-03-2015.xlsx"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A:\HUZAIR%20BACKUP\359-FISHERIES-REMEDIAL\VALUATION\CASHFLOW-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1411C-BT01-L7\Shared_Documents\Amitha\Pre-Contracts\SLAF-VAMED\EXLV\Systems\Dimo%20Quote\PA\PA.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Sv00002\finance\ADT%20Finance\LKT\Breen%20&amp;%20Coughlin_June%2020%20Mtg\Copy%20of%20Resi%20Direct%20Monthly%20Graphs%20-%20Corporate_April%2005.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Project04\d\ASA\Air%20Port%20PJ%20-B1\SNK%20Document\Budget\R-9%20Budget%20BOQ\MVAC\BOQ-B1%20-%20MVAC%20%20R9%20Cost%20to%20Project_New%20Ex-rate.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Nt-idbcd-wg1\USER\SETSUBI\ME-1&#31649;&#29702;\15-1&#35373;&#20633;&#26989;&#21209;&#65423;&#65414;&#65389;&#65393;&#65433;&#38598;&#65288;2005&#24180;&#24230;&#25913;&#35330;&#29256;&#65289;\1&#35373;&#20633;&#26989;&#21209;&#65423;&#65414;&#65389;&#65393;&#65433;\&#35373;&#20633;&#26989;&#21209;&#65423;&#65414;&#65389;&#65393;&#65433;%20A%20&#31309;&#31639;\ME-2&#31309;&#31639;\01&#31309;&#31639;&#12503;&#12525;&#12472;&#12455;&#12463;&#12488;\&#20013;&#22269;\(2004.12)ACW%20PJ(&#12381;&#12398;2&#65289;\pulau%20final\WINDOWS\Desktop\New%20Folder\Qo-1585.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Mkr\AFPS\Commercials\AFPs\D327\D327-afp%20blank.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KENT\OFFICE\VRS\Projects\Local\Prison\working\P-III\New_2013.10.07\Direct\submission\NewUsed\Anjana\Projects%20others\JMO%20C%20Colombo-water%20sump\EE%20JMO\NEW\SA\Bulathsinghe-BSR\Copy%20of%20UNIT%2021-11-2003(edit%202004-12-8)\Copy%20of%20Item-ABC.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100.104.72.32\@HQ%20TENDER\@Summit%20Parkview%20Hotel%20tender\160401.Tender%20(final%20draft)\Summit%20Parkview%20-%20Tender%20Document%20form%2012.3.2016%20Original%20Tender.xlsx"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TIRCDB34.tyco.com\TSPRetrieve\TSPHyperion\TFS&amp;BP\Regional%20P&amp;Ls\Final%20Worksheets\2009%20BUDGET\2009%20Budget%20Regional%20P&amp;L%20-%20v10.21.08%20(Bottoms%20Up%20Detail).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A:\Wilson\BOQ\507-4\514-9-BQ-ADD-R1.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Users\maduranga.ranasinghe\AppData\Roaming\kingsoft\wps\XLSTART\TFS%20Divisions\ASIA\ASIA_HQ\FPA\BUD%2007\Oct%20Submission\Exhibit%20D.%20TFS%20Schedules%20Oct%20submission_27%20Oct.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I-taan\inaba\2004\X-042586_Toyota%20GW%20Emi(toc).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DAMITH-PC\Users\MANFFERD%20ENGINERING%20PVT%20LTD\ACCOUNTS\QUOTATIONS\2018%20QUOTATIONS\Project\075%20-%20Crishantha\Crishanatha%20-%20Valuation%20No.%202.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100.104.72.32\Users\Shaun%20Shum\Documents\1.%20Singapore\3.%20STEC\2.%20Tender\C1348\Pricing\Final%20Pricing%20&amp;%20Measurement\Final%20measurement\CLE%2030122011.xlsx"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1411C-BT01-L7\Shared_Documents\Amitha\Pre-Contracts\ON%20320%20PA%20system\Analogue%20PA\PA_ON320_analogue.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Users\imanihitinayake\Documents\iMANI\Sky\document\Jobs\SKY%20Projects\Keels-%20distibution%20center\Review-50mn%20reduction%20\VE%20sky%20working\Sky%20VE%20Report\MECH\VE%20priced%20BOQ\SUBMISSION\BOQ\Rate%20analysis%20JKH-FIRE%20-R3.xlsx"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Amn\tender\My%20Documents\Calendaruseful.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mainserver-pc\MEP%20DOCUMENTS\JW%20MARRIOTT%20MALDIVES\HVAC\BOQ\HVAC_BOQ_JW%20MARRIOTT%20MALDIVES.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Tiprfs02\fpa\WINDOWS\Temporary%20Internet%20Files\OLKB2E3\4th_qtr_AUG_%20FY%2001%20-%20TOTAL1.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A:\HUZAIR%20BACKUP\359-FISHERIES-REMEDIAL\VALUATION\HUZAIR%20BACKUP\HUZ\FINAL-ACCT\VALUATION\EI-31-PLUMB.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Users\maduranga.ranasinghe\AppData\Roaming\kingsoft\wps\XLSTART\Documents%20and%20Settings\rbrandhorst\My%20Documents\Essbase%20Models\EOM%20Reports(Essbase%20V2003.5).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user\shavin.sedere\OneDrive%20-%20Hayleys%20Group\Desktop\Siyapatha\Final%20Payment\BS8666%202005%20for%20Bar%20scheduling1"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Tiprfs02\fpa\Katie\July%202006_West%20Retrievals\District%20Review%20Template%20Financials%20080906%20-%20483%20Helena.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1411C-BT01-L7\Shared_Documents\Amitha\Pre-Contracts\16.L%20&amp;%20T%20%20Colombo%20Tower%20proposals\final\CIF\CIF_panasonic.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1411C-BT01-L7\Shared_Documents\Documents%20and%20Settings\dharmasiris\Local%20Settings\Temporary%20Internet%20Files\Content.Outlook\84JST77H\PA_AEX.xlsx"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Mayura\Mayura-AECOM\Shrangila%20Phase%203\Contract%20Documents-%20SOP\1.%20Received\From%20Suminda%20Ayya\Doc%20F.5-PH3-SOP-EI-R1.xlsx"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Wanchai\documents\KNOWLEDGE\KORD\BUSINESS%20MANAGEMENT%20SPREADSHEET\PFK_Working_Copy_AES_RIACostMasterPM(1).002.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YOUNG\&#51204;&#44592;&#48512;\Y&#51088;&#47308;(#3-4)\&#45824;&#50808;&#50629;&#47924;\WEIG-FAC.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Tiprfs02\fpa\ADT%20Finance\FY2005\Budget\Anibal\Budget%20-%20Forecast%20Model%20v2005.2.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VFC-DC-01\3).Project_PLR2\817-09%20Mosque%201000\03%20QS\PRE\WORKING\KASUN\Mosque.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Monica\test\My%20Documents\MOTOROLA.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192.168.50.6\NSuresh\2012\004_Glorei%20Muttawar\Post%20Award\IDC_Glorei_201012_VE.xlsx"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J:\ADT%20Finance\FY2006\Budget\Budget%20Model\FY06%20Budget%20Model%20v2%20ADT%20Scenario%20June.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192.168.50.6\Emer\emer_jonson\05.08.12_Construction%20Stage\Price%20Comp%20Nego\Structures\Hyderabad%20Airport%20(HIAL)\HIAL%20Nego%20Stage\HIAL%20Schedule%20of%20Rate%20(Conforming%20Tender)%20-%2031%20January%20'05\Sc"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192.168.50.6\PHILLIP\cebu-mactan\Siemens\BOQ-Siemens%20OEP.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1411C-BT01-L7\Shared_Documents\EME\10kanuhura\01%20Kanahura%20phase%201\KANUHURA%20ELECRICAL%20BOQfinals2015.07.29.xlsx"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1411C-BT01-L7\Shared_Documents\DIMO\Projects\Udaya%20Mawatha\ELV-Fire%20Alarm.xlsx"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A:\TENDER\AZZAWIYA%20REFINERY%20REVAMP%20-%20LIBYA\PIPING\Pipe%20Estimation%20Sheet.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BUILDING%20WORKS\BOQ%20for%20the%20contract%20agreement.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192.168.0.151\tendernizam\Documents%20and%20Settings\nizam_m\Desktop\TenderNizam\La%20Mivoie_Electrical\Offer%20Busbar%20Version1_Schneider.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Suresh\c%20on%20suresh\WINDOWS\TEMP\cidcoanalysis.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Tiprfs02\fpa\Documents%20and%20Settings\aciffoni\Local%20Settings\Temp\EOM_Reports_Essbase_FY05_Rev082205b.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W:\Nilantha\Panels\pump%20panels%20frm%209.12.2013.xlsx"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Murali\aker%20kvaerner\Documents%20and%20Settings\murali\Desktop\Tender\Yansab-PHU\Aker%20Kvaerner\2004\61343503%20-%20Lindsay%20Oil\Measurements\Civil%20Works%20-%20Residue%20preheat%20exchanger%20foundations.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Users\maduranga.ranasinghe\AppData\Roaming\kingsoft\wps\XLSTART\ADT%20Resi\Second%20Sales%20Force\New%20Resi%20Sales%20Force.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Server\e\job\Colombo%20Airport%20-%20B2\Mechanical\MVAC\BOQ\BOQ%20_%20B2%20-%20MVAC.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Users\maduranga.ranasinghe\AppData\Roaming\kingsoft\wps\XLSTART\TFS%20FPA\FP&amp;A\Flash\Feb%2007\Flash%20Report-Feb07-Day2.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Users\maduranga.ranasinghe\AppData\Roaming\kingsoft\wps\XLSTART\TFS%20FPA\FP&amp;A\Forecast%20Pack\FY'07\May%20Forecast\New%20Structure%20P&amp;L's%20May%20fcst08.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Sav-server\Design\BOQ-2008\Job%20No.%20729%20Bhushan%20Energy%20Ltd..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Documents%20and%20Settings\zhuhua\Local%20Settings\Temporary%20Internet%20Files\Content.IE5\VI096ZON\10-HIEN\fertiliser\SC-0858-15-4-2002\SE6380\TOP1\MISS_&#49688;\ORIGINAL\&#49688;_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Server\e\JOB\Diamond%20Tower%20Project%20-%20Darley%20Road_2008%20June\3.Working%20BOQ\HVAC%20BOQ_August%2005%202008%20submission.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Ops\MRT852\chauQS\NewC423kallangMaster\C423piling01.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BALOW\SYS1\USER\tey\Regalmont-Blk.%20C\Estimate\Est.-1\B9%20-%20CP-Serv.%20Apt..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Aebdata\Projects\DOCUME~1\Manjula\LOCALS~1\Temp\Rar$DI06.563\Motha\AJITH\FORMATS\SuStructure%20Conc%20Take%20off.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Server\E\MALE-%20AP-BOQs\Revision%20-1\R1-BOQ-AP-Int.Alt..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Udara\Project\Nilantha\Panels\pump%20panels.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V:\FP&amp;A_ADHOC\Fcst%20Analysis\bfcst09\Fcst%20Summary.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O:\users\BOQ\Paulvir3\Revised%20Tender\Measurements_Sep08\MsmentsCantine_Sep08_RLC.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W:\DOCUME~1\Admin\LOCALS~1\Temp\Temporary%20Directory%201%20for%20Draft%20final%204.00%20p,m.zip\Users\claude\Library\Application%20Support\Microsoft\Office\Office%202011%20AutoRecovery\maj-eq.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92.168.50.6\Documents%20and%20Settings\rajeev\Local%20Settings\Temporary%20Internet%20Files\Content.IE5\GX67CL6J\Zamil%20Yanbou%20Project%20Rev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192.168.2.3\design\Project%20Controls%20-%20NDIA\Cost\Simon\WBS%202004%2003%2016.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Documents\Prices\Price%202012\Tele%20Selling%20price%202012%20(Eff%20Apr15).xlsx"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FLBOCFPV02\Boc2Shared\excel\tim\Cash%20Flow%20FX%20Project\Loan%20Database%20FY00.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PROJECT\MRTA-BCK\DOC\PURCH.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PROJECT\2004\Toyota%20Gateway\BOQ\X-040845_tmt%20gateway(7-10-04).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B2-p1\D\Priyankara\BOQ-%20AC%20-%20B2%20-%20contract\BOQ-%20AC%20-%20B2%20-%20contract.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Ajanthan\Quotations\Intercon\FINAL%20EST%20using%20fire%20resistance.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Users\maduranga.ranasinghe\AppData\Roaming\kingsoft\wps\XLSTART\Documents%20and%20Settings\MBraswell\Local%20Settings\Temporary%20Internet%20Files\OLK15\240%25%20Dealer%20Amort%20Schedule%20Apr-07.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Users\maduranga.ranasinghe\AppData\Roaming\kingsoft\wps\XLSTART\TFS%20FPA\FP&amp;A\Budget%20FY'08\Submission%20August\Divisional%20Submisison\EMEA\Supplemental%20Schedules%20-%20August%20UK%20Sec%20rv.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SUNANDA\Public\QSFORM\TAKE-OFF%20FORM.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thbk1fn01\Asia%20Royal%20Hospital%203%20Project\Information%20From%20GRCE\Email%20From%20GRCE-20170320\8.1billion%20amount%20file%20with%20international%20format\(8.1Billion%20kyats)%20tender%2020.3.2017.xlsx"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J:\My%20Documents\BSE%20ENGINEERING\Lanka%20Marine\Lanka%20marine%20services%20(PVT)LTD..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Users\BaoNQ\Downloads\Server\datacenter\Documents%20and%20Settings\Administrator\My%20Documents\R%20H%20L%20B\Library\Estimate\E2003\WINDOWS\Temporary%20Internet%20Files\Content.IE5\ELJSD4RM\cover.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192.168.50.6\Emer\emer_jonson\05.08.12_Construction%20Stage\Price%20Comp%20Nego\Structures\emer\CP2%20Pampanga\CP2%20updated.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Mainpage\design\JOB\SCCP\In%20House%20Data\Mechanical\BOQ\BOQ%20ROC%20PTC%20Saudi%20Project.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Mainpage\design\JOB\HADP%20-%20Air%20Port%20Hambantota\2.%20In%20House%20Data\Electrical\BOQ\HADP-BOQ-Fire%20Alarm-R0.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tfsbocfin01\TFS_APPS\MOR%20New%20Format\FY2004\Q204\04%2002\8.%20Head%20Trend\source\headcount%20trend_Asia_SEA.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Nilantha\Panels\old%20pump%20panel%20prices\8.pump%20panels%20from%2016.8.2014.xlsx"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1ABDCE12\Item-ABC.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Users\BaoNQ\Downloads\May4\D\Documents%20and%20Settings\user1\Desktop\bi\t\TONG%20HOP%20HAO\HAO\PVKN\My%20Documents\Worldbank\DOT1\Excel\Data\Tinh%20tong%20hop%20du%20toan.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P:\Close\Jan05Close\DailyCloseReports\EOM%20Reports(Essbase%20V2005%201).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Users\Administrator\AppData\Local\Microsoft\Windows\Temporary%20Internet%20Files\Content.Outlook\FTKU9CMV\AVANI%20AMBALANGODA%20ELECTRICAL%20BUDGET%2009-10-2013.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BOQ%20for%20Heat%20Exchanger-08-06-06.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Users\isuru\Desktop\to%20get%20data.xlsx"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Users\zeenath\AppData\Local\Temp\Users\LowWL\Desktop\SLCB%20(Apt)\SLCB_PSGI.xlsx"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192.168.2.3\design\JOB\RHPU%20-%20Uganda%20Hospital%20Project\2.%20In%20House%20Data\Electrical\BOQ\BOQ_RHPU%20Electrical_R0.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EME%20ENG\14%20Anantaara\WP03%20SJ%20Progress\06.%2030%20April%202013%20EW%20&amp;%20WW%20BOQ's\East%20Block%20BOQ%20&amp;%20QTO.xlsx"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K:\Financials\FP&amp;A\Analytical_Tools\Analysis_Input_Template_V2W.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Port%20City%20Villa\Purchase%20Order1"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N\MGT-DRT\MGT-IMPR\MGT-SC@\BA0397\INSULT'N\INS\ASK\PIPE-03E.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Z:\PUBLIC\Duminda\Galle%20Face%20Hotel%20BOQ.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Projects\Nano%20Technology%20Park\0405P&amp;L_Dubai.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SERVER\Data%20Share\Users\RUWAN-7783.ICCSRV\AppData\Local\Microsoft\Windows\Temporary%20Internet%20Files\Content.Outlook\O9FNP6OS\Users\Anuradha\Desktop\BOQ%20chin.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X:\Sameera\Work\Tangalle%20Hospital\Tangalle%20-%20Maternaty%20Ward%20Complex%20WSD.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Users\Administrator\Downloads\Users\Administrator\Downloads\eme%20eng\Ramada\BOQ's%20Submitted\Electrical\Submitted\Aitken%20Spence%20Electrical%20BOQ.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192.168.50.6\Emer\emer_jonson\05.08.12_Construction%20Stage\Price%20Comp%20Nego\Structures\ecj%20disc%201\ak-cscec%20projects\Covanta%20Energy\BoQ%20Covanta.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B-dhds\tmp\My%20Documents\TCM\STD_EST.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FLBOCFPV02\Boc2Shared\Documents%20and%20Settings\kdeguzman\Local%20Settings\Temporary%20Internet%20Files\OLK4\Divestiture%20List_Fin%20Rptg_July%2013_FINAL.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1411C-BT01-L7\Shared_Documents\EME\08%20Altair%20project%20colombo\05%20copy%20new\01%20BOQ%20Supply%20and%20Installation%20of%20Electrical%20System%20.xlsx"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FLBOCFPV02\Boc2Shared\Documents%20and%20Settings\rciatto\Local%20Settings\Temporary%20Internet%20Files\OLK12\User%20Interface2.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Users\riyazuddinsiddiqui\AppData\Local\Microsoft\Windows\Temporary%20Internet%20Files\Content.Outlook\3QCECSM7\Ansul%20SPR,%20MARGIN%20&amp;%20BOM%20Effective%20from%20Jan%202012-4554.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AECOM\b.%20SLCB\2.%20Post%20Contract\Ph-3%20Office%20&amp;%20Retail\MEP%20NSC\Contract%20doc\Vinod\new%20AC%20comparison.xlsx"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I:\project%20tkc\PROJECT%20TOYOTA\X-042581_TOYOTA%20NO%20DEHU.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FLBOCFPV02\Boc2Shared\excel\Lauren\FX%20FY01\Q1%20FX\FX%20Monthly\FX%20rates%20by%20entity%20for%20review%2012.00.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Server\e\Projects\Anuradhapura%20Hospital\Anuradhapura%20Service%20List\BOQ%20Format\Latest%20BOQ%20Sept%2020,%202007\YAMASITA%20SEKKEI%20INC%20BOQ%20FORMAT_MVAC%20Sep%2021,%202007.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44608;&#50896;&#48176;\C\EXCEL\JCK\&#49892;&#54665;\&#54868;&#51116;&#45824;&#44396;\&#44208;&#51116;&#49436;&#47448;.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Tools\QS\QTY%20Calculation%20&amp;%20Tender%20Adjesting.xlsx"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Users\Admin\AppData\Local\Microsoft\Windows\INetCache\Content.Outlook\VG34IRM8\Doc%20F.2-PH3-SOP-%20ACMV%20(PTA2).xlsx"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51060;&#46041;&#54788;\49&#49892;&#54665;\ESTI\&#54644;&#50808;\FED\98\R-0054\KHM\98&#51452;&#49885;.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Nilantha\price%20lists\AKLAN\LS-New%20Price%20List.xlsx"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A:\Siva\My%20Documents\BSS\Welding-1.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Port%20City%20Villa\corbeldatail"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Tiprfs02\fpa\Documents%20and%20Settings\dcasteel\Local%20Settings\Temporary%20Internet%20Files\OLK3\EXECUTIVE%20LIST_revised%201.23.03.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Server\E\BOQ_%20SHANG_ACMV_16_08_06.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user\shavin.sedere\OneDrive%20-%20Hayleys%20Group\Desktop\Division%2001\Siyapatha\Claim%20for%20Additional%20Works\Claim%2001\Furniture%20By%20Poy.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Tiprfs02\fpa\Documents%20and%20Settings\rachjohnson\Local%20Settings\Temporary%20Internet%20Files\OLK4\InvBal%20Apr05%20051205.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Nilantha-2\Maldives\randeli\panel%20devices-%20comparison.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Z:\Projects\New%20Projects\D16019-%20Apartment%20Complex%20@%20Union%20Place\6.BOQ\2017-11-06%20BOQ%20Part%20D%20Received%20for%20TV,%20DATA,%20Tel\BOQ-Part%20D%20Original%20-%20Edited.xls"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file:///\\Tiprfs02\fpa\WINDOWS\Temporary%20Internet%20Files\OLKB2E3\4th_qtr_%20FY%2001%20-%20TOTAL.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thbk1fn01\D738%20Pun%20Hlaing%20International%20School%20at%20Yangon\C.%20Tender\C1.%20MBW\C1.2%20Tender%20Doc,%20Addendum%20and%20Letter\2.0%20Tender%20Documents\4.0%20Original%20Tender%20Documents%20sent%20to%20Tenderers%20on%2020150511\D738%20SOW%2020150427.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Ramith\Projects\Taj%20samudra%20(%20savisevana%20contract%20)\Estimate\Estimate%20R2.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Ops\Jetty\ArMainSeb.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N:\claim_building\492#dsth\cost.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KENT\OFFICE\VRS\Projects\Local\Finished\Direct\Prison\working\P-III\New_2013.10.07\Direct\submission\NewUsed\Anjana\Projects%20others\JMO%20C%20Colombo-water%20sump\EE%20JMO\NEW\SA\Bulathsinghe-BSR\BSR-2005\PRICE-LIST-2005\P-18-12-2k1.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1411C-BT01-L7\Shared_Documents\Amitha\Post%20Contracts\Hambantota%20Admin%20Complex\AEX%20PO.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Nilantha\Panels\Panel%20Cost%20-%2024.3.2014\Details%20-%20Jan2013%20to%20Feb2013\panel%20dtls.-March%202014.xlsx"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123R23\ESTIMATE\E25-JUAN\00-MATL.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KENT\OFFICE\VRS\Projects\Local\Finished\Direct\Prison\working\P-III\New_2013.10.07\Direct\submission\NewUsed\Anjana\Projects%20others\JMO%20C%20Colombo-water%20sump\EE%20JMO\NEW\SA\Bulathsinghe-BSR\BSR-2005\Item%20i.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Users\4345\AppData\Local\Temp\Eastern%20Beire%20-New\BOQ\BOQ%20-Pricing.xlsx"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EDRCDATACENTER\ActivePrj\BandIP\BandF\Drawings\Housing\NARAYAN\BOQ\kolkata\BOQ\MALAYSIA\O3340-BOQ-workings-29.07.04-EXTRA1.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Tenders\ITUM%20Project\ITUM%20Project\BOQ\Shopping%20Centre%20BOQ\Shopping%20Centre%20BOQ.xlsx"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I:\RJC\1937-ShangriLa%20Hambantota%20(Sri%20Lanka)\MC\EST\02\Workings\Copy%20of%20KPK%20-%20SLHT%20Overall%20Budget%20-%20Mavis.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VFORM\Park%20Road\Pre-Contract\Main%20Tender\BoQ\Final\1-4-2016\Documents%20and%20Settings\Nuwan12\Desktop\Mr.%20Godfrey\Tender\Evaluation\Negotiate%20N&amp;A\N&amp;A%20new%20blank.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H:\EME%20ENG\29.%20Havodda\05.%20Take%20Off%20&amp;%20Pricing%20-%20Item%2004\Havodda%20Electrical%20TOS.xlsx"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TEMP\AWAN\T%20R%20M\Discount%20Policy.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EDRCDATACENTER\ActivePrj\BandIP\BandF\Drawings\Common\o3340-BOQ-workings-09.09.04-final.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Monica\test\PRICE\SAMPLE.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G:\2006%20EMS%20Metrics\Source%20Data\windows\TEMP\MasterBowSht%202001.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Users\maduranga.ranasinghe\AppData\Roaming\kingsoft\wps\XLSTART\TFS%20FPA\FP&amp;A\Budget%20FY'08\Submission%20August\Divisional%20Submisison\Supplemental%20Schedules%20-%20August%20Central%20rv.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Documents%20and%20Settings\Administrator\&#26700;&#38754;\Working_files\TRM\TW\Workshop%20files\TW%20TRM%20Feb%202000%20-%20Proposal.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TIRCDB34.tyco.com\TSPRetrieve\FP&amp;A\Forecasting\FY04\JANUARY%20FORECAST\Analysis%20-%20Returned%20Templates\ACT%20VS%20FCST%20AND%20PRIOR%20YEAR%20BY%20COT.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entons%20Work\ONGOING%20PROJECTS\Manning%20Market\Valuation\IPA%2004\Corrected%20Copy%20From%20Munsif\Bill%204\Fentons%20-%20B05%20%20(Feb%20-%202020).xlsx"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G:\Sameera\Work\Tangalle%20Hospital\Tangalle%20-%20Maternaty%20Ward%20Complex%20WSD.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EDRCDATACENTER\ActivePrj\BandIP\BandF\Drawings\Cement\Prince\BOQ\O2120\Aditya-%20BOQ-workings-23.08.04.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Users\YES-007\Documents\Sumitomo%20Mitsui\Progress%20Claim\PC-6\Te-9\011478%20-%20Regalmont%20C\Est%204%20(20010727)\4108%20-%20Penthouse%20L32%20&amp;%2033.xls"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W:\DOCUME~1\Admin\LOCALS~1\Temp\Temporary%20Directory%201%20for%20Draft%20final%204.00%20p,m.zip\Users\Win-7\AppData\Local\Microsoft\Windows\Temporary%20Internet%20Files\Low\Content.IE5\SSL5YQDC\maj-mat.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Tiprfs02\fpa\Documents%20and%20Settings\abonilla\My%20Documents\Aly's%20files\Income%20Statement%20aly.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192.168.50.6\Emer\emer_jonson\05.08.12_Construction%20Stage\Price%20Comp%20Nego\Structures\My%20Documents\INDIA%20Final.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Nilantha\Panels\old%20pump%20panel%20prices\pump%20panels.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J:\&#24029;&#21475;&#26412;&#30010;\&#27010;&#31639;2000\EX3600G.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Y:\TENDERS\TR001\Evaluation%20Package%20A-EP04.xlsx"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Users\Indika\Downloads\Gatambe%20RBDS\Gatambe%20RBDS\Gatambe%20PH_BOQ_Part_I%20-%20Aircompressor%20issue.xlsm"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192.168.50.6\BandF\Housing\kkp\KKP-ISO\KKP-ISO-9001-1994\stds\GN-ST-06(2)(Design%20Sheet-Ruled).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35336;&#31639;&#26360;\psy\PSY_OAC.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Tiprfs02\fpa\Grinnell%20Operating%20Forecasts\September%202001\4th_qtr_SEPT_%20FY%2001%20-%20TOTAL1.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192.168.50.6\user\GMK\T4312-HIAL\BOQ\Public%20convenience%20building.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sub%20contractor%20bill\laborsub%20contractors\Premadasa\Bill%20No%2001\Users\daminga\AppData\Roaming\Microsoft\Excel\Users\User\AppData\Roaming\Microsoft\Excel\1%20AGISH-PROJECTS\Alain-P0028\P0028-Valesco%20%20Valtn-6%20-%20Jun-01.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user\shavin.sedere\OneDrive%20-%20Hayleys%20Group\Desktop\Siyapatha\Variation%2024-26\25\VA%2025-R1\BS8666%202005%20for%20Bar%20scheduling1"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Documents%20and%20Settings\kasund\My%20Documents\Downloads\Canal%20Bank-sebesthiyan%201-10.xlsx"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Tenders\Shangri_la-Building\Final%2020140509\Final%20With%20Brak%20Downs\ALL-Shangri%20-upto%2013th%20May%202014-Final%20Adjusted.xlsx"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Tiprfs02\fpa\WINDOWS\Temporary%20Internet%20Files\OLKB2E3\3rd%20qtr_Rev2_%20FY%20011.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Tc2120\S2\CHINA\616\BQ-MEA\MC\HOUSE\REIN_HSE.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http:\ltaweb\contracts\restricted\sdms\breakdown_of_costs\One-Stop%20BOC%20(Road%20Runner).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Users\KumaraM\AppData\Local\Microsoft\Windows\Temporary%20Internet%20Files\Content.Outlook\IKKR85A4\Malsha\Raffles\Presidential%20suite\Measurements%20n%20BOQ\R2\BOQ.xlsx"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Nt-idbcd-wg1\USER\SETSUBI\ME-2&#31309;&#31639;\01&#31309;&#31639;&#12503;&#12525;&#12472;&#12455;&#12463;&#12488;\&#20013;&#22269;\(2004.12)ACW%20PJ(&#12381;&#12398;2&#65289;\A%20Fujaira\document\BOQ\&#44592;&#44228;\&#54392;&#51088;&#51060;&#46972;\Valve%20MPS%20for%20Fujairah%20Project\My%20Documents\Excel\Jebel-K\Valvelist-Jebel-'K'(4Units).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mainserver-pc\MEP%20DOCUMENTS\127%20OFFICE%20AT,%20WAD%20RAMANAYAKE%20MW\WORKING\HVAC\BOQ\15-01-2018_HVAC_BOQ_127%20OFFICE_R0.Tender.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Y:\Tendering\1.Sri%20Lanka\107.%20&#31185;&#20262;&#22369;&#28207;&#21475;&#22478;&#39033;&#30446;&#24066;&#25919;&#26631;PORT%20city%20Project-from%20H\11.After%20Submission\00%20SC's%20Proposal\THEC\Doc%20D.14%20-%20Substation20180102%20-%20submit%20-%20R1.xlsx"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Cencus%20&amp;%20Statistic\Building\BOQ-CEns\WB%20meeting%20revision-7-10-2010\06-08-2010\Sameera\Work\Tangalle%20Hospital\Tangalle%20-%20Maternaty%20Ward%20Complex%20WSD.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Users\maduranga.ranasinghe\AppData\Roaming\kingsoft\wps\XLSTART\DOCUME~1\rttai\LOCALS~1\Temp\HC%20by%20countries.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Tiprfs02\fpa\Documents%20and%20Settings\rachjohnson\Local%20Settings\Temporary%20Internet%20Files\OLK4\Inventory%20Scorecard%20Apr05.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Ccc-pc\users\CCC\INDIKA\Pre%20contract\MMGS\Graphitec\Evaluation%20Graphitec\AJITH\FORMATS\SuStructure%20Conc%20Take%20off.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Nilantha\Panels\old%20pump%20panel%20prices\pump%20panels%20frm%2014.3.2014%20to%2016.5.2014.xlsx"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file:///J:\basket\John%20Kuhn\Cash%20Flow\Translation_Master%20-%20TISFY04%20FebValued.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Sav-server\Design\BOQ-2008\TRY\Masterfile_TRY3.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TOWER\plant\PlantSch1All.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192.168.1.21\e\Documents%20and%20Settings\asd\Desktop\AOR%20Abett%2028.07.10%20P%20supply\Documents%20and%20Settings\Administrator\Desktop\Format%201.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Tiprfs02\fpa\2006%20PSP\Instructions%20to%20Mail\TEPS\TEPS%20June%20Submission%20practice%20-%20correct.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1411c-bt01-l7\Shared_Documents\Documents%20and%20Settings\madukad\Local%20Settings\Temporary%20Internet%20Files\Content.Outlook\4U7J4Z4Y\DutyPd.xlsx"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PROJECT%20MONITORING%20UNIT%20POII\Tender\Beira%20Lake%20Gabion%20Tender\BID\Beira\Gabion%20East%20Beira%20Lake%20RE2%20-%2006.02.2013.xlsx"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FLBOCFPV02\Boc2Shared\Documents%20and%20Settings\kfishman\Local%20Settings\Temporary%20Internet%20Files\OLK1A\Divestiture%20Candidates%20MASTER%20LIST.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file:///H:\Users\YES-007\Documents\Sumitomo%20Mitsui\Progress%20Claim\PC-6\USER\ho\estimate%20(Asri)\COLUMN.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file:///\\Lilian\c\My%20Documents\Chung\Project\Turkey\PROJECT\UiTM\UiTM%20(09-12-03)\File%20E%20-%20Famarsi%20(09-12-03)\FF(lOCK)3.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Documents%20and%20Settings\zhuhua\Local%20Settings\Temporary%20Internet%20Files\Content.IE5\VI096ZON\THUY\NKCTHANG06.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Weerakoon\Sarath%20Fernando%20Projects\HAPUTALE\BOQ%20Haputal%20Urban%20Council%20Email%202.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file:///\\https:\lnteccmail.lntecc.com\Temp\MACHINE.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file:///\\Kcs\qs%20section\110423-&#38463;&#24067;&#25166;&#27604;&#24093;&#22269;&#22823;&#21414;&#39033;&#30446;&#38050;&#32467;&#26500;&#24037;&#31243;&#25253;&#20215;&#35843;&#25972;&#35760;&#24405;\&#26446;&#36828;&#35465;\&#24037;&#20316;&#25991;&#20214;\&#25237;&#26631;&#25991;&#20214;\&#27801;&#29305;&#28779;&#36710;&#31449;\&#25237;&#26631;&#25991;&#20214;\&#25253;&#20215;&#36164;&#26009;\&#23433;&#35013;&#25104;&#26412;&#27979;&#31639;\&#27979;&#31639;\&#27801;&#29305;&#26631;\&#22810;&#21704;&#26426;&#22330;\BQ\&#33529;&#26524;&#30005;&#33041;&#36164;&#26009;\&#26700;&#38754;&#20130;&#20848;\&#24037;&#20316;\&#33931;&#25991;&#22855;\&#22320;&#38081;&#39033;&#30446;&#25104;&#26412;(&#25130;&#27490;09&#24180;5&#26376;31&#26085;).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Users\BaoNQ\Downloads\May4\D\Documents%20and%20Settings\user1\Desktop\bi\t\TONG%20HOP%20HAO\HAO\PVKN\CANHAN\MUNG\THOP95.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192.168.50.6\KV%20Collections\Kx99\99G.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https:\www.riax.anl.gov\Documents%20and%20Settings\Tmyers\My%20Documents\AES%20Stuff\Programs\RIA\Costing%20support\May%2004\RIA%20Driver%20Cost%20(Update%20#1)%20Rev%20A%205-19-04.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Users\YES-007\Documents\Sumitomo%20Mitsui\Progress%20Claim\PC-6\cher\Ulu%20Pandan%20Newater\COR\Confirmation%20of%20Order-Ulu%20Pandan.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Nipuna%20Nambukara\GAFFOOR%20BUILDING\Commmon%20Letters\Fluctuation%20Claims\Fluctuation%20Format%20(ICC)\Electrical\#REF"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file:///\\Tiprfs02\fpa\2006%20PSP\EssbaseReports\SummaryFinancialStatements.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KENT\OFFICE\VRS\Projects\Local\Finished\Direct\Prison\working\P-III\New_2013.10.07\Direct\submission\NewUsed\Anjana\Projects%20others\JMO%20C%20Colombo-water%20sump\EE%20JMO\NEW\SA\Bulathsinghe-BSR\Copy%20of%20UNIT%2021-04-2003\Item-ABC.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file:///\\EDRCDATACENTER\ActivePrj\BandIP\BandF\Drawings\Cement\Prince\BOQ\O2120\Aditya-%20BOQ-workings-23.08.04-final.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file:///\\Zubair\SharedDocs\DOCUME~1\murli789\LOCALS~1\Temp\Temporary%20Directory%201%20for%20Workings-Siemens.zip\ZGK025_int_calc03_Preisanfrage.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Users\devin.yasas\AppData\Local\Microsoft\Windows\INetCache\Content.Outlook\GOFUOWTZ\fuel%20calculation%20from%20Trizen%20%20submission.xlsx" TargetMode="External"/></Relationships>
</file>

<file path=xl/externalLinks/_rels/externalLink260.xml.rels><?xml version="1.0" encoding="UTF-8" standalone="yes"?>
<Relationships xmlns="http://schemas.openxmlformats.org/package/2006/relationships"><Relationship Id="rId1" Type="http://schemas.openxmlformats.org/officeDocument/2006/relationships/externalLinkPath" Target="\Prathap\SLCB\Phase%203%20ori\Copy%20of%20Table%205%20-%20ELE-Comparision%20of%20Breakdown%20-%208%20July%202016%20(2).xlsx"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Sajitha\d\Documents%20and%20Settings\Chandika\Desktop\TRIP-Hotel%20School%20Kandy\Addendem-02\AFTER%20ADDENDUM-02\Boq\Sameera\Work\Tangalle%20Hospital\Tangalle%20-%20Maternaty%20Ward%20Complex%20WSD.xls" TargetMode="External"/></Relationships>
</file>

<file path=xl/externalLinks/_rels/externalLink262.xml.rels><?xml version="1.0" encoding="UTF-8" standalone="yes"?>
<Relationships xmlns="http://schemas.openxmlformats.org/package/2006/relationships"><Relationship Id="rId1" Type="http://schemas.openxmlformats.org/officeDocument/2006/relationships/externalLinkPath" Target="\$AECOM\b.%20SLCB\2.%20Post%20Contract\Ph-3%20Office%20&amp;%20Retail\MEP%20NSC\Contract%20doc\Vinod\Comparision%20of%20Chillers%20(Conventional%20vs%20Magnetic)%20-%2029%20August%202016%20%20(R2).xlsx"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file:///\\FLBOCFPV02\Boc2Shared\Documents%20and%20Settings\Olivier%20Petre\My%20Documents\01_Reporting\20_Template\01_P&amp;L\02_P&amp;L_TFC.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file:///\\INDIKA-PC\Documents%20and%20Settings\All%20Users\Documents\Final-%20Rocell\Nawala%20final%20bill%20-%20Correct.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192.168.50.6\3.2%20LSPB%20Rev1\Cost%20Workings%20-%20Dar%20Al%20Arkan%20Package%202C-rev1-SK%20final\Tender\JANA\SK%20-%20Hassad%20Pricing\Documents%20and%20Settings\murali\Desktop\Tender\Rabigh\1800-2502-EST-REQ.Rev00.FT2.Unit%20Prices.xls"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file:///\\EDRCDATACENTER\ActivePrj\BandIP\BandF\Drawings\Housing\NARAYAN\BOQ\O2120\O2120-C-HP-01-BOQ-WORKINGS.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file:///\\Daraporn\robatherm\WINDOWS\Desktop\Reduced%20Work\SAN-CC.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file:///\\Eng_server\sys\ESTIMATE\BOQ\BOQ_&#3648;&#3629;&#3585;&#3594;&#3609;\BIG-C\Radamri_rev106\Bill%20No.%202.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file:///\\SUNANDA-PC\PROJECTS%20-%20SUNANDA\PROPOSALS\Sunanda\Projects\Archimedia\Central-province\Budget%20Estimate-%20PC%20Kandy\AJITH\FORMATS\SuStructure%20Conc%20Take%20off.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file:///\\SERVER\Isuru's%20Documents\Projects\Quoted%20Projects\Chaaya%20Bay%20Hotel\BOQ\Working%20BOQ_Chaaya%20Bey%20Hotel%20Beruwala%20(Reduze%20Chiller%20Price).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DAMAYANTHI1\On%20going%20Projects\EN%20Projects\NE%20EW%20009\Rate%20Analysis\Rate%20Analysis%20-%20NE%20EW%20009,%20010.xlsx"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Fentons\33.%20Cinnamon\03.%20VO\02\VO#02%20-%20Cinnamon.xlsx"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Users\pcunliffe\Desktop\Desktop\Prices%20%20&amp;%20Reports\2018\FY18%20MASTER\WINDOWS\Desktop\Zach's%20Work\ANDERSON\FORE12\1997PLAN.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SLCB%203\SLCB3%20previous\Copy%20of%20Table%205%20-%20ELE-Comparision%20of%20Breakdown%20-%208%20July%202016%20(2).xlsx"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OSHADHI\Fentons\Cinnamon%20Red-%20Kandy\SUPPLIERS\Supplier%20evaluation\Evaluation%20for%20Pre%20contract%20division\Avishka\Documents%20and%20Settings\rbrandhorst\My%20Documents\Essbase%20Models\EOM%20Reports(Essbase%20V2003.5).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file:///Y:\Prathap\SLCB\Phase%203%20ori\Copy%20of%20Table%203%20-%20FP-Comparision%20of%20Breakdown%20-%208%20July%202016%20(2).xlsx"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file:///\\Somsak\documents\Project\IVY%20CHAINA%20TOWN\Boq\PROJECT\SAD.xls"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Janaka\my%20documents\F2W.xls"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OSHADHI\Fentons\Cinnamon%20Red-%20Kandy\SUPPLIERS\Supplier%20evaluation\Evaluation%20for%20Pre%20contract%20division\Avishka\TFS%20FPA\FP&amp;A\Flash\Feb%2007\Flash%20Report-Feb07-Day2.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Tiprfs02\fpa\2007%20Op%20Plan\Op%20Plan%20Book\CORP%20BY%20DEPT%20-%20%20FY07%20v4.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J:\&#65420;&#65384;&#65432;&#65419;&#65439;&#65437;&#35386;&#30274;\JICA&#27010;&#32207;.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X:\Documents%20and%20Settings\Handa\My%20Documents\Data\&#26360;&#24335;&#65397;&#65432;&#65404;&#65438;&#65413;&#65433;\&#35373;&#35336;&#20107;&#21209;&#25152;&#26360;&#24335;\&#23665;&#19979;\&#20869;&#35379;&#20195;&#20385;&#19977;&#31038;(&#23665;&#19979;).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D2-09-021-ACMV%20Breakdown.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Nimmi\Kalaniya\P1%20&amp;%20P2\Combind\Users\hp\AppData\Roaming\Microsoft\Excel\Access\Projects\UK\BOM%20-%20Uswetakeiyawa.xlsx"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Documents%20and%20Settings\zhuhua\Local%20Settings\Temporary%20Internet%20Files\Content.IE5\VI096ZON\TONGHOP\10-HIEN\fertiliser\SC-0858-15-4-2002\SE6380\TOP1\MISS_&#49688;\ORIGINAL\&#49688;_01.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file:///J:\JICA\&#65418;&#65439;&#65420;&#65439;&#65393;&#65414;&#65389;-&#65399;&#65438;&#65414;&#65393;BD\&#65420;&#65384;&#65432;&#65419;&#65439;&#65437;&#35386;&#30274;\JICA&#27010;&#32207;.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file:///A:\Documents%20and%20Settings\Chung%20Neo\My%20Documents\423-WW\Reference\&#48124;&#48512;&#51109;&#45784;%20&#44204;&#51201;&#52636;&#51109;(2002-08-13)\&#51649;&#51217;&#48708;_Revised%20Proposal.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Nimmi\Kalaniya\P1%20&amp;%20P2\Combind\Users\hp\AppData\Roaming\Microsoft\Excel\Documents%20and%20Settings\Saumya\Desktop\Kelaniya%20University%20Hostels%20Project\Kelaniya%20University%20Project\ukslboyhostel\BOM%20-%20School.xls"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file:///J:\JICA\WINDOWS\TEMP\&#65420;&#65384;&#65432;&#65419;&#65439;&#65437;&#35386;&#30274;\JICA&#27010;&#32207;.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192.168.50.6\3.2%20LSPB%20Rev1\Cost%20Workings%20-%20Dar%20Al%20Arkan%20Package%202C-rev1-SK%20final\Tender\JANA\SK%20-%20Hassad%20Pricing\Documents%20and%20Settings\murali\Desktop\Tender\Rabigh\R-1800-2502-CIV&amp;EST-REQ.Rev00.FT2.%20Unit%20Prices.x"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Fentons\Sahan\Other\CINEC\7.%20Variation\Note%20For%20COST%2001-18-03.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entons\Sahan\Other\CINEC\7.%20Variation\KATA%20ROYAL%20BOQ%20OF%20TENDER%20Updated%2001-10-09-1.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Users\pcunliffe\Desktop\Desktop\Prices%20%20&amp;%20Reports\2018\FY18%20MASTER\TFS%20FPA\FP&amp;A\MOR\New%20Structure\May%2007\ADT%20WW%20MOR%20-%20May%2007%20main.xls"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z.%20CCH%20Project\5.%20Progress%20Claim\BSE\Bill%20no-04\Statement%2004%20(BSE).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Users\amitha.herath\Dropbox\Fentons\1.%20D&amp;E\2.%20April~June\10.%20Ambewela%20&amp;%20Pattipola%20Dairy\4.%20Costing\1.%20Ambewela\ELV%20Costing%20-%20Ambewela.xlsx"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Waste%20Water%20Piping%20-%20PVC.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file:///\\Tiprfs02\fpa\Grinnell\Corp\Operational%20Forecast\Q3%20Fcst%20Summary_old.xls"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OSHADHI\Fentons\Cinnamon%20Red-%20Kandy\SUPPLIERS\Supplier%20evaluation\Evaluation%20for%20Pre%20contract%20division\Avishka\TFS%20FPA\FP&amp;A\Budget%20FY'08\Submission%20August\Divisional%20Submisison\Supplemental%20Schedules%20-%20August%20Central"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file:///T:\1&#31309;&#31639;&#20013;PJ\aaUAE&#36865;&#27700;&#31649;&#24037;&#20107;2002\&#38291;&#25509;&#12289;&#20316;&#32076;\&#12456;&#12522;&#12450;&#21029;&#12473;&#12479;&#12483;&#12501;&#23665;&#31309;.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Users\YES-007\Documents\Sumitomo%20Mitsui\Progress%20Claim\PC-6\user\lim\attach\BQ%20ADIE.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file:///\\https:\projects.mei.atkinsglobal.com\Documents%20and%20Settings\M.WATABE\&#12487;&#12473;&#12463;&#12488;&#12483;&#12503;\060525%20&#28193;&#37096;&#12288;Gateway%20Organization%20Staff%20Schedule060524%20final.xls"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file:///\\192.168.50.6\Emer\emer_jonson\05.08.12_Construction%20Stage\Price%20Comp%20Nego\Structures\Revised%20CC%202%20&amp;%203%20(CSCHK-SOMA)%2002-Aug-05.xls"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file:///\\Wanchai\documents\PROJECT\PIROON%20HOUSE\KNOWLEDGE\Estimate%20sheet\BnQExcelTrial.xls"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file:///\\Soni\soni\project\cvl\Electrical%20Boq\TEMP.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file:///\\192.168.50.6\Emer\emer_jonson\05.08.12_Construction%20Stage\Price%20Comp%20Nego\Structures\emer\ecj%20ref\Copy%20of%20BOQ14B%20fghtng%20adjstd.xls"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file:///J:\Documents%20and%20Settings\Handa\My%20Documents\Data\&#26360;&#24335;&#65397;&#65432;&#65404;&#65438;&#65413;&#65433;\&#35373;&#35336;&#20107;&#21209;&#25152;&#26360;&#24335;\&#23665;&#19979;\&#20869;&#35379;&#20195;&#20385;&#19977;&#31038;(&#23665;&#19979;).xls"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file:///\\TIRCDB34.tyco.com\TSPRetrieve\WINDOWS\Desktop\Zach's%20Work\ANDERSON\FORE12\1997PLAN.XLS" TargetMode="External"/></Relationships>
</file>

<file path=xl/externalLinks/_rels/externalLink308.xml.rels><?xml version="1.0" encoding="UTF-8" standalone="yes"?>
<Relationships xmlns="http://schemas.openxmlformats.org/package/2006/relationships"><Relationship Id="rId1" Type="http://schemas.openxmlformats.org/officeDocument/2006/relationships/externalLinkPath" Target="\Sales\SalesAdministrator\Product\PriceLists\ICAM\ICAM%20Master%20Price%20List%20(APAC)_1204.xlsx"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file:///\\Somsak\documents\PS\A02-Ivy%20&#3619;&#3634;&#3625;&#3598;&#3619;&#3660;&#3610;&#3641;&#3619;&#3603;&#3632;\&#3629;&#3634;&#3588;&#3634;&#3619;%20A\DevPgm\erp\2006\2006%20&#3611;&#3619;&#3633;&#3610;&#3611;&#3619;&#3640;&#3591;&#3619;&#3632;&#3610;&#3610;&#3585;&#3634;&#3619;%20import%20WBS%20&#3651;&#3609;%20Softpro\upload\20070321\DATA-EXPORT_PK-28-2_2-3-50.xls"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file:///A:\Compare%20Boq%20struc.LHR%20rev.4\New%20Folder\Documents%20and%20Settings\02\Desktop\BH.ST.%20L&amp;H\Documents%20and%20Settings\All%20Users.WINDOWS\Documents\Documents%20and%20Settings\All%20Users.WINDOWS\Document" TargetMode="External"/></Relationships>
</file>

<file path=xl/externalLinks/_rels/externalLink311.xml.rels><?xml version="1.0" encoding="UTF-8" standalone="yes"?>
<Relationships xmlns="http://schemas.openxmlformats.org/package/2006/relationships"><Relationship Id="rId1" Type="http://schemas.openxmlformats.org/officeDocument/2006/relationships/externalLinkPath" Target="file:///A:\Project%202000%20.xls\Somchai15.xls"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file:///A:\Compare%20Boq%20struc.LHR%20rev.4\New%20Folder\Documents%20and%20Settings\02\Desktop\BH.ST.%20L&amp;H\Documents%20and%20Settings\All%20Users.WINDOWS\Documents\Documents%20and%20Settings\All%20Users.WINDOWS\Documents\Doc"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file:///\\&#51060;&#51456;&#55148;\SharedDocs\&#47932;&#47049;&#49328;&#52636;\&#47932;&#47049;&#49328;&#52636;&#54168;.xls"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file:///\\&#52572;&#45824;&#54620;\&#50724;&#47564;&#49688;&#47532;&#51312;&#49440;&#49548;\&#47932;&#47049;&#49328;&#52636;\&#47932;&#47049;&#49328;&#52636;&#54168;.xls"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file:///A:\CWW\PROJECT\THAIWAN\&#44256;&#49549;&#52384;&#46020;\Data-1\&#45432;&#47924;&#48708;&#44592;&#51456;.XLS" TargetMode="External"/></Relationships>
</file>

<file path=xl/externalLinks/_rels/externalLink316.xml.rels><?xml version="1.0" encoding="UTF-8" standalone="yes"?>
<Relationships xmlns="http://schemas.openxmlformats.org/package/2006/relationships"><Relationship Id="rId1" Type="http://schemas.openxmlformats.org/officeDocument/2006/relationships/externalLinkPath" Target="file:///\\192.168.50.6\Emer\emer_jonson\05.08.12_Construction%20Stage\Price%20Comp%20Nego\Structures\Rolly\nikkoshi\windows\TEMP\KOYO&#25552;&#20986;&#35211;&#31309;&#26360;%20.xls" TargetMode="External"/></Relationships>
</file>

<file path=xl/externalLinks/_rels/externalLink317.xml.rels><?xml version="1.0" encoding="UTF-8" standalone="yes"?>
<Relationships xmlns="http://schemas.openxmlformats.org/package/2006/relationships"><Relationship Id="rId1" Type="http://schemas.openxmlformats.org/officeDocument/2006/relationships/externalLinkPath" Target="file:///X:\PROJECTS\TibahTV\Gulf%20Tower\contract%20docs\PROGRESSAPPLTNMBC.xls" TargetMode="External"/></Relationships>
</file>

<file path=xl/externalLinks/_rels/externalLink318.xml.rels><?xml version="1.0" encoding="UTF-8" standalone="yes"?>
<Relationships xmlns="http://schemas.openxmlformats.org/package/2006/relationships"><Relationship Id="rId1" Type="http://schemas.openxmlformats.org/officeDocument/2006/relationships/externalLinkPath" Target="file:///\\VARUNI-PC\Epilepsy\Cencus%20&amp;%20Statistic\Building\BOQ-CEns\WB%20meeting%20revision-7-10-2010\06-08-2010\Sameera\Work\Tangalle%20Hospital\Tangalle%20-%20Maternaty%20Ward%20Complex%20WSD.xls" TargetMode="External"/></Relationships>
</file>

<file path=xl/externalLinks/_rels/externalLink319.xml.rels><?xml version="1.0" encoding="UTF-8" standalone="yes"?>
<Relationships xmlns="http://schemas.openxmlformats.org/package/2006/relationships"><Relationship Id="rId1" Type="http://schemas.openxmlformats.org/officeDocument/2006/relationships/externalLinkPath" Target="\Users\m.thilakarathne\AppData\Local\Microsoft\Windows\INetCache\Content.Outlook\2CN0ECRF\QUOTE%20NEW.xlsx" TargetMode="External"/></Relationships>
</file>

<file path=xl/externalLinks/_rels/externalLink320.xml.rels><?xml version="1.0" encoding="UTF-8" standalone="yes"?>
<Relationships xmlns="http://schemas.openxmlformats.org/package/2006/relationships"><Relationship Id="rId1" Type="http://schemas.openxmlformats.org/officeDocument/2006/relationships/externalLinkPath" Target="\MY%20QS%20DOC\BSR-Jck.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frontsheet"/>
      <sheetName val="prelims"/>
      <sheetName val="SITE REV-1"/>
      <sheetName val="Townhouses"/>
      <sheetName val="PSUMS"/>
      <sheetName val="summary"/>
      <sheetName val="Prelim"/>
      <sheetName val="MOS"/>
      <sheetName val="FitOutConfCentre"/>
      <sheetName val="Factors"/>
      <sheetName val="BOQ Com"/>
      <sheetName val="기계내역서"/>
      <sheetName val="Cash2"/>
      <sheetName val="Z"/>
      <sheetName val="Super"/>
      <sheetName val="Rate analysis 1"/>
      <sheetName val="基本ﾃﾞｰﾀ"/>
      <sheetName val="A"/>
      <sheetName val="BOM"/>
      <sheetName val="CCTV_EST1"/>
      <sheetName val="JOB COSTING SHEET HVAC"/>
      <sheetName val="Bill 3 - Site Works"/>
      <sheetName val="Details"/>
      <sheetName val="BN 01"/>
      <sheetName val="BQMPALOC"/>
      <sheetName val="INPUT"/>
      <sheetName val="Rate Sheet"/>
      <sheetName val="Admin"/>
      <sheetName val="Prior_CM"/>
      <sheetName val="d-safe DELUXE"/>
      <sheetName val="sep_data"/>
      <sheetName val="9-A (SVAT) New"/>
      <sheetName val="SITE_REV-1"/>
      <sheetName val="#REF"/>
      <sheetName val="Homagama Grounds-9.7.2013"/>
      <sheetName val="BOI - Katunayaka-9.8.2013"/>
      <sheetName val="CERTIFICATE"/>
      <sheetName val="内訳書"/>
      <sheetName val="2005 - GAAP"/>
      <sheetName val="BOQ"/>
      <sheetName val="Zones"/>
      <sheetName val="Americas"/>
      <sheetName val="Cash Flow Worksheet"/>
      <sheetName val="Schedu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FACTORS"/>
      <sheetName val="Summary "/>
      <sheetName val="BOQ ACMV_Preliminaries"/>
      <sheetName val="BOQ ACMV_Services "/>
      <sheetName val="BOQ breakdown"/>
      <sheetName val="Raw Data"/>
      <sheetName val="Manpower"/>
      <sheetName val="13A"/>
      <sheetName val="MAIN"/>
      <sheetName val="Rate analysis 1"/>
      <sheetName val="Cash2"/>
      <sheetName val="Z"/>
      <sheetName val="기계내역서"/>
      <sheetName val="A"/>
      <sheetName val="1A"/>
      <sheetName val="Price"/>
      <sheetName val="3C"/>
      <sheetName val="Sheet1"/>
      <sheetName val="Valible One BOQ"/>
      <sheetName val="Schedules"/>
      <sheetName val="CCTV_EST1"/>
      <sheetName val="Summary"/>
      <sheetName val="FORM5"/>
      <sheetName val="Ragama"/>
      <sheetName val="Cash Flow Worksheet"/>
      <sheetName val="FitOutConfCentre"/>
      <sheetName val="data"/>
      <sheetName val="Rate Sheet"/>
      <sheetName val="TYRE1"/>
      <sheetName val="BOQ_Omega_ACMV_09_11_07"/>
      <sheetName val="S3 Architectural"/>
      <sheetName val="total"/>
      <sheetName val="Material Prices"/>
      <sheetName val="B-3"/>
      <sheetName val="Lookup"/>
      <sheetName val="MOS"/>
      <sheetName val="BQMPALOC"/>
      <sheetName val="FS"/>
      <sheetName val="Sheet2"/>
      <sheetName val="Details"/>
      <sheetName val="FAS-C(4)"/>
      <sheetName val="ACS(1)"/>
      <sheetName val="CCTV(old)"/>
      <sheetName val="BOQ"/>
      <sheetName val="sum-al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__FDSCACHE__"/>
      <sheetName val="Summary"/>
      <sheetName val="Data"/>
      <sheetName val="d-safe specs"/>
      <sheetName val="FitOutConfCentre"/>
      <sheetName val="ID Office-R1 - 23.8.2012"/>
      <sheetName val="Schnieder Price List-July 2012"/>
      <sheetName val="WB"/>
      <sheetName val="Ra  stair"/>
      <sheetName val="MAIN"/>
      <sheetName val="주식"/>
      <sheetName val="1-G1"/>
      <sheetName val="기계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MBP Summ"/>
      <sheetName val="MBQ"/>
      <sheetName val="DRG.STD"/>
      <sheetName val="summary"/>
      <sheetName val="BOQ-I"/>
      <sheetName val="RA"/>
      <sheetName val="P&amp;M"/>
      <sheetName val="P &amp; M"/>
      <sheetName val="basic"/>
      <sheetName val="Shut.Co"/>
      <sheetName val="shuttering"/>
      <sheetName val="Manpower"/>
      <sheetName val="Material sourcing"/>
      <sheetName val="FitOutConfCentre"/>
      <sheetName val="13-septic"/>
      <sheetName val="7-ug"/>
      <sheetName val="2-utility"/>
      <sheetName val="11-hsd"/>
      <sheetName val="18-misc"/>
      <sheetName val="5-pip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COVER"/>
      <sheetName val="bill01"/>
      <sheetName val="new BILL2 lib"/>
      <sheetName val="BILL3 NEW GYM"/>
      <sheetName val="BILL 4 NEW multi"/>
      <sheetName val="BILL6 NEW DINNING"/>
      <sheetName val="BILL 5  SCHALET"/>
      <sheetName val="BILL 6 D CHALET"/>
      <sheetName val=" BILL 7 NEW MEDICAL"/>
      <sheetName val="BILL 10  new SITING"/>
      <sheetName val="bill16elec"/>
      <sheetName val="gs"/>
      <sheetName val="内訳書"/>
      <sheetName val="LTG-ST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Macros"/>
      <sheetName val="Cover page"/>
      <sheetName val="Index (DR)"/>
      <sheetName val="Index"/>
      <sheetName val="Period Summary"/>
      <sheetName val="Cumulative Summary"/>
      <sheetName val="Orders"/>
      <sheetName val="Sales"/>
      <sheetName val="Inst Sales"/>
      <sheetName val="Svc Sales"/>
      <sheetName val="Std Margin"/>
      <sheetName val="Std Mgn %"/>
      <sheetName val="Inst Mgn"/>
      <sheetName val="Inst Mgn %"/>
      <sheetName val="Svc Mgn"/>
      <sheetName val="Svc Mgn %"/>
      <sheetName val="Direct Costs"/>
      <sheetName val="Recoveries"/>
      <sheetName val="Over (Under)"/>
      <sheetName val="Other Direct Costs"/>
      <sheetName val="Cap'n, Dism &amp; GAV"/>
      <sheetName val="Gross Mgn"/>
      <sheetName val="Gross Mgn %"/>
      <sheetName val="Overheads"/>
      <sheetName val="Contribution Before Task"/>
      <sheetName val="Task"/>
      <sheetName val="Contribution"/>
      <sheetName val="RCA"/>
      <sheetName val="CCA"/>
      <sheetName val="EBIT"/>
      <sheetName val="Total Operations"/>
      <sheetName val="Total Regions"/>
      <sheetName val="Comms"/>
      <sheetName val="North Region"/>
      <sheetName val="Glasgow"/>
      <sheetName val="Edinburgh Consol"/>
      <sheetName val="Edinburgh"/>
      <sheetName val="Aberdeen"/>
      <sheetName val="Newcastle"/>
      <sheetName val="Manchester"/>
      <sheetName val="Liverpool"/>
      <sheetName val="Sonitrol"/>
      <sheetName val="NRO"/>
      <sheetName val="Midlands Region"/>
      <sheetName val="Birmingham"/>
      <sheetName val="Nottingham"/>
      <sheetName val="Leeds Consol"/>
      <sheetName val="Leeds"/>
      <sheetName val="Hull"/>
      <sheetName val="Sheffield"/>
      <sheetName val="Leicester Consol"/>
      <sheetName val="Leicester"/>
      <sheetName val="Northampton"/>
      <sheetName val="Norwich"/>
      <sheetName val="MRO"/>
      <sheetName val="South East Region"/>
      <sheetName val="Sunbury Consol"/>
      <sheetName val="Sunbury"/>
      <sheetName val="NW London"/>
      <sheetName val="City"/>
      <sheetName val="Dartford Consol"/>
      <sheetName val="Dartford"/>
      <sheetName val="Tunbridge Wells"/>
      <sheetName val="Loughton Consol"/>
      <sheetName val="Loughton"/>
      <sheetName val="SERO"/>
      <sheetName val="South West Region"/>
      <sheetName val="Bristol Consol"/>
      <sheetName val="Bristol"/>
      <sheetName val="Plymouth"/>
      <sheetName val="Cardiff"/>
      <sheetName val="Northwood Consol"/>
      <sheetName val="Northwood"/>
      <sheetName val="Reading"/>
      <sheetName val="Belfast"/>
      <sheetName val="Dublin"/>
      <sheetName val="Portsmouth Consol"/>
      <sheetName val="Portsmouth"/>
      <sheetName val="Brighton"/>
      <sheetName val="BMS"/>
      <sheetName val="SWRO"/>
      <sheetName val="High Security Division"/>
      <sheetName val="White Group"/>
      <sheetName val="Central Departments"/>
      <sheetName val="C.Dept. Allocation"/>
      <sheetName val="League"/>
      <sheetName val="RIF Data"/>
      <sheetName val="Contract Cancellations"/>
      <sheetName val="Branch Cancellations"/>
      <sheetName val="Nat Accts Cancellations"/>
      <sheetName val="Debt Data"/>
      <sheetName val="Headcount"/>
      <sheetName val="Cum Actual"/>
      <sheetName val="Month + 1 Budget"/>
      <sheetName val="Month + 1 Forecast"/>
      <sheetName val="Full Year Budget"/>
      <sheetName val="Budgetted Task"/>
      <sheetName val="Full Year Forecast"/>
      <sheetName val="WIH"/>
      <sheetName val="WIH GM"/>
      <sheetName val="Acquisition WIH Movement"/>
      <sheetName val="Non Nat Reason"/>
      <sheetName val="Non Nat Count"/>
      <sheetName val="Nat Reason"/>
      <sheetName val="Nat Count"/>
      <sheetName val="Disco Rates"/>
      <sheetName val="Disco Rates (Consol)"/>
      <sheetName val="Service Margin Variance"/>
      <sheetName val="Service Margin Variance Budget"/>
      <sheetName val=" Install Margin Variance"/>
      <sheetName val="Install Margin Variance Budget"/>
      <sheetName val="Summary"/>
      <sheetName val="Print Summaries"/>
      <sheetName val="Print North Pack"/>
      <sheetName val="Print Midlands Pack"/>
      <sheetName val="Print South Pack"/>
      <sheetName val="Print Management Pack"/>
      <sheetName val="Update League Tables"/>
      <sheetName val="Roll Management Accts Forward"/>
      <sheetName val="Module1"/>
      <sheetName val="Module2"/>
      <sheetName val="Module3"/>
      <sheetName val="해약미수"/>
      <sheetName val="CQ by Entity"/>
      <sheetName val="FY by Entity"/>
      <sheetName val="NQ by Entity"/>
      <sheetName val="CQ Bridge"/>
      <sheetName val="CQ Orders"/>
      <sheetName val="Org Growth"/>
      <sheetName val="Monthly Trend Act MOR pv"/>
      <sheetName val="Admin"/>
      <sheetName val="Prior_CM"/>
      <sheetName val="calculations"/>
      <sheetName val="ELE Summary"/>
      <sheetName val="Total"/>
      <sheetName val="Zones"/>
      <sheetName val="13A"/>
      <sheetName val="Goodwill Calculation"/>
      <sheetName val="GS1"/>
      <sheetName val="Raw Data"/>
      <sheetName val="A"/>
      <sheetName val="Ra  stair"/>
      <sheetName val="costing sheet"/>
      <sheetName val="4"/>
      <sheetName val="Factor F Data"/>
      <sheetName val="Factors"/>
      <sheetName val="Material Prices"/>
      <sheetName val="BLK2"/>
      <sheetName val="BLK3"/>
      <sheetName val="E &amp; R"/>
      <sheetName val="radar"/>
      <sheetName val="UG"/>
      <sheetName val="3.Labour"/>
      <sheetName val="1.Material"/>
      <sheetName val="MMI"/>
      <sheetName val="2.Machinery"/>
      <sheetName val="Schedules"/>
      <sheetName val="SCHEDULE"/>
      <sheetName val="#3E1_GCR"/>
      <sheetName val="w't table"/>
      <sheetName val="Sheet3"/>
      <sheetName val="BOQ"/>
      <sheetName val="INPUT - Recommended Schedules"/>
      <sheetName val="Factor Sheet"/>
      <sheetName val="Cost Factor Sheet"/>
      <sheetName val="RESOURCES"/>
      <sheetName val="BASIC RATES"/>
      <sheetName val="Sheet1"/>
      <sheetName val="内訳書"/>
      <sheetName val="วัดใ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Admin"/>
      <sheetName val="Summary"/>
      <sheetName val="CURR"/>
      <sheetName val="Prior_CM"/>
      <sheetName val="Prior_Year_End"/>
      <sheetName val="Factors &amp; Temp Calc"/>
      <sheetName val="Zones"/>
      <sheetName val="ELE Summary"/>
      <sheetName val="Material Prices"/>
      <sheetName val="A"/>
      <sheetName val="Ragama"/>
      <sheetName val="Variables"/>
      <sheetName val="B-3"/>
      <sheetName val="Competitors"/>
      <sheetName val="Raw Data"/>
      <sheetName val="Details"/>
      <sheetName val="SSuppliers"/>
      <sheetName val="Factor Sheet"/>
      <sheetName val="Total Operations"/>
      <sheetName val="White Group"/>
      <sheetName val="BOQ"/>
      <sheetName val="Factor F Data"/>
      <sheetName val="Electrical"/>
      <sheetName val="Keels-6.2.2014"/>
      <sheetName val="FlowHmgma Grds-9.7.2013-details"/>
      <sheetName val="RA"/>
      <sheetName val="jul_data"/>
      <sheetName val="CAP"/>
      <sheetName val="대비표"/>
      <sheetName val="Sheet3"/>
      <sheetName val="Sheet2"/>
      <sheetName val="1-G1"/>
      <sheetName val="Factors"/>
      <sheetName val="Total"/>
      <sheetName val="RESOURCES"/>
      <sheetName val="BASIC 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ACMV_Supplier"/>
      <sheetName val="KKC Brkdwn"/>
      <sheetName val="Opt A(3.1)"/>
      <sheetName val="Opt A (3.2)"/>
      <sheetName val="Opt B"/>
      <sheetName val="Opt B-1 (REV) "/>
      <sheetName val="Opt B (REV)"/>
      <sheetName val="Opt B (Original)"/>
      <sheetName val="Opt B (Upper Gallery)"/>
      <sheetName val="Opt C (Original)"/>
      <sheetName val="Opt C"/>
      <sheetName val="Opt D(Lower gallery)"/>
      <sheetName val="Opt D(Lower gallery) (REV)"/>
      <sheetName val="BQSummary"/>
      <sheetName val="Plumbing"/>
      <sheetName val="7IFS-5A"/>
      <sheetName val="S3 Architectu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S3 Architectural"/>
      <sheetName val="Summary"/>
      <sheetName val="S1 Prelim"/>
      <sheetName val="S2 Structure"/>
      <sheetName val="S4 Infrastructure"/>
      <sheetName val="S5 WWTT"/>
      <sheetName val="S6 EE"/>
      <sheetName val="S7 SN"/>
      <sheetName val="S8 Fire"/>
      <sheetName val="S9 Air "/>
      <sheetName val="COST CODE"/>
      <sheetName val="COST%20CODE.xls"/>
      <sheetName val="Keels-6.2.2014"/>
      <sheetName val="B-2"/>
      <sheetName val="B-3"/>
      <sheetName val="FitOutConfCentre"/>
      <sheetName val="S3_Architectural"/>
      <sheetName val="S1_Prelim"/>
      <sheetName val="S2_Structure"/>
      <sheetName val="S4_Infrastructure"/>
      <sheetName val="S5_WWTT"/>
      <sheetName val="S6_EE"/>
      <sheetName val="S7_SN"/>
      <sheetName val="S8_Fire"/>
      <sheetName val="S9_Air_"/>
      <sheetName val="COST_CODE"/>
      <sheetName val="COST%20CODE_xls"/>
      <sheetName val="Keels-6_2_2014"/>
      <sheetName val="COST_CODE1"/>
      <sheetName val="S3_Architectural1"/>
      <sheetName val="S1_Prelim1"/>
      <sheetName val="S2_Structure1"/>
      <sheetName val="S4_Infrastructure1"/>
      <sheetName val="S5_WWTT1"/>
      <sheetName val="S6_EE1"/>
      <sheetName val="S7_SN1"/>
      <sheetName val="S8_Fire1"/>
      <sheetName val="S9_Air_1"/>
      <sheetName val="COST%20CODE_xls1"/>
      <sheetName val="Keels-6_2_20141"/>
      <sheetName val="COST_CODE2"/>
      <sheetName val="S3_Architectural2"/>
      <sheetName val="S1_Prelim2"/>
      <sheetName val="S2_Structure2"/>
      <sheetName val="S4_Infrastructure2"/>
      <sheetName val="S5_WWTT2"/>
      <sheetName val="S6_EE2"/>
      <sheetName val="S7_SN2"/>
      <sheetName val="S8_Fire2"/>
      <sheetName val="S9_Air_2"/>
      <sheetName val="COST%20CODE_xls2"/>
      <sheetName val="Keels-6_2_20142"/>
      <sheetName val="Material"/>
      <sheetName val="Kaatsu H.A.M.T.T.C.-7 jan 10"/>
      <sheetName val="ID Office-R1 - 23.8.2012"/>
      <sheetName val="Schnieder Price List-July 2012"/>
      <sheetName val="Total Operations"/>
      <sheetName val="White Group"/>
      <sheetName val="BOQ"/>
      <sheetName val="RESOURCES"/>
      <sheetName val="BASIC RATES"/>
      <sheetName val="SSuppliers"/>
      <sheetName val="内訳書"/>
      <sheetName val="Notes"/>
      <sheetName val="Rates"/>
      <sheetName val="QTY Pipe Laying"/>
      <sheetName val="MACHINERY"/>
      <sheetName val="SUBCON OR OTHER"/>
      <sheetName val="대비표"/>
      <sheetName val="BILL 4 NEW multi"/>
      <sheetName val="ancillary"/>
      <sheetName val="total"/>
      <sheetName val="Factors"/>
      <sheetName val="LET_BAFO"/>
      <sheetName val="OLD PRICES"/>
      <sheetName val="Lookup"/>
      <sheetName val="Exchange Rates(rounded)"/>
      <sheetName val="DDB Depr (Mths)"/>
      <sheetName val="A"/>
      <sheetName val="Cash2"/>
      <sheetName val="Z"/>
      <sheetName val="ELE Summary"/>
      <sheetName val="sep_data"/>
      <sheetName val="9-A (SVAT) New"/>
      <sheetName val="Material Prices to site"/>
      <sheetName val="Factor"/>
      <sheetName val="2005 - GAAP"/>
    </sheetNames>
    <definedNames>
      <definedName name="STOP"/>
      <definedName name="STOP2"/>
      <definedName name="STOP2E"/>
      <definedName name="STOP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Revenue"/>
      <sheetName val="QTY"/>
      <sheetName val="0101-0507-(02-08)"/>
      <sheetName val="List2"/>
      <sheetName val="REV_Oct 2013"/>
      <sheetName val="List3"/>
      <sheetName val="data"/>
      <sheetName val="List1"/>
      <sheetName val="Liberec"/>
      <sheetName val="ciselnik"/>
      <sheetName val="CC_REV"/>
      <sheetName val="STD_2014-08"/>
      <sheetName val="Sheet2"/>
      <sheetName val="Sheet3"/>
      <sheetName val="pivot Liberec"/>
      <sheetName val="data Liberec"/>
      <sheetName val="List4"/>
      <sheetName val="LS Price List"/>
      <sheetName val="FACTORS"/>
      <sheetName val="Competitors"/>
      <sheetName val="Summary"/>
      <sheetName val="概総括1"/>
      <sheetName val="B-3.2 EB"/>
      <sheetName val="3.Labour"/>
      <sheetName val="1.Material"/>
      <sheetName val="MMI"/>
      <sheetName val="2.Machinery"/>
      <sheetName val="RSM and Distributors"/>
      <sheetName val="Rate Sheet"/>
      <sheetName val="Lookup"/>
      <sheetName val="INPUT"/>
      <sheetName val="ID Office-R1 - 23.8.2012"/>
      <sheetName val="Schnieder Price List-July 2012"/>
      <sheetName val="基本ﾃﾞｰﾀ"/>
      <sheetName val="Ragama"/>
      <sheetName val="Homagama Grounds-9.7.2013"/>
      <sheetName val="BOI - Katunayaka-9.8.2013"/>
      <sheetName val="MAIN"/>
      <sheetName val="기계내역서"/>
      <sheetName val="aug_data"/>
      <sheetName val="CARPENTER"/>
      <sheetName val="Material Prices"/>
      <sheetName val="B-3"/>
      <sheetName val="Sheet1"/>
      <sheetName val="BQMPALOC"/>
      <sheetName val="DRUM"/>
      <sheetName val="Working-Sprin"/>
      <sheetName val="Ele Price"/>
      <sheetName val="BOQ PL"/>
      <sheetName val="HyperionEnt"/>
      <sheetName val="Cost Factor Sheet"/>
      <sheetName val="Equipment Schedule"/>
      <sheetName val="Workings"/>
      <sheetName val="Take-Off"/>
      <sheetName val="Total Operations"/>
      <sheetName val="White Group"/>
      <sheetName val="FAS-C(4)"/>
      <sheetName val="ACS(1)"/>
      <sheetName val="CCTV(old)"/>
      <sheetName val="sept-plan"/>
      <sheetName val="INPUT - Recommended Schedules"/>
      <sheetName val="BOQ"/>
      <sheetName val="Price Sheet"/>
      <sheetName val="Factor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laroux"/>
      <sheetName val="Factors"/>
      <sheetName val="VVa"/>
      <sheetName val="BOQ Com"/>
      <sheetName val="Table 1"/>
      <sheetName val="Sheet1"/>
      <sheetName val="Rates"/>
      <sheetName val="Drainage"/>
      <sheetName val="BOQ PL"/>
      <sheetName val="Ele Price"/>
      <sheetName val="data"/>
      <sheetName val="RESOURCES"/>
      <sheetName val="BASIC RATES"/>
      <sheetName val="Super"/>
      <sheetName val="Price"/>
      <sheetName val="3C"/>
      <sheetName val="Competitors"/>
      <sheetName val="B-2"/>
      <sheetName val="ID Office-R1 - 23.8.2012"/>
      <sheetName val="Schnieder Price List-July 2012"/>
      <sheetName val="Cost Factor Sheet"/>
      <sheetName val="Load Sch, Cable Sel &amp; Qty"/>
      <sheetName val="Factor Sheet"/>
      <sheetName val="Price Sheet"/>
      <sheetName val="Room Type"/>
      <sheetName val="Basement2 DB"/>
      <sheetName val="Schedules"/>
      <sheetName val="Summary"/>
      <sheetName val="INPUT"/>
      <sheetName val="MOS"/>
      <sheetName val="APPT"/>
      <sheetName val="APPT_SGL"/>
      <sheetName val="Phone_Sale"/>
      <sheetName val="WIP"/>
      <sheetName val="Furniture"/>
      <sheetName val="基本ﾃﾞｰﾀ"/>
      <sheetName val="Factor F Data"/>
      <sheetName val="BOQ"/>
      <sheetName val="total components with Rates"/>
      <sheetName val="Interimbill-01"/>
      <sheetName val="4"/>
      <sheetName val="OLD PRICES"/>
      <sheetName val="PA"/>
      <sheetName val="Workings"/>
      <sheetName val="AEX_IMPORTS"/>
      <sheetName val="Admin"/>
      <sheetName val="Prior_CM"/>
      <sheetName val="BILL 4 NEW multi"/>
      <sheetName val="Prices"/>
      <sheetName val="Raw Data"/>
      <sheetName val="Keels-6.2.201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Plumbing"/>
      <sheetName val="GI Duct Summary"/>
      <sheetName val="1st (Revised)"/>
      <sheetName val="1st (Tender)"/>
      <sheetName val="2nd (Revised)"/>
      <sheetName val="2nd (Tender)"/>
      <sheetName val="3rd (Revised)"/>
      <sheetName val="3rd (Tender)"/>
      <sheetName val="4th (Revised)"/>
      <sheetName val="4th (Tender)"/>
      <sheetName val="5th (Revised)"/>
      <sheetName val="5th (Tender)"/>
      <sheetName val="6th (Revised)"/>
      <sheetName val="6th (Tender)"/>
      <sheetName val="7th (Revised)"/>
      <sheetName val="7th (Tender)"/>
      <sheetName val="8th (Revised)"/>
      <sheetName val="8th (Tender)"/>
      <sheetName val="Roof (Revised)"/>
      <sheetName val="Roof (Tender)"/>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ummary"/>
      <sheetName val="1st"/>
      <sheetName val="2nd"/>
      <sheetName val="3rd"/>
      <sheetName val="4th"/>
      <sheetName val="5th"/>
      <sheetName val="6th"/>
      <sheetName val="7th"/>
      <sheetName val="8th"/>
      <sheetName val="9th"/>
      <sheetName val="Roof"/>
      <sheetName val=" BMS-Qty"/>
      <sheetName val="GI_Duct_Summary"/>
      <sheetName val="1st_(Revised)"/>
      <sheetName val="1st_(Tender)"/>
      <sheetName val="2nd_(Revised)"/>
      <sheetName val="2nd_(Tender)"/>
      <sheetName val="3rd_(Revised)"/>
      <sheetName val="3rd_(Tender)"/>
      <sheetName val="4th_(Revised)"/>
      <sheetName val="4th_(Tender)"/>
      <sheetName val="5th_(Revised)"/>
      <sheetName val="5th_(Tender)"/>
      <sheetName val="6th_(Revised)"/>
      <sheetName val="6th_(Tender)"/>
      <sheetName val="7th_(Revised)"/>
      <sheetName val="7th_(Tender)"/>
      <sheetName val="8th_(Revised)"/>
      <sheetName val="8th_(Tender)"/>
      <sheetName val="Roof_(Revised)"/>
      <sheetName val="Roof_(Tender)"/>
      <sheetName val="_BMS-Qty"/>
      <sheetName val="Master01"/>
      <sheetName val="공사수행방안"/>
      <sheetName val="BO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APPENDIX-I"/>
      <sheetName val="Corr-spt"/>
      <sheetName val="Obs-spt"/>
      <sheetName val="SPT vs PHI"/>
      <sheetName val="Indices"/>
      <sheetName val="Concrete"/>
      <sheetName val="reinft"/>
      <sheetName val="glass project concrete"/>
      <sheetName val="glass project reift"/>
      <sheetName val="glass project indices"/>
      <sheetName val="Lab"/>
      <sheetName val="office"/>
      <sheetName val="Material&amp;equipment"/>
      <sheetName val="Boq"/>
      <sheetName val="SBC-BH-1"/>
      <sheetName val="gen"/>
      <sheetName val="SBC-BH 19"/>
      <sheetName val="SBC-BH-16"/>
      <sheetName val="BH-20"/>
      <sheetName val="BH-15"/>
      <sheetName val="BH-14"/>
      <sheetName val="BH-16"/>
      <sheetName val="BH-17"/>
      <sheetName val="sbc-ABH-1"/>
      <sheetName val="ABH-1"/>
      <sheetName val="BH-19"/>
      <sheetName val="BH-1"/>
      <sheetName val="SBC-BH-3"/>
      <sheetName val="BH-3"/>
      <sheetName val="Sheet4"/>
      <sheetName val="sept-plan"/>
      <sheetName val="Summary 0506"/>
      <sheetName val="Summary 0607- 31.MAR"/>
      <sheetName val="#REF!"/>
      <sheetName val="Qty"/>
      <sheetName val="Rate Analysis"/>
      <sheetName val="Spt-BH"/>
      <sheetName val="Other"/>
      <sheetName val="Summary"/>
      <sheetName val="Civil Boq"/>
      <sheetName val="d-safe DELUXE"/>
      <sheetName val="Sheet1"/>
      <sheetName val="BH 12-11-10-13"/>
      <sheetName val="BH 12-11-10-9"/>
      <sheetName val="BH 36-15-37"/>
      <sheetName val="BH 16-35-25-17"/>
      <sheetName val="BH 35-25-17"/>
      <sheetName val="Sheet1 (2)"/>
      <sheetName val="Sheet2"/>
      <sheetName val="SPT_vs_PHI"/>
      <sheetName val="glass_project_concrete"/>
      <sheetName val="glass_project_reift"/>
      <sheetName val="glass_project_indices"/>
      <sheetName val="PRECAST lightconc-II"/>
      <sheetName val="Table10"/>
      <sheetName val="Table11"/>
      <sheetName val="Table12"/>
      <sheetName val="Table9"/>
      <sheetName val="FitOutConfCentre"/>
      <sheetName val="Pile cap"/>
      <sheetName val="SPT_vs_PHI1"/>
      <sheetName val="glass_project_concrete1"/>
      <sheetName val="glass_project_reift1"/>
      <sheetName val="glass_project_indices1"/>
      <sheetName val="SBC-BH_19"/>
      <sheetName val="Rate_Analysis"/>
      <sheetName val="BH_12-11-10-13"/>
      <sheetName val="BH_12-11-10-9"/>
      <sheetName val="BH_36-15-37"/>
      <sheetName val="BH_16-35-25-17"/>
      <sheetName val="BH_35-25-17"/>
      <sheetName val="Sheet1_(2)"/>
      <sheetName val="Design"/>
      <sheetName val="BQMPALOC"/>
      <sheetName val="Flight-1"/>
      <sheetName val="attach(2)"/>
      <sheetName val="T&amp;M"/>
      <sheetName val="Legal Risk Analysis"/>
      <sheetName val="Break up Sheet"/>
      <sheetName val="TBAL9697 -group wise  sdpl"/>
      <sheetName val="Abstract Sheet"/>
      <sheetName val="V.O.4 - PCC Qty"/>
      <sheetName val="AOR"/>
      <sheetName val="RCC,Ret. Wall"/>
      <sheetName val="Form 6"/>
      <sheetName val="PointNo.5"/>
      <sheetName val="BOQ (2)"/>
      <sheetName val="Mix Design"/>
      <sheetName val="std-rates"/>
      <sheetName val="BLK2"/>
      <sheetName val="BLK3"/>
      <sheetName val="E &amp; R"/>
      <sheetName val="radar"/>
      <sheetName val="UG"/>
      <sheetName val="Fill this out first..."/>
      <sheetName val="LABOUR"/>
      <sheetName val="REVISED4A PROG PERF-SITE 1"/>
      <sheetName val="WWR"/>
      <sheetName val="BOQ_Direct_selling cost"/>
      <sheetName val="CABLE DATA"/>
      <sheetName val="GBW"/>
      <sheetName val="Stock-II"/>
      <sheetName val="R20_R30_work"/>
      <sheetName val="8"/>
      <sheetName val="Publicbuilding"/>
      <sheetName val="FT-05-02IsoBOM"/>
      <sheetName val="final abstract"/>
      <sheetName val="COLUMN"/>
      <sheetName val="Input"/>
      <sheetName val="Activity"/>
      <sheetName val="Staff Acco."/>
      <sheetName val="Crew"/>
      <sheetName val="Piping"/>
      <sheetName val="Pipe Supports"/>
      <sheetName val="Load Details-220kV"/>
      <sheetName val="SANJAY PAL"/>
      <sheetName val="P A SELVAM"/>
      <sheetName val="ANSARI "/>
      <sheetName val="abdesh pal"/>
      <sheetName val="sujay bagchi"/>
      <sheetName val="S.K.SINHA BASU"/>
      <sheetName val="NEDUNCHEZHIYAN"/>
      <sheetName val="RAJARAM"/>
      <sheetName val="KRISHNA PRASAD"/>
      <sheetName val="BARATH &amp; CO"/>
      <sheetName val="L B YADAV"/>
      <sheetName val="DEEPAK KUMAR"/>
      <sheetName val="MUKLAL YADAV"/>
      <sheetName val="MADHU SUDHAN"/>
      <sheetName val="SAUD ALAM "/>
      <sheetName val="RAMESH BABU"/>
      <sheetName val="SUKHENDUPAL"/>
      <sheetName val="SAILEN SARKAR"/>
      <sheetName val="elongovan"/>
      <sheetName val="SANJAY JENA1"/>
      <sheetName val="upendra saw "/>
      <sheetName val="ALLOK KUMAR "/>
      <sheetName val="analysis"/>
      <sheetName val="except wiring"/>
      <sheetName val=""/>
      <sheetName val="Rev S1 Abstract"/>
      <sheetName val="Quantity Abstract"/>
      <sheetName val="Abstract"/>
      <sheetName val="VCH-SLC"/>
      <sheetName val="Supplier"/>
      <sheetName val="Sump"/>
      <sheetName val="INPUT SHEET"/>
      <sheetName val="RES-PLANNING"/>
      <sheetName val="M-Book for Conc"/>
      <sheetName val="M-Book for FW"/>
      <sheetName val="Parapet"/>
      <sheetName val="sheet6"/>
      <sheetName val="RA-markate"/>
      <sheetName val="beam-reinft-IIInd floor"/>
      <sheetName val="Footings"/>
      <sheetName val="B@__x005f_x0000__x005f_x0004_@_x005f_x0000__x0000"/>
      <sheetName val="Project Budget Worksheet"/>
      <sheetName val="Summary_0506"/>
      <sheetName val="Summary_0607-_31_MAR"/>
      <sheetName val="Form_6"/>
      <sheetName val="#REF"/>
      <sheetName val="BOQ -II ph 2"/>
      <sheetName val="A-General"/>
      <sheetName val="B@_"/>
      <sheetName val="cubes_M20"/>
      <sheetName val="B@___x0004_@_____$__"/>
      <sheetName val="BS1"/>
      <sheetName val="RA"/>
      <sheetName val="11-hsd"/>
      <sheetName val="13-septic"/>
      <sheetName val="7-ug"/>
      <sheetName val="2-utility"/>
      <sheetName val="18-misc"/>
      <sheetName val="5-pipe"/>
      <sheetName val="STAFFSCHED "/>
      <sheetName val="SUMM"/>
      <sheetName val="switch"/>
      <sheetName val="Sheet3"/>
      <sheetName val="dummy"/>
      <sheetName val="1"/>
      <sheetName val="Cost_any"/>
      <sheetName val="Macro1"/>
      <sheetName val="DADAN-1"/>
      <sheetName val="class &amp; category"/>
      <sheetName val="d-safe specs"/>
      <sheetName val="Lead"/>
      <sheetName val="Process"/>
      <sheetName val="pt_cw"/>
      <sheetName val="Metso - Forth &amp; Slurry 11.02.10"/>
      <sheetName val="FUNDFLOW"/>
      <sheetName val="Fee Rate Summary"/>
      <sheetName val="Rein-Final (Ph 1+Ph2)"/>
      <sheetName val="Formulas"/>
      <sheetName val="B@___x005f_x0004_@_____$__"/>
      <sheetName val="B@__x005f_x005f_x005f_x0000__x005f_x005f_x005f_x0004_@_"/>
      <sheetName val="Debits as on 12.04.08"/>
      <sheetName val="Site wise NADs"/>
      <sheetName val="220 11  BS "/>
      <sheetName val="Quote Sheet"/>
      <sheetName val="col-reinft1"/>
      <sheetName val="SSR &amp; NSSR Market final"/>
      <sheetName val="p&amp;m"/>
      <sheetName val="SPT_vs_PHI2"/>
      <sheetName val="glass_project_concrete2"/>
      <sheetName val="glass_project_reift2"/>
      <sheetName val="glass_project_indices2"/>
      <sheetName val="SBC-BH_191"/>
      <sheetName val="Rate_Analysis1"/>
      <sheetName val="BH_12-11-10-131"/>
      <sheetName val="BH_12-11-10-91"/>
      <sheetName val="BH_36-15-371"/>
      <sheetName val="BH_16-35-25-171"/>
      <sheetName val="BH_35-25-171"/>
      <sheetName val="Sheet1_(2)1"/>
      <sheetName val="Summary_05061"/>
      <sheetName val="Summary_0607-_31_MAR1"/>
      <sheetName val="Civil_Boq"/>
      <sheetName val="Pile_cap"/>
      <sheetName val="PRECAST_lightconc-II"/>
      <sheetName val="d-safe_DELUXE"/>
      <sheetName val="Mix_Design"/>
      <sheetName val="RCC,Ret__Wall"/>
      <sheetName val="Form_61"/>
      <sheetName val="PointNo_5"/>
      <sheetName val="Legal_Risk_Analysis"/>
      <sheetName val="E_&amp;_R"/>
      <sheetName val="Break_up_Sheet"/>
      <sheetName val="TBAL9697_-group_wise__sdpl"/>
      <sheetName val="Abstract_Sheet"/>
      <sheetName val="V_O_4_-_PCC_Qty"/>
      <sheetName val="Fill_this_out_first___"/>
      <sheetName val="REVISED4A_PROG_PERF-SITE_1"/>
      <sheetName val="BOQ_Direct_selling_cost"/>
      <sheetName val="Load_Details-220kV"/>
      <sheetName val="beam-reinft-IIInd_floor"/>
      <sheetName val="BOQ_(2)"/>
      <sheetName val="CABLE_DATA"/>
      <sheetName val="final_abstract"/>
      <sheetName val="Rev_S1_Abstract"/>
      <sheetName val="Quantity_Abstract"/>
      <sheetName val="Staff_Acco_"/>
      <sheetName val="Pipe_Supports"/>
      <sheetName val="M-Book_for_Conc"/>
      <sheetName val="M-Book_for_FW"/>
      <sheetName val="INPUT_SHEET"/>
      <sheetName val="SANJAY_PAL"/>
      <sheetName val="P_A_SELVAM"/>
      <sheetName val="ANSARI_"/>
      <sheetName val="abdesh_pal"/>
      <sheetName val="sujay_bagchi"/>
      <sheetName val="S_K_SINHA_BASU"/>
      <sheetName val="KRISHNA_PRASAD"/>
      <sheetName val="BARATH_&amp;_CO"/>
      <sheetName val="L_B_YADAV"/>
      <sheetName val="DEEPAK_KUMAR"/>
      <sheetName val="MUKLAL_YADAV"/>
      <sheetName val="MADHU_SUDHAN"/>
      <sheetName val="SAUD_ALAM_"/>
      <sheetName val="RAMESH_BABU"/>
      <sheetName val="SAILEN_SARKAR"/>
      <sheetName val="SANJAY_JENA1"/>
      <sheetName val="upendra_saw_"/>
      <sheetName val="ALLOK_KUMAR_"/>
      <sheetName val="except_wiring"/>
      <sheetName val="B@__@_____$__"/>
      <sheetName val="Project_Budget_Worksheet"/>
      <sheetName val="BOQ_-II_ph_2"/>
      <sheetName val="HPL"/>
      <sheetName val="India F&amp;S Template"/>
      <sheetName val="Cal"/>
      <sheetName val="Data"/>
      <sheetName val="Voucher"/>
      <sheetName val="Materials Cost(PCC)"/>
      <sheetName val="合成単価作成表-BLDG"/>
      <sheetName val="maingirder"/>
      <sheetName val="basic-data"/>
      <sheetName val="NPV"/>
      <sheetName val="Stress Calculation"/>
      <sheetName val="B@[_x005f_x0000__x005f_x0004_@_x005f_x0000__x0000"/>
      <sheetName val="x-items"/>
      <sheetName val="PRRM Dashboard"/>
      <sheetName val="Mappings"/>
      <sheetName val="Qty-Opt1"/>
      <sheetName val="Assmpns"/>
      <sheetName val="precast RC element"/>
      <sheetName val="Build-up"/>
      <sheetName val="RA RCC F"/>
      <sheetName val="Title"/>
      <sheetName val="Coefficients"/>
      <sheetName val="IS3370"/>
      <sheetName val="IS456"/>
      <sheetName val="Headings"/>
      <sheetName val="Costing"/>
      <sheetName val="SOR"/>
      <sheetName val="PriceSummary"/>
      <sheetName val="2gii"/>
      <sheetName val="B@_@__$"/>
      <sheetName val="Metso_-_Forth_&amp;_Slurry_11_02_10"/>
      <sheetName val="EDWise"/>
      <sheetName val="ComboSheet"/>
      <sheetName val="Report"/>
      <sheetName val="BHANDUP"/>
      <sheetName val="Cost of O &amp; O"/>
      <sheetName val="FOOTING"/>
      <sheetName val="COLUMNS"/>
      <sheetName val="plinth Beam + Stirrups "/>
      <sheetName val="GF COLUMNS"/>
      <sheetName val="G.F ROOF BEAM "/>
      <sheetName val="GF SLAB STEEL"/>
      <sheetName val="GF Lintel"/>
      <sheetName val="GF Stair"/>
      <sheetName val="FF COLUMNS"/>
      <sheetName val="F.F. Steel FINAL (2)"/>
      <sheetName val="FF Lintel"/>
      <sheetName val="FF Stair"/>
      <sheetName val="S.F. Steel FINAL "/>
      <sheetName val="SF Lintel"/>
      <sheetName val="3"/>
      <sheetName val="SPT_vs_PHI3"/>
      <sheetName val="glass_project_concrete3"/>
      <sheetName val="glass_project_reift3"/>
      <sheetName val="glass_project_indices3"/>
      <sheetName val="SBC-BH_192"/>
      <sheetName val="Rate_Analysis2"/>
      <sheetName val="Civil_Boq1"/>
      <sheetName val="BH_12-11-10-132"/>
      <sheetName val="BH_12-11-10-92"/>
      <sheetName val="BH_36-15-372"/>
      <sheetName val="BH_16-35-25-172"/>
      <sheetName val="BH_35-25-172"/>
      <sheetName val="Sheet1_(2)2"/>
      <sheetName val="d-safe_DELUXE1"/>
      <sheetName val="Pile_cap1"/>
      <sheetName val="PRECAST_lightconc-II1"/>
      <sheetName val="PointNo_51"/>
      <sheetName val="RCC,Ret__Wall1"/>
      <sheetName val="Legal_Risk_Analysis1"/>
      <sheetName val="Mix_Design1"/>
      <sheetName val="E_&amp;_R1"/>
      <sheetName val="Break_up_Sheet1"/>
      <sheetName val="TBAL9697_-group_wise__sdpl1"/>
      <sheetName val="Abstract_Sheet1"/>
      <sheetName val="V_O_4_-_PCC_Qty1"/>
      <sheetName val="d-safe_specs"/>
      <sheetName val="STAFFSCHED_"/>
      <sheetName val="class_&amp;_category"/>
      <sheetName val="Fee_Rate_Summary"/>
      <sheetName val="Rein-Final_(Ph_1+Ph2)"/>
      <sheetName val="SubmitCal"/>
      <sheetName val="B@___x005f_x005f_x005f_x0004_@_____$__"/>
      <sheetName val="B@__x005f_x005f_x005f_x005f_x005f_x005f_x005f_x0000__x0"/>
      <sheetName val="재1"/>
      <sheetName val="MGS"/>
      <sheetName val="Inputs &amp; Summary Output"/>
      <sheetName val="Broad Refresher Model"/>
      <sheetName val="BLOCK-E"/>
      <sheetName val="C"/>
      <sheetName val="B"/>
      <sheetName val="Mx1012a"/>
      <sheetName val="Summary_05062"/>
      <sheetName val="Summary_0607-_31_MAR2"/>
      <sheetName val="Form_62"/>
      <sheetName val="Fill_this_out_first___1"/>
      <sheetName val="REVISED4A_PROG_PERF-SITE_11"/>
      <sheetName val="BOQ_Direct_selling_cost1"/>
      <sheetName val="BOQ_(2)1"/>
      <sheetName val="CABLE_DATA1"/>
      <sheetName val="Staff_Acco_1"/>
      <sheetName val="Pipe_Supports1"/>
      <sheetName val="final_abstract1"/>
      <sheetName val="Rev_S1_Abstract1"/>
      <sheetName val="Quantity_Abstract1"/>
      <sheetName val="M-Book_for_Conc1"/>
      <sheetName val="M-Book_for_FW1"/>
      <sheetName val="Load_Details-220kV1"/>
      <sheetName val="beam-reinft-IIInd_floor1"/>
      <sheetName val="INPUT_SHEET1"/>
      <sheetName val="Project_Budget_Worksheet1"/>
      <sheetName val="SANJAY_PAL1"/>
      <sheetName val="P_A_SELVAM1"/>
      <sheetName val="ANSARI_1"/>
      <sheetName val="abdesh_pal1"/>
      <sheetName val="sujay_bagchi1"/>
      <sheetName val="S_K_SINHA_BASU1"/>
      <sheetName val="KRISHNA_PRASAD1"/>
      <sheetName val="BARATH_&amp;_CO1"/>
      <sheetName val="L_B_YADAV1"/>
      <sheetName val="DEEPAK_KUMAR1"/>
      <sheetName val="MUKLAL_YADAV1"/>
      <sheetName val="MADHU_SUDHAN1"/>
      <sheetName val="SAUD_ALAM_1"/>
      <sheetName val="RAMESH_BABU1"/>
      <sheetName val="SAILEN_SARKAR1"/>
      <sheetName val="SANJAY_JENA11"/>
      <sheetName val="upendra_saw_1"/>
      <sheetName val="ALLOK_KUMAR_1"/>
      <sheetName val="except_wiring1"/>
      <sheetName val="BOQ_-II_ph_21"/>
      <sheetName val="Quote_Sheet"/>
      <sheetName val="Materials_Cost(PCC)"/>
      <sheetName val="220_11__BS_"/>
      <sheetName val="SSR_&amp;_NSSR_Market_final"/>
      <sheetName val="Site_wise_NADs"/>
      <sheetName val="RA_RCC_F"/>
      <sheetName val="India_F&amp;S_Template"/>
      <sheetName val="Stress_Calculation"/>
      <sheetName val="precast_RC_element"/>
      <sheetName val="plinth_Beam_+_Stirrups_"/>
      <sheetName val="GF_COLUMNS"/>
      <sheetName val="G_F_ROOF_BEAM_"/>
      <sheetName val="GF_SLAB_STEEL"/>
      <sheetName val="GF_Lintel"/>
      <sheetName val="GF_Stair"/>
      <sheetName val="FF_COLUMNS"/>
      <sheetName val="F_F__Steel_FINAL_(2)"/>
      <sheetName val="FF_Lintel"/>
      <sheetName val="FF_Stair"/>
      <sheetName val="S_F__Steel_FINAL_"/>
      <sheetName val="SF_Lintel"/>
      <sheetName val="SPT_vs_PHI5"/>
      <sheetName val="glass_project_concrete5"/>
      <sheetName val="glass_project_reift5"/>
      <sheetName val="glass_project_indices5"/>
      <sheetName val="SBC-BH_194"/>
      <sheetName val="Rate_Analysis4"/>
      <sheetName val="Summary_05064"/>
      <sheetName val="Summary_0607-_31_MAR4"/>
      <sheetName val="Civil_Boq3"/>
      <sheetName val="Pile_cap3"/>
      <sheetName val="BH_12-11-10-134"/>
      <sheetName val="BH_12-11-10-94"/>
      <sheetName val="BH_36-15-374"/>
      <sheetName val="BH_16-35-25-174"/>
      <sheetName val="BH_35-25-174"/>
      <sheetName val="Sheet1_(2)4"/>
      <sheetName val="d-safe_DELUXE3"/>
      <sheetName val="PRECAST_lightconc-II3"/>
      <sheetName val="Legal_Risk_Analysis3"/>
      <sheetName val="Mix_Design3"/>
      <sheetName val="Form_64"/>
      <sheetName val="PointNo_53"/>
      <sheetName val="RCC,Ret__Wall3"/>
      <sheetName val="E_&amp;_R3"/>
      <sheetName val="Break_up_Sheet3"/>
      <sheetName val="TBAL9697_-group_wise__sdpl3"/>
      <sheetName val="Abstract_Sheet3"/>
      <sheetName val="V_O_4_-_PCC_Qty3"/>
      <sheetName val="Fill_this_out_first___3"/>
      <sheetName val="REVISED4A_PROG_PERF-SITE_13"/>
      <sheetName val="BOQ_Direct_selling_cost3"/>
      <sheetName val="BOQ_(2)3"/>
      <sheetName val="CABLE_DATA3"/>
      <sheetName val="Staff_Acco_3"/>
      <sheetName val="Pipe_Supports3"/>
      <sheetName val="final_abstract3"/>
      <sheetName val="Rev_S1_Abstract3"/>
      <sheetName val="Quantity_Abstract3"/>
      <sheetName val="M-Book_for_Conc3"/>
      <sheetName val="M-Book_for_FW3"/>
      <sheetName val="Load_Details-220kV3"/>
      <sheetName val="beam-reinft-IIInd_floor3"/>
      <sheetName val="INPUT_SHEET3"/>
      <sheetName val="Project_Budget_Worksheet3"/>
      <sheetName val="SANJAY_PAL3"/>
      <sheetName val="P_A_SELVAM3"/>
      <sheetName val="ANSARI_3"/>
      <sheetName val="abdesh_pal3"/>
      <sheetName val="sujay_bagchi3"/>
      <sheetName val="S_K_SINHA_BASU3"/>
      <sheetName val="KRISHNA_PRASAD3"/>
      <sheetName val="BARATH_&amp;_CO3"/>
      <sheetName val="L_B_YADAV3"/>
      <sheetName val="DEEPAK_KUMAR3"/>
      <sheetName val="MUKLAL_YADAV3"/>
      <sheetName val="MADHU_SUDHAN3"/>
      <sheetName val="SAUD_ALAM_3"/>
      <sheetName val="RAMESH_BABU3"/>
      <sheetName val="SAILEN_SARKAR3"/>
      <sheetName val="SANJAY_JENA13"/>
      <sheetName val="upendra_saw_3"/>
      <sheetName val="ALLOK_KUMAR_3"/>
      <sheetName val="except_wiring3"/>
      <sheetName val="BOQ_-II_ph_23"/>
      <sheetName val="STAFFSCHED_2"/>
      <sheetName val="Metso_-_Forth_&amp;_Slurry_11_02_12"/>
      <sheetName val="Fee_Rate_Summary2"/>
      <sheetName val="d-safe_specs2"/>
      <sheetName val="Quote_Sheet2"/>
      <sheetName val="class_&amp;_category2"/>
      <sheetName val="Rein-Final_(Ph_1+Ph2)2"/>
      <sheetName val="Materials_Cost(PCC)2"/>
      <sheetName val="220_11__BS_2"/>
      <sheetName val="SSR_&amp;_NSSR_Market_final2"/>
      <sheetName val="Site_wise_NADs2"/>
      <sheetName val="RA_RCC_F2"/>
      <sheetName val="India_F&amp;S_Template2"/>
      <sheetName val="Stress_Calculation2"/>
      <sheetName val="precast_RC_element2"/>
      <sheetName val="plinth_Beam_+_Stirrups_2"/>
      <sheetName val="GF_COLUMNS2"/>
      <sheetName val="G_F_ROOF_BEAM_2"/>
      <sheetName val="GF_SLAB_STEEL2"/>
      <sheetName val="GF_Lintel2"/>
      <sheetName val="GF_Stair2"/>
      <sheetName val="FF_COLUMNS2"/>
      <sheetName val="F_F__Steel_FINAL_(2)2"/>
      <sheetName val="FF_Lintel2"/>
      <sheetName val="FF_Stair2"/>
      <sheetName val="S_F__Steel_FINAL_2"/>
      <sheetName val="SF_Lintel2"/>
      <sheetName val="SPT_vs_PHI4"/>
      <sheetName val="glass_project_concrete4"/>
      <sheetName val="glass_project_reift4"/>
      <sheetName val="glass_project_indices4"/>
      <sheetName val="SBC-BH_193"/>
      <sheetName val="Rate_Analysis3"/>
      <sheetName val="Summary_05063"/>
      <sheetName val="Summary_0607-_31_MAR3"/>
      <sheetName val="Civil_Boq2"/>
      <sheetName val="Pile_cap2"/>
      <sheetName val="BH_12-11-10-133"/>
      <sheetName val="BH_12-11-10-93"/>
      <sheetName val="BH_36-15-373"/>
      <sheetName val="BH_16-35-25-173"/>
      <sheetName val="BH_35-25-173"/>
      <sheetName val="[Spt-BH.xls][Spt-BH.xls]B@["/>
      <sheetName val="[Spt-BH.xls][Spt-BH.xls]B@[?_x0004_@?"/>
      <sheetName val="[Spt-BH.xls][Spt-BH.xls][Spt-BH"/>
      <sheetName val="[Spt-BH.xls][Spt-BH.xls]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금융비용"/>
      <sheetName val="Cost summary"/>
      <sheetName val="FORM5"/>
      <sheetName val="Super"/>
      <sheetName val="Zones"/>
      <sheetName val="1-G1"/>
      <sheetName val="A"/>
      <sheetName val="Factors"/>
      <sheetName val="Raw Data"/>
      <sheetName val="Parame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concrete"/>
      <sheetName val="beam-slab shuttering"/>
      <sheetName val="col-shuttering"/>
      <sheetName val="beam-reinft"/>
      <sheetName val="slab-reinft1"/>
      <sheetName val="Slab-reinft2"/>
      <sheetName val="col-reinft"/>
      <sheetName val="col-reinft1"/>
      <sheetName val="summary"/>
      <sheetName val="Indices"/>
      <sheetName val="Sheet1"/>
      <sheetName val="beam id's"/>
      <sheetName val="slab barnos"/>
      <sheetName val="Aditya- BOQ-workings-To Site-04"/>
      <sheetName val="KKC Brkdwn"/>
      <sheetName val="Discounted Cash Flow"/>
      <sheetName val="BO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concrete"/>
      <sheetName val="beam-slab shuttering"/>
      <sheetName val="col-shuttering"/>
      <sheetName val="beam-reinft"/>
      <sheetName val="slab-reinft1"/>
      <sheetName val="Slab-reinft2"/>
      <sheetName val="col-reinft"/>
      <sheetName val="col-reinft1"/>
      <sheetName val="summary"/>
      <sheetName val="Indices"/>
      <sheetName val="Sheet1"/>
      <sheetName val="beam id's"/>
      <sheetName val="slab barnos"/>
      <sheetName val="Rate Analysis"/>
      <sheetName val="col_reinft1"/>
      <sheetName val="SPT vs PHI"/>
      <sheetName val="Labour abstract"/>
      <sheetName val="GM &amp; TA"/>
      <sheetName val="gen"/>
      <sheetName val="#REF"/>
      <sheetName val="COLUMN"/>
      <sheetName val="Civil Works"/>
      <sheetName val="Wall"/>
      <sheetName val="beam-slab_shuttering"/>
      <sheetName val="BLK2"/>
      <sheetName val="BLK3"/>
      <sheetName val="E &amp; R"/>
      <sheetName val="radar"/>
      <sheetName val="UG"/>
      <sheetName val="PRECAST lightconc-II"/>
      <sheetName val="girder"/>
      <sheetName val="Rocker"/>
      <sheetName val="Debits as on 12.04.08"/>
      <sheetName val="Sheet3"/>
      <sheetName val="R20_R30_work"/>
      <sheetName val="98Price"/>
      <sheetName val="beam_id's"/>
      <sheetName val="slab_barnos"/>
      <sheetName val="Rate_Analysis"/>
      <sheetName val="Civil_Works"/>
      <sheetName val="foot-slab reinft"/>
      <sheetName val="India F&amp;S Template"/>
      <sheetName val="Mix Design"/>
      <sheetName val="std-rates"/>
      <sheetName val="공통가설"/>
      <sheetName val="S3 Architectu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MEP-06"/>
      <sheetName val="LET_BAFO"/>
      <sheetName val="VE SUM"/>
      <sheetName val="Enclo.compar.EMP-RND"/>
      <sheetName val="SSuppliers"/>
      <sheetName val="Seachells-Pools-25.2.2014"/>
      <sheetName val="Sheet1"/>
      <sheetName val="Lookup"/>
      <sheetName val="FACTORS"/>
      <sheetName val="MAIN"/>
      <sheetName val="Chiller"/>
      <sheetName val="Zones"/>
      <sheetName val="Ragama"/>
      <sheetName val="3.Labour"/>
      <sheetName val="1.Material"/>
      <sheetName val="MMI"/>
      <sheetName val="2.Machinery"/>
      <sheetName val="Schedu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Lab"/>
      <sheetName val="Material&amp;equipment"/>
      <sheetName val="office"/>
      <sheetName val="inquiry"/>
      <sheetName val="Sheet5"/>
      <sheetName val="ITEMS"/>
      <sheetName val="OCM&amp;PROF"/>
      <sheetName val="detailed"/>
      <sheetName val="col-reinft1"/>
      <sheetName val="손익분석"/>
      <sheetName val="Cash2"/>
      <sheetName val="Z"/>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office"/>
      <sheetName val="Lab"/>
      <sheetName val="Material&amp;equipment"/>
      <sheetName val="RECAPITULATION"/>
      <sheetName val="03_CTS,MEPZ-CANTEEN"/>
      <sheetName val="Flooring"/>
      <sheetName val="Skirting"/>
      <sheetName val="Dado"/>
      <sheetName val="03_CTS,MEPZ-CANTEEN (2)"/>
      <sheetName val="#REF"/>
      <sheetName val="Sheet1"/>
      <sheetName val="beam-reinft-machine rm"/>
      <sheetName val="Boq"/>
      <sheetName val="cubes_M20"/>
      <sheetName val="O2120-C-HP-01-BOQ-WORKINGS-COLS"/>
      <sheetName val="Coalmine"/>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Design"/>
      <sheetName val="Main-Material"/>
      <sheetName val="M-Book for Conc"/>
      <sheetName val="M-Book for FW"/>
      <sheetName val="Code"/>
      <sheetName val="concrete"/>
      <sheetName val="foot-slab reinft"/>
      <sheetName val="Material"/>
      <sheetName val="BLK2"/>
      <sheetName val="BLK3"/>
      <sheetName val="E &amp; R"/>
      <sheetName val="radar"/>
      <sheetName val="UG"/>
      <sheetName val="girder"/>
      <sheetName val="Rocker"/>
      <sheetName val="India F&amp;S Template"/>
      <sheetName val="Debits as on 12.04.08"/>
      <sheetName val="30개월기준대비표 아랍택)"/>
      <sheetName val="총괄표 (2)"/>
      <sheetName val="Raw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Sheet1"/>
      <sheetName val="Sheet2"/>
      <sheetName val="Sheet3"/>
      <sheetName val="boq"/>
      <sheetName val="material"/>
      <sheetName val="labor"/>
      <sheetName val="equipment"/>
      <sheetName val="upa"/>
      <sheetName val="COLUMN"/>
      <sheetName val="S3 Architectu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laroux"/>
      <sheetName val="Factors"/>
      <sheetName val="明細"/>
      <sheetName val="空調代価$"/>
      <sheetName val="空調代価円"/>
      <sheetName val="海外三社"/>
      <sheetName val="Summary "/>
      <sheetName val="BOQ Com"/>
      <sheetName val="BOQ  WORKING"/>
      <sheetName val="VVa"/>
      <sheetName val="SUMMARY"/>
      <sheetName val="PRELIMINARY"/>
      <sheetName val="GENERAL"/>
      <sheetName val="MVAC"/>
      <sheetName val="Summary(Main offer) "/>
      <sheetName val="MVAC (MAIN OFFER)"/>
      <sheetName val="UNIT RATE AC"/>
      <sheetName val="Sheet1"/>
      <sheetName val="ADDITIONS (Vertical PAC unit-1)"/>
      <sheetName val="ADDITIONS"/>
      <sheetName val="Option(2).1(AHU)"/>
      <sheetName val="Option(2).1(AHU) (original)"/>
      <sheetName val="MVAC (SNK PROPOSAL)"/>
      <sheetName val="Summary(SNK PROPOSAL)  "/>
      <sheetName val="MVAC BOQ (SNK PROPOSAL)"/>
      <sheetName val="Material"/>
      <sheetName val="BOQ"/>
      <sheetName val="Price"/>
      <sheetName val="3C"/>
      <sheetName val=" Factor  "/>
      <sheetName val="Histry Price"/>
      <sheetName val="Cash2"/>
      <sheetName val="Z"/>
      <sheetName val="MAIN"/>
      <sheetName val="Price Sheet"/>
      <sheetName val="Cost Factor Sheet"/>
      <sheetName val="Factor Sheet"/>
      <sheetName val="Super"/>
      <sheetName val="B-3.2 EB"/>
      <sheetName val="BOM"/>
      <sheetName val="A"/>
      <sheetName val="Schedules"/>
      <sheetName val="RSM and Distributors"/>
      <sheetName val="apr_data"/>
      <sheetName val="BQMPALOC"/>
      <sheetName val="Rate analysis 1"/>
      <sheetName val="Lookup"/>
      <sheetName val="Land Dev't. Ph-1"/>
      <sheetName val="기계내역서"/>
      <sheetName val="WIP"/>
      <sheetName val="BOQ PL"/>
      <sheetName val="Ele Price"/>
      <sheetName val="Admin"/>
      <sheetName val="Prior_CM"/>
      <sheetName val="Raw Data"/>
      <sheetName val="Bill 5 - Carpark"/>
      <sheetName val="Factor"/>
      <sheetName val="MDB-25.8.2014"/>
      <sheetName val="SSuppliers"/>
      <sheetName val="CQ by Entity"/>
      <sheetName val="FY by Entity"/>
      <sheetName val="INDEX"/>
      <sheetName val="NQ by Entity"/>
      <sheetName val="CQ Bridge"/>
      <sheetName val="CQ Orders"/>
      <sheetName val="Org Growth"/>
      <sheetName val="Monthly Trend Act MOR pv"/>
      <sheetName val="INPUT"/>
      <sheetName val="NEW PRODUCT SALES FORCE"/>
      <sheetName val="inter"/>
      <sheetName val="Material Prices"/>
      <sheetName val="ANALISYS"/>
      <sheetName val="#REF"/>
      <sheetName val="D_Cntnts"/>
      <sheetName val="E_Summary"/>
      <sheetName val="Competitors"/>
      <sheetName val="data"/>
      <sheetName val="Database"/>
      <sheetName val="Date Ranges"/>
      <sheetName val="sum-all"/>
      <sheetName val="B-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Calcu-2004"/>
      <sheetName val="Select"/>
      <sheetName val="SRates"/>
      <sheetName val="SSuppliers"/>
      <sheetName val="S-ResNot"/>
      <sheetName val="Calcu-2002"/>
      <sheetName val="Calcu-2003"/>
      <sheetName val="Changed Items"/>
      <sheetName val="Seachells-Pools-25.2.2014"/>
      <sheetName val="may_data"/>
      <sheetName val="ID Office-R1 - 23.8.2012"/>
      <sheetName val="Schnieder Price List-July 2012"/>
      <sheetName val="Factors"/>
      <sheetName val="BOQ PL"/>
      <sheetName val="Ele Price"/>
      <sheetName val="Sheet1"/>
      <sheetName val="Parameters"/>
      <sheetName val="WB"/>
      <sheetName val="Rates"/>
      <sheetName val="QTY Pipe Laying"/>
      <sheetName val="Oracle Account Master"/>
      <sheetName val="Ra  stair"/>
      <sheetName val="A"/>
      <sheetName val="Product Groups"/>
      <sheetName val="costing sheet"/>
      <sheetName val="MACHINERY"/>
      <sheetName val="MATERIAL"/>
      <sheetName val="SUBCON OR OTH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SHOPLIST"/>
      <sheetName val="BQ"/>
      <sheetName val="BQ External"/>
      <sheetName val="Basis"/>
      <sheetName val="Notes"/>
      <sheetName val="TAS"/>
      <sheetName val="icmal"/>
      <sheetName val="#REF"/>
      <sheetName val="SubmitCal"/>
      <sheetName val="Option"/>
      <sheetName val="Cash2"/>
      <sheetName val="Z"/>
      <sheetName val="Raw Data"/>
      <sheetName val="Penthouse Apartment"/>
      <sheetName val="Chiet tinh dz22"/>
      <sheetName val="Chiet tinh dz35"/>
      <sheetName val="_______"/>
      <sheetName val="核算项目余额表"/>
      <sheetName val="Criteria"/>
      <sheetName val="Assumptions"/>
      <sheetName val="@risk rents and incentives"/>
      <sheetName val="Car park lease"/>
      <sheetName val="Net rent analysis"/>
      <sheetName val="Poz-1 "/>
      <sheetName val="차액보증"/>
      <sheetName val="StattCo yCharges"/>
      <sheetName val="GFA_HQ_Building"/>
      <sheetName val="GFA_Conference"/>
      <sheetName val="Su}}ary"/>
      <sheetName val="Lab Cum Hist"/>
      <sheetName val="D-623D"/>
      <sheetName val="ancillary"/>
      <sheetName val="Graph Data (DO NOT PRINT)"/>
      <sheetName val="1"/>
      <sheetName val="LABOUR HISTOGRAM"/>
      <sheetName val="CT Thang Mo"/>
      <sheetName val="BOQ"/>
      <sheetName val="Bill No. 2"/>
      <sheetName val="budget summary (2)"/>
      <sheetName val="Budget Analysis Summary"/>
      <sheetName val="Projet, methodes &amp; couts"/>
      <sheetName val="Macro1"/>
      <sheetName val="Planning"/>
      <sheetName val="TAHRIR"/>
      <sheetName val="Bases"/>
      <sheetName val="Risques majeurs &amp; Frais Ind."/>
      <sheetName val="Bouclage"/>
      <sheetName val="AREG_05"/>
      <sheetName val="Sheet2"/>
      <sheetName val="Customize Your Invoice"/>
      <sheetName val="B"/>
      <sheetName val="HVAC BoQ"/>
      <sheetName val="PriceSummary"/>
      <sheetName val="企业表一"/>
      <sheetName val="M-5C"/>
      <sheetName val="M-5A"/>
      <sheetName val=""/>
      <sheetName val="改加胶玻璃、室外栏杆"/>
      <sheetName val="LEVEL SHEET"/>
      <sheetName val="SPT vs PHI"/>
      <sheetName val="CASHFLOWS"/>
      <sheetName val="Sheet1"/>
      <sheetName val="FOL - Bar"/>
      <sheetName val="CT  PL"/>
      <sheetName val="Top sheet"/>
      <sheetName val="BQ_External"/>
      <sheetName val="Bill_1"/>
      <sheetName val="Bill_2"/>
      <sheetName val="Bill_3"/>
      <sheetName val="Bill_4"/>
      <sheetName val="Bill_5"/>
      <sheetName val="Bill_6"/>
      <sheetName val="Bill_7"/>
      <sheetName val="HQ-TO"/>
      <sheetName val="Body Sheet"/>
      <sheetName val="1.0 Executive Summary"/>
      <sheetName val="intr stool brkup"/>
      <sheetName val="Budget"/>
      <sheetName val="LABOUR_HISTOGRAM"/>
      <sheetName val="JAS"/>
      <sheetName val="Rate analysis"/>
      <sheetName val="ANNEXURE-A"/>
      <sheetName val="COC"/>
      <sheetName val="Data"/>
      <sheetName val="Tender Summary"/>
      <sheetName val="Insurance Ext"/>
      <sheetName val="Prelims"/>
      <sheetName val="GFA_HQ_Building1"/>
      <sheetName val="GFA_Conference1"/>
      <sheetName val="BQ_External1"/>
      <sheetName val="Penthouse_Apartment"/>
      <sheetName val="StattCo_yCharges"/>
      <sheetName val="Raw_Data"/>
      <sheetName val="@risk_rents_and_incentives"/>
      <sheetName val="Car_park_lease"/>
      <sheetName val="Net_rent_analysis"/>
      <sheetName val="Poz-1_"/>
      <sheetName val="Chiet_tinh_dz22"/>
      <sheetName val="Chiet_tinh_dz35"/>
      <sheetName val="Lab_Cum_Hist"/>
      <sheetName val="Graph_Data_(DO_NOT_PRINT)"/>
      <sheetName val="Projet,_methodes_&amp;_couts"/>
      <sheetName val="Risques_majeurs_&amp;_Frais_Ind_"/>
      <sheetName val="CT_Thang_Mo"/>
      <sheetName val="Bill_No__2"/>
      <sheetName val="SPT_vs_PHI"/>
      <sheetName val="budget_summary_(2)"/>
      <sheetName val="Budget_Analysis_Summary"/>
      <sheetName val="CT__PL"/>
      <sheetName val="LEVEL_SHEET"/>
      <sheetName val="FOL_-_Bar"/>
      <sheetName val="2 Div 14 "/>
      <sheetName val="SHOPLIST.xls"/>
      <sheetName val="List"/>
      <sheetName val="Sheet3"/>
      <sheetName val="Bill 2"/>
      <sheetName val="Ap A"/>
      <sheetName val="Currencies"/>
      <sheetName val="POWER"/>
      <sheetName val="MTP"/>
      <sheetName val="LABOUR_HISTOGRAM1"/>
      <sheetName val="Geneí¬_x0008_i"/>
      <sheetName val="70"/>
      <sheetName val="Inputs"/>
      <sheetName val="기계내역서"/>
      <sheetName val="Tender_Summary"/>
      <sheetName val="Insurance_Ext"/>
      <sheetName val="SAP"/>
      <sheetName val="Bill 1"/>
      <sheetName val="Bill 3"/>
      <sheetName val="Bill 4"/>
      <sheetName val="Bill 5"/>
      <sheetName val="Bill 6"/>
      <sheetName val="Bill 7"/>
      <sheetName val="ACT_SPS"/>
      <sheetName val="SPSF"/>
      <sheetName val="Invoice Summary"/>
      <sheetName val="Softscape Buildup"/>
      <sheetName val="Mat'l Rate"/>
      <sheetName val="concrete"/>
      <sheetName val="beam-reinft-IIInd floor"/>
      <sheetName val="CERTIFICATE"/>
      <sheetName val="sal"/>
      <sheetName val="Rate_Analysis"/>
      <sheetName val="DATAS"/>
      <sheetName val="PROJECT BRIEF"/>
      <sheetName val="C (3)"/>
      <sheetName val="Wall"/>
      <sheetName val="Customize_Your_Invoice"/>
      <sheetName val="HVAC_BoQ"/>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udget_summary_(2)1"/>
      <sheetName val="Budget_Analysis_Summary1"/>
      <sheetName val="Body_Sheet1"/>
      <sheetName val="1_0_Executive_Summary1"/>
      <sheetName val="Projet,_methodes_&amp;_couts1"/>
      <sheetName val="Risques_majeurs_&amp;_Frais_Ind_1"/>
      <sheetName val="CT__PL1"/>
      <sheetName val="Top_sheet1"/>
      <sheetName val="intr_stool_brkup1"/>
      <sheetName val="Rate_analysis1"/>
      <sheetName val="GFA_HQ_Building2"/>
      <sheetName val="GFA_Conference2"/>
      <sheetName val="StattCo_yCharges1"/>
      <sheetName val="BQ_External2"/>
      <sheetName val="Penthouse_Apartment1"/>
      <sheetName val="LABOUR_HISTOGRAM2"/>
      <sheetName val="Chiet_tinh_dz221"/>
      <sheetName val="Chiet_tinh_dz351"/>
      <sheetName val="CT_Thang_Mo1"/>
      <sheetName val="Raw_Data1"/>
      <sheetName val="@risk_rents_and_incentives1"/>
      <sheetName val="Car_park_lease1"/>
      <sheetName val="Net_rent_analysis1"/>
      <sheetName val="Poz-1_1"/>
      <sheetName val="Lab_Cum_Hist1"/>
      <sheetName val="Graph_Data_(DO_NOT_PRINT)1"/>
      <sheetName val="LEVEL_SHEET1"/>
      <sheetName val="Bill_No__21"/>
      <sheetName val="Tender_Summary1"/>
      <sheetName val="Insurance_Ext1"/>
      <sheetName val="FOL_-_Bar1"/>
      <sheetName val="SPT_vs_PHI1"/>
      <sheetName val="Customize_Your_Invoice1"/>
      <sheetName val="HVAC_BoQ1"/>
      <sheetName val="Body_Sheet"/>
      <sheetName val="1_0_Executive_Summary"/>
      <sheetName val="Top_sheet"/>
      <sheetName val="intr_stool_brkup"/>
      <sheetName val="Dubai golf"/>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WITHOUT C&amp;I PROFIT (3)"/>
      <sheetName val="beam-reinft-machine rm"/>
      <sheetName val="girder"/>
      <sheetName val="Rocker"/>
      <sheetName val="98Price"/>
      <sheetName val="POWER ASSUMPTIONS"/>
      <sheetName val="Activity List"/>
      <sheetName val="마산월령동골조물량변경"/>
      <sheetName val="Ra  stair"/>
      <sheetName val="BILL COV"/>
      <sheetName val="공종별_집계금액"/>
      <sheetName val="Eq. Mobilization"/>
      <sheetName val="w't table"/>
      <sheetName val="cp-e1"/>
      <sheetName val="Civil Boq"/>
      <sheetName val="Data_Summary"/>
      <sheetName val="2_Div_14_"/>
      <sheetName val="ABSTRACT"/>
      <sheetName val="DETAILED  BOQ"/>
      <sheetName val="M-Book for Conc"/>
      <sheetName val="M-Book for FW"/>
      <sheetName val="Vehicles"/>
      <sheetName val="PROJECT_BRIEF1"/>
      <sheetName val="Geneí¬i0_"/>
      <sheetName val="70,/0s«iÆøí¬i"/>
      <sheetName val="Bill_22"/>
      <sheetName val="C_(3)1"/>
      <sheetName val="Ap_A1"/>
      <sheetName val="2_Div_14_1"/>
      <sheetName val="Bill_11"/>
      <sheetName val="Bill_31"/>
      <sheetName val="Bill_41"/>
      <sheetName val="Bill_51"/>
      <sheetName val="Bill_61"/>
      <sheetName val="Bill_71"/>
      <sheetName val="SHOPLIST_xls"/>
      <sheetName val="Dubai_golf"/>
      <sheetName val="beam-reinft-IIInd_floor"/>
      <sheetName val="Invoice_Summary"/>
      <sheetName val="POWER_ASSUMPTIONS"/>
      <sheetName val="beam-reinft-machine_rm"/>
      <sheetName val="PROJECT_BRIEF"/>
      <sheetName val="Bill_21"/>
      <sheetName val="C_(3)"/>
      <sheetName val="Ap_A"/>
      <sheetName val="MOS"/>
      <sheetName val="CODE"/>
      <sheetName val="HIRED LABOUR CODE"/>
      <sheetName val="PA- Consutant "/>
      <sheetName val="Design"/>
      <sheetName val="upa"/>
      <sheetName val="foot-slab reinft"/>
      <sheetName val="GFA_HQ_Building6"/>
      <sheetName val="GFA_Conference6"/>
      <sheetName val="BQ_External6"/>
      <sheetName val="Raw_Data5"/>
      <sheetName val="Penthouse_Apartment5"/>
      <sheetName val="StattCo_yCharges5"/>
      <sheetName val="@risk_rents_and_incentives5"/>
      <sheetName val="Car_park_lease5"/>
      <sheetName val="Net_rent_analysis5"/>
      <sheetName val="Poz-1_5"/>
      <sheetName val="Chiet_tinh_dz225"/>
      <sheetName val="Chiet_tinh_dz355"/>
      <sheetName val="LEVEL_SHEET5"/>
      <sheetName val="LABOUR_HISTOGRAM6"/>
      <sheetName val="Lab_Cum_Hist5"/>
      <sheetName val="Graph_Data_(DO_NOT_PRINT)5"/>
      <sheetName val="Body_Sheet4"/>
      <sheetName val="1_0_Executive_Summary4"/>
      <sheetName val="CT_Thang_Mo5"/>
      <sheetName val="Customize_Your_Invoice5"/>
      <sheetName val="HVAC_BoQ5"/>
      <sheetName val="Bill_No__25"/>
      <sheetName val="budget_summary_(2)4"/>
      <sheetName val="Budget_Analysis_Summary4"/>
      <sheetName val="Projet,_methodes_&amp;_couts4"/>
      <sheetName val="Risques_majeurs_&amp;_Frais_Ind_4"/>
      <sheetName val="SPT_vs_PHI5"/>
      <sheetName val="CT__PL4"/>
      <sheetName val="FOL_-_Bar5"/>
      <sheetName val="Tender_Summary5"/>
      <sheetName val="Insurance_Ext5"/>
      <sheetName val="Top_sheet4"/>
      <sheetName val="intr_stool_brkup4"/>
      <sheetName val="2_Div_14_2"/>
      <sheetName val="SHOPLIST_xls1"/>
      <sheetName val="Bill_23"/>
      <sheetName val="Ap_A2"/>
      <sheetName val="Bill_12"/>
      <sheetName val="Bill_32"/>
      <sheetName val="Bill_42"/>
      <sheetName val="Bill_52"/>
      <sheetName val="Bill_62"/>
      <sheetName val="Bill_72"/>
      <sheetName val="Invoice_Summary1"/>
      <sheetName val="beam-reinft-IIInd_floor1"/>
      <sheetName val="beam-reinft-machine_rm1"/>
      <sheetName val="PROJECT_BRIEF2"/>
      <sheetName val="C_(3)2"/>
      <sheetName val="POWER_ASSUMPTIONS1"/>
      <sheetName val="Dubai_golf1"/>
      <sheetName val="WITHOUT_C&amp;I_PROFIT_(3)"/>
      <sheetName val="Geneí¬i"/>
      <sheetName val="Civil_Boq"/>
      <sheetName val="DETAILED__BOQ"/>
      <sheetName val="M-Book_for_Conc"/>
      <sheetName val="M-Book_for_FW"/>
      <sheetName val="Activity_List"/>
      <sheetName val="HIRED_LABOUR_CODE"/>
      <sheetName val="PA-_Consutant_"/>
      <sheetName val="foot-slab_reinft"/>
      <sheetName val="COLUMN"/>
      <sheetName val="ConferenceCentre?옰ʒ䄂ʒ鵠ʐ䄂ʒ閐̐䄂ʒ蕈̐"/>
      <sheetName val="Day work"/>
      <sheetName val="Working for RCC"/>
      <sheetName val="250mm"/>
      <sheetName val="200mm"/>
      <sheetName val="160mm"/>
      <sheetName val="FITTINGS"/>
      <sheetName val="VALVE CHAMBERS"/>
      <sheetName val="Fire Hydrants"/>
      <sheetName val="B.GATE VALVE"/>
      <sheetName val="Sub G1 Fire"/>
      <sheetName val="Sub G12 Fire"/>
      <sheetName val="GFA_HQ_Building7"/>
      <sheetName val="Rate_analysis4"/>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Materials Cost(PCC)"/>
      <sheetName val="India F&amp;S Template"/>
      <sheetName val="Annex"/>
      <sheetName val="factors"/>
      <sheetName val="P4-B"/>
      <sheetName val="Break_Up"/>
      <sheetName val="RESULT"/>
      <sheetName val="IO LIST"/>
      <sheetName val="Formulas"/>
      <sheetName val="Material "/>
      <sheetName val="Quote Sheet"/>
      <sheetName val="CHART OF ACCOUNTS"/>
      <sheetName val="E-Bill No.6 A-O"/>
      <sheetName val="B185-B-2"/>
      <sheetName val="B185-B-3"/>
      <sheetName val="B185-B-4"/>
      <sheetName val="B185-B-5"/>
      <sheetName val="B185-B-6"/>
      <sheetName val="B185-B-7"/>
      <sheetName val="B185-B-8"/>
      <sheetName val="B185-B-9.1"/>
      <sheetName val="B185-B-9.2"/>
      <sheetName val="SITE WORK"/>
      <sheetName val="Toolbox"/>
      <sheetName val="col-reinft1"/>
      <sheetName val="Softscape_Buildup"/>
      <sheetName val="Mat'l_Rate"/>
      <sheetName val="Ap_A3"/>
      <sheetName val="2_Div_14_3"/>
      <sheetName val="SHOPLIST_xls2"/>
      <sheetName val="PROJECT_BRIEF3"/>
      <sheetName val="Bill_24"/>
      <sheetName val="C_(3)3"/>
      <sheetName val="Bill_13"/>
      <sheetName val="Bill_33"/>
      <sheetName val="Bill_43"/>
      <sheetName val="Bill_53"/>
      <sheetName val="Bill_63"/>
      <sheetName val="Bill_73"/>
      <sheetName val="Dubai_golf2"/>
      <sheetName val="beam-reinft-IIInd_floor2"/>
      <sheetName val="Invoice_Summary2"/>
      <sheetName val="Material List "/>
      <sheetName val="갑지"/>
      <sheetName val="15-MECH"/>
      <sheetName val="POWER_ASSUMPTIONS2"/>
      <sheetName val="beam-reinft-machine_rm2"/>
      <sheetName val="Civil_Boq1"/>
      <sheetName val="WITHOUT_C&amp;I_PROFIT_(3)1"/>
      <sheetName val="Activity_List1"/>
      <sheetName val="Softscape_Buildup1"/>
      <sheetName val="Mat'l_Rate1"/>
      <sheetName val="INSTR"/>
      <sheetName val="SIEMENS"/>
      <sheetName val="ConferenceCentre_x005f_x0000_옰ʒ䄂ʒ鵠ʐ䄂ʒ"/>
      <sheetName val="Geneí¬_x005f_x0008_i_x005f_x0000__x005f_x0000__x0"/>
      <sheetName val="70_x005f_x0000_,/0_x005f_x0000_s«_x005f_x0008_i_x"/>
      <sheetName val="_x005f_x0000__x005f_x0000__x005f_x0000__x005f_x0000__x0"/>
      <sheetName val="Quantity"/>
      <sheetName val="??-BLDG"/>
      <sheetName val="PNT-QUOT-#3"/>
      <sheetName val="COAT&amp;WRAP-QIOT-#3"/>
      <sheetName val="ml"/>
      <sheetName val="escalation"/>
      <sheetName val="ANAL"/>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B03"/>
      <sheetName val="B09.1"/>
      <sheetName val="Chiet t"/>
      <sheetName val="Staffing and Rates IA"/>
      <sheetName val="Back up"/>
      <sheetName val="RA-markate"/>
      <sheetName val="Рабочий лист"/>
      <sheetName val="ФМ"/>
      <sheetName val="Сравнение"/>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BOQ_Direct_selling cost"/>
      <sheetName val="GFA_HQ_Building9"/>
      <sheetName val="GFA_Conference8"/>
      <sheetName val="StattCo_yCharges7"/>
      <sheetName val="BQ_External8"/>
      <sheetName val="Penthouse_Apartment7"/>
      <sheetName val="LABOUR_HISTOGRAM8"/>
      <sheetName val="Chiet_tinh_dz227"/>
      <sheetName val="Chiet_tinh_dz357"/>
      <sheetName val="CT_Thang_Mo7"/>
      <sheetName val="Raw_Data7"/>
      <sheetName val="@risk_rents_and_incentives7"/>
      <sheetName val="Car_park_lease7"/>
      <sheetName val="Net_rent_analysis7"/>
      <sheetName val="Poz-1_7"/>
      <sheetName val="Lab_Cum_Hist7"/>
      <sheetName val="Graph_Data_(DO_NOT_PRINT)7"/>
      <sheetName val="LEVEL_SHEET7"/>
      <sheetName val="SPT_vs_PHI7"/>
      <sheetName val="Bill_No__27"/>
      <sheetName val="Tender_Summary7"/>
      <sheetName val="Insurance_Ext7"/>
      <sheetName val="FOL_-_Bar7"/>
      <sheetName val="Customize_Your_Invoice7"/>
      <sheetName val="HVAC_BoQ7"/>
      <sheetName val="budget_summary_(2)6"/>
      <sheetName val="Budget_Analysis_Summary6"/>
      <sheetName val="Projet,_methodes_&amp;_couts6"/>
      <sheetName val="Risques_majeurs_&amp;_Frais_Ind_6"/>
      <sheetName val="Body_Sheet6"/>
      <sheetName val="1_0_Executive_Summary6"/>
      <sheetName val="Top_sheet6"/>
      <sheetName val="Rate_analysis6"/>
      <sheetName val="intr_stool_brkup6"/>
      <sheetName val="CT__PL6"/>
      <sheetName val="Ap_A4"/>
      <sheetName val="2_Div_14_4"/>
      <sheetName val="SHOPLIST_xls3"/>
      <sheetName val="PROJECT_BRIEF4"/>
      <sheetName val="Bill_25"/>
      <sheetName val="C_(3)4"/>
      <sheetName val="Bill_14"/>
      <sheetName val="Bill_34"/>
      <sheetName val="Bill_44"/>
      <sheetName val="Bill_54"/>
      <sheetName val="Bill_64"/>
      <sheetName val="Bill_74"/>
      <sheetName val="Dubai_golf3"/>
      <sheetName val="beam-reinft-IIInd_floor3"/>
      <sheetName val="Invoice_Summary3"/>
      <sheetName val="POWER_ASSUMPTIONS3"/>
      <sheetName val="beam-reinft-machine_rm3"/>
      <sheetName val="Civil_Boq2"/>
      <sheetName val="WITHOUT_C&amp;I_PROFIT_(3)2"/>
      <sheetName val="Activity_List2"/>
      <sheetName val="Softscape_Buildup2"/>
      <sheetName val="Mat'l_Rate2"/>
      <sheetName val="BILL_COV"/>
      <sheetName val="Ra__stair"/>
      <sheetName val="Dropdown"/>
      <sheetName val="Elemental Buildup"/>
      <sheetName val="77S(O)"/>
      <sheetName val="PointNo.5"/>
      <sheetName val="11-hsd"/>
      <sheetName val="13-septic"/>
      <sheetName val="7-ug"/>
      <sheetName val="2-utility"/>
      <sheetName val="18-misc"/>
      <sheetName val="5-pipe"/>
      <sheetName val="VALVE_CHAMBERS"/>
      <sheetName val="Fire_Hydrants"/>
      <sheetName val="B_GATE_VALVE"/>
      <sheetName val="Sub_G1_Fire"/>
      <sheetName val="Sub_G12_Fire"/>
      <sheetName val="DETAILED__BOQ1"/>
      <sheetName val="M-Book_for_Conc1"/>
      <sheetName val="M-Book_for_FW1"/>
      <sheetName val="HIRED_LABOUR_CODE1"/>
      <sheetName val="PA-_Consutant_1"/>
      <sheetName val="foot-slab_reinft1"/>
      <sheetName val="VALVE_CHAMBERS1"/>
      <sheetName val="Fire_Hydrants1"/>
      <sheetName val="B_GATE_VALVE1"/>
      <sheetName val="Sub_G1_Fire1"/>
      <sheetName val="Sub_G12_Fire1"/>
      <sheetName val="DETAILED__BOQ2"/>
      <sheetName val="M-Book_for_Conc2"/>
      <sheetName val="M-Book_for_FW2"/>
      <sheetName val="Ra__stair1"/>
      <sheetName val="HIRED_LABOUR_CODE2"/>
      <sheetName val="PA-_Consutant_2"/>
      <sheetName val="foot-slab_reinft2"/>
      <sheetName val="BILL_COV1"/>
      <sheetName val="Materials_Cost(PCC)"/>
      <sheetName val="India_F&amp;S_Template"/>
      <sheetName val="IO_LIST"/>
      <sheetName val="Material_"/>
      <sheetName val="Quote_Sheet"/>
      <sheetName val="Day_work"/>
      <sheetName val="PMWeb data"/>
      <sheetName val="GFA_HQ_Building10"/>
      <sheetName val="GFA_Conference9"/>
      <sheetName val="StattCo_yCharges8"/>
      <sheetName val="BQ_External9"/>
      <sheetName val="Penthouse_Apartment8"/>
      <sheetName val="LABOUR_HISTOGRAM9"/>
      <sheetName val="Chiet_tinh_dz228"/>
      <sheetName val="Chiet_tinh_dz358"/>
      <sheetName val="CT_Thang_Mo8"/>
      <sheetName val="Raw_Data8"/>
      <sheetName val="@risk_rents_and_incentives8"/>
      <sheetName val="Car_park_lease8"/>
      <sheetName val="Net_rent_analysis8"/>
      <sheetName val="Poz-1_8"/>
      <sheetName val="Lab_Cum_Hist8"/>
      <sheetName val="Graph_Data_(DO_NOT_PRINT)8"/>
      <sheetName val="LEVEL_SHEET8"/>
      <sheetName val="SPT_vs_PHI8"/>
      <sheetName val="Bill_No__28"/>
      <sheetName val="Tender_Summary8"/>
      <sheetName val="Insurance_Ext8"/>
      <sheetName val="FOL_-_Bar8"/>
      <sheetName val="Customize_Your_Invoice8"/>
      <sheetName val="HVAC_BoQ8"/>
      <sheetName val="budget_summary_(2)7"/>
      <sheetName val="Budget_Analysis_Summary7"/>
      <sheetName val="Projet,_methodes_&amp;_couts7"/>
      <sheetName val="Risques_majeurs_&amp;_Frais_Ind_7"/>
      <sheetName val="Body_Sheet7"/>
      <sheetName val="1_0_Executive_Summary7"/>
      <sheetName val="Top_sheet7"/>
      <sheetName val="Rate_analysis7"/>
      <sheetName val="intr_stool_brkup7"/>
      <sheetName val="CT__PL7"/>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房屋及建筑物"/>
      <sheetName val="XL4Poppy"/>
      <sheetName val="BS"/>
      <sheetName val="Gra¦_x0004_)"/>
      <sheetName val="/VW"/>
      <sheetName val="%"/>
      <sheetName val="Day_work1"/>
      <sheetName val="2.2)Revised Cash Flow"/>
      <sheetName val="Sub_G1_Five"/>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Eq__Mobilization"/>
      <sheetName val="Working_for_RCC"/>
      <sheetName val="B185-B-9_1"/>
      <sheetName val="B185-B-9_2"/>
      <sheetName val="BOQ_Direct_selling_cost"/>
      <sheetName val="CHART_OF_ACCOUNTS"/>
      <sheetName val="E-Bill_No_6_A-O"/>
      <sheetName val="B09_1"/>
      <sheetName val="집계표(OPTION)"/>
      <sheetName val="70_x005f_x0000_,_0_x005f_x0000_s«_x005f_x0008_i_x"/>
      <sheetName val="Geneí¬_x005f_x0008_i"/>
      <sheetName val="HIRED_LABOUR_CODE3"/>
      <sheetName val="PA-_Consutant_3"/>
      <sheetName val="foot-slab_reinft3"/>
      <sheetName val="DETAILED__BOQ3"/>
      <sheetName val="M-Book_for_Conc3"/>
      <sheetName val="M-Book_for_FW3"/>
      <sheetName val="VALVE_CHAMBERS2"/>
      <sheetName val="Fire_Hydrants2"/>
      <sheetName val="B_GATE_VALVE2"/>
      <sheetName val="Sub_G1_Fire2"/>
      <sheetName val="Sub_G12_Fire2"/>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w't_table"/>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B6.2 "/>
      <sheetName val="PointNo_5"/>
      <sheetName val="Elemental_Buildup"/>
      <sheetName val="PMWeb_data"/>
      <sheetName val="SS_MH"/>
      <sheetName val="SS MH"/>
      <sheetName val="Employee List"/>
      <sheetName val="Prices"/>
      <sheetName val="Rate summary"/>
      <sheetName val="#REF!"/>
      <sheetName val="SW-TEO"/>
      <sheetName val="科目余额表正式"/>
      <sheetName val="SStaff-Sept2013"/>
      <sheetName val="Index List"/>
      <sheetName val="Type List"/>
      <sheetName val="File Types"/>
      <sheetName val="d-safe DELUXE"/>
      <sheetName val="วัดใต้"/>
      <sheetName val="B-2"/>
      <sheetName val="[SHOPLIST.xls][SHOPLIST.xls]70"/>
      <sheetName val="[SHOPLIST.xls][SHOPLIST.xls]70,"/>
      <sheetName val="[SHOPLIST.xls]70"/>
      <sheetName val="[SHOPLIST.xls]70,/0s«iÆøí¬i"/>
      <sheetName val="VCH-SLC"/>
      <sheetName val="Item- Compact"/>
      <sheetName val="Supplier"/>
      <sheetName val="P&amp;L-BDMC"/>
      <sheetName val="PRECAST lightconc-II"/>
      <sheetName val="Voucher"/>
      <sheetName val="final abstract"/>
      <sheetName val="BLK2"/>
      <sheetName val="BLK3"/>
      <sheetName val="E &amp; R"/>
      <sheetName val="radar"/>
      <sheetName val="UG"/>
      <sheetName val="Detail"/>
      <sheetName val="p&amp;m"/>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공문"/>
      <sheetName val="Lists"/>
      <sheetName val="입찰내역 발주처 양식"/>
      <sheetName val="LIST DO NOT REMOVE"/>
      <sheetName val="2_2)Revised_Cash_Flow"/>
      <sheetName val="PLT-SUM"/>
      <sheetName val="GRSummary"/>
      <sheetName val="Summary of Work"/>
      <sheetName val="Earthwork"/>
      <sheetName val="GIAVLIEU"/>
      <sheetName val="Project Cost Breakdown"/>
      <sheetName val="Day_work2"/>
      <sheetName val="Gra¦)VW_U"/>
      <sheetName val="/VWVU))tÏØ0  "/>
      <sheetName val="/VWVU))tÏØ0__"/>
      <sheetName val="Demand"/>
      <sheetName val="Occ"/>
      <sheetName val="Old"/>
      <sheetName val="Staff Acco."/>
      <sheetName val="TBAL9697 -group wise  sdpl"/>
      <sheetName val="GFA_HQ_Building12"/>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Table"/>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VALVE_CHAMBERS3"/>
      <sheetName val="Fire_Hydrants3"/>
      <sheetName val="B_GATE_VALVE3"/>
      <sheetName val="Sub_G1_Fire3"/>
      <sheetName val="Sub_G12_Fire3"/>
      <sheetName val="Materials_Cost(PCC)2"/>
      <sheetName val="India_F&amp;S_Template2"/>
      <sheetName val="IO_LIST2"/>
      <sheetName val="Material_2"/>
      <sheetName val="Quote_Sheet2"/>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Elemental_Buildup1"/>
      <sheetName val="PointNo_51"/>
      <sheetName val="B6_2_"/>
      <sheetName val="LIST_DO_NOT_REMOVE"/>
      <sheetName val="PRJDATA"/>
      <sheetName val="Master"/>
      <sheetName val="BASE_APR17_HISTOGRAMS"/>
      <sheetName val="合成単価作成表-BLDG"/>
      <sheetName val="Labour &amp; Plant"/>
      <sheetName val="PRECAST_lightconc-II"/>
      <sheetName val="final_abstract"/>
      <sheetName val="E_&amp;_R"/>
      <sheetName val="INDIGINEOUS ITEMS "/>
      <sheetName val="XV10017"/>
      <sheetName val="Annex 1 Sect 3a"/>
      <sheetName val="Annex 1 Sect 3a.1"/>
      <sheetName val="Annex 1 Sect 3b"/>
      <sheetName val="Annex 1 Sect 3c"/>
      <sheetName val="HOURLY RATES"/>
      <sheetName val="PT 141- Site A Landscape"/>
      <sheetName val="Definitions"/>
      <sheetName val="MA"/>
      <sheetName val="Rebars"/>
      <sheetName val="Mall waterproofing"/>
      <sheetName val="MSCP waterproofing"/>
      <sheetName val="-----------------"/>
      <sheetName val="train cash"/>
      <sheetName val="accom cash"/>
      <sheetName val="office"/>
      <sheetName val="Lab"/>
      <sheetName val="Duct Accesories"/>
      <sheetName val="BG"/>
      <sheetName val="RAB AR&amp;STR"/>
      <sheetName val="Summary_of_Work"/>
      <sheetName val="Employee_List"/>
      <sheetName val="Geneí¬ i"/>
      <sheetName val="???? ??? ??"/>
      <sheetName val="200205C"/>
      <sheetName val="Headings"/>
      <sheetName val="70,_0s«iÆøí¬i"/>
      <sheetName val="ConferenceCentre_옰ʒ䄂ʒ鵠ʐ䄂ʒ閐̐䄂ʒ蕈̐"/>
      <sheetName val="UOM"/>
      <sheetName val="Common Variables"/>
      <sheetName val="GFA_HQ_Building13"/>
      <sheetName val="GFA_Conference12"/>
      <sheetName val="BQ_External12"/>
      <sheetName val="Raw_Data11"/>
      <sheetName val="Penthouse_Apartment11"/>
      <sheetName val="StattCo_yCharges11"/>
      <sheetName val="@risk_rents_and_incentives11"/>
      <sheetName val="Car_park_lease11"/>
      <sheetName val="Net_rent_analysis11"/>
      <sheetName val="Poz-1_11"/>
      <sheetName val="Chiet_tinh_dz2211"/>
      <sheetName val="Chiet_tinh_dz3511"/>
      <sheetName val="LEVEL_SHEET11"/>
      <sheetName val="LABOUR_HISTOGRAM12"/>
      <sheetName val="Lab_Cum_Hist11"/>
      <sheetName val="Graph_Data_(DO_NOT_PRINT)11"/>
      <sheetName val="Body_Sheet10"/>
      <sheetName val="1_0_Executive_Summary10"/>
      <sheetName val="CT_Thang_Mo11"/>
      <sheetName val="Customize_Your_Invoice11"/>
      <sheetName val="HVAC_BoQ11"/>
      <sheetName val="Bill_No__211"/>
      <sheetName val="budget_summary_(2)10"/>
      <sheetName val="Budget_Analysis_Summary10"/>
      <sheetName val="Projet,_methodes_&amp;_couts10"/>
      <sheetName val="Risques_majeurs_&amp;_Frais_Ind_10"/>
      <sheetName val="SPT_vs_PHI11"/>
      <sheetName val="CT__PL10"/>
      <sheetName val="FOL_-_Bar11"/>
      <sheetName val="Tender_Summary11"/>
      <sheetName val="Insurance_Ext11"/>
      <sheetName val="Top_sheet10"/>
      <sheetName val="intr_stool_brkup10"/>
      <sheetName val="2_Div_14_8"/>
      <sheetName val="SHOPLIST_xls7"/>
      <sheetName val="Bill_29"/>
      <sheetName val="Ap_A8"/>
      <sheetName val="Bill_18"/>
      <sheetName val="Bill_38"/>
      <sheetName val="Bill_48"/>
      <sheetName val="Bill_58"/>
      <sheetName val="Bill_68"/>
      <sheetName val="Bill_78"/>
      <sheetName val="Invoice_Summary7"/>
      <sheetName val="beam-reinft-IIInd_floor7"/>
      <sheetName val="beam-reinft-machine_rm7"/>
      <sheetName val="PROJECT_BRIEF8"/>
      <sheetName val="C_(3)8"/>
      <sheetName val="POWER_ASSUMPTIONS7"/>
      <sheetName val="Dubai_golf7"/>
      <sheetName val="WITHOUT_C&amp;I_PROFIT_(3)6"/>
      <sheetName val="Civil_Boq6"/>
      <sheetName val="Activity_List6"/>
      <sheetName val="BILL_COV4"/>
      <sheetName val="Ra__stair4"/>
      <sheetName val="Softscape_Buildup6"/>
      <sheetName val="Mat'l_Rate6"/>
      <sheetName val="Day_work3"/>
      <sheetName val="BOQ_Direct_selling_cost2"/>
      <sheetName val="Eq__Mobilization2"/>
      <sheetName val="Working_for_RCC2"/>
      <sheetName val="B185-B-9_12"/>
      <sheetName val="B185-B-9_22"/>
      <sheetName val="CHART_OF_ACCOUNTS2"/>
      <sheetName val="E-Bill_No_6_A-O2"/>
      <sheetName val="B09_12"/>
      <sheetName val="PMWeb_data2"/>
      <sheetName val="Index_List1"/>
      <sheetName val="Type_List1"/>
      <sheetName val="File_Types1"/>
      <sheetName val="Chiet_t1"/>
      <sheetName val="Staffing_and_Rates_IA1"/>
      <sheetName val="입찰내역_발주처_양식1"/>
      <sheetName val="Material_List_1"/>
      <sheetName val="SS_MH2"/>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2_2)Revised_Cash_Flow1"/>
      <sheetName val="/VWVU))tÏØ0__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HIRED_LABOUR_CODE5"/>
      <sheetName val="PA-_Consutant_5"/>
      <sheetName val="foot-slab_reinft5"/>
      <sheetName val="BILL_COV5"/>
      <sheetName val="Activity_List7"/>
      <sheetName val="DETAILED__BOQ5"/>
      <sheetName val="M-Book_for_Conc5"/>
      <sheetName val="M-Book_for_FW5"/>
      <sheetName val="Softscape_Buildup7"/>
      <sheetName val="Mat'l_Rate7"/>
      <sheetName val="VALVE_CHAMBERS4"/>
      <sheetName val="Fire_Hydrants4"/>
      <sheetName val="B_GATE_VALVE4"/>
      <sheetName val="Sub_G1_Fire4"/>
      <sheetName val="Sub_G12_Fire4"/>
      <sheetName val="Materials_Cost(PCC)3"/>
      <sheetName val="India_F&amp;S_Template3"/>
      <sheetName val="IO_LIST3"/>
      <sheetName val="Material_3"/>
      <sheetName val="Quote_Sheet3"/>
      <sheetName val="Day_work4"/>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CHART_OF_ACCOUNTS3"/>
      <sheetName val="E-Bill_No_6_A-O3"/>
      <sheetName val="Eq__Mobilization3"/>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OQ_Direct_selling_cost3"/>
      <sheetName val="PointNo_52"/>
      <sheetName val="Elemental_Buildup2"/>
      <sheetName val="Working_for_RCC3"/>
      <sheetName val="B185-B-9_13"/>
      <sheetName val="B185-B-9_23"/>
      <sheetName val="B09_13"/>
      <sheetName val="w't_table2"/>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Rate_analysis10"/>
      <sheetName val="Rate_summary"/>
      <sheetName val="B6_2_1"/>
      <sheetName val="[SHOPLIST_xls][SHOPLIST_xls]70"/>
      <sheetName val="[SHOPLIST_xls][SHOPLIST_xls]70,"/>
      <sheetName val="[SHOPLIST_xls]70,/0s«iÆøí¬"/>
      <sheetName val="[SHOPLIST_xls]70,/0s«iÆøí¬i"/>
      <sheetName val="d-safe_DELUXE"/>
      <sheetName val="Item-_Compact"/>
      <sheetName val="LIST_DO_NOT_REMOVE1"/>
      <sheetName val="Project_Cost_Breakdown"/>
      <sheetName val="Staff_Acco_"/>
      <sheetName val="TBAL9697_-group_wise__sdpl"/>
      <sheetName val="Рабочий_лист"/>
      <sheetName val="SEX"/>
      <sheetName val="[SHOPLIST.xls]/VW"/>
      <sheetName val="BREAKDOWN"/>
      <sheetName val="References"/>
      <sheetName val="Cost Factor Sheet"/>
      <sheetName val="Load Sch, Cable Sel &amp; Qty"/>
      <sheetName val="Factor Sheet"/>
      <sheetName val="Price Sheet"/>
      <sheetName val="DRUM"/>
      <sheetName val="A"/>
      <sheetName val="基本ﾃﾞｰﾀ"/>
      <sheetName val="FORM5"/>
      <sheetName val="Schedules"/>
      <sheetName val="Ragama"/>
      <sheetName val="1A"/>
      <sheetName val="total"/>
      <sheetName val="Room Type"/>
      <sheetName val="Basement2 DB"/>
      <sheetName val="Factor"/>
      <sheetName val="ConferenceCentre?옰ʒ䄂ʒ鵠ʐ䄂ʒ閐̐脭め_x0005_"/>
      <sheetName val="COSTING"/>
      <sheetName val="Geneí¬_x0008_i??_x0014_?0."/>
      <sheetName val="70?,/0?s«_x0008_i?Æø_x0003_í¬_x0008_i?"/>
      <sheetName val="????????"/>
      <sheetName val="Geneí¬_x0008_i___x0014__0."/>
      <sheetName val="70_,_0_s«_x0008_i_Æø_x0003_í¬_x0008_i_"/>
      <sheetName val="________"/>
      <sheetName val="Map"/>
      <sheetName val="GPL Revenu Update"/>
      <sheetName val="DO NOT TOUCH"/>
      <sheetName val="Work Type"/>
      <sheetName val="Annex_1_Sect_3a"/>
      <sheetName val="Annex_1_Sect_3a_1"/>
      <sheetName val="Annex_1_Sect_3b"/>
      <sheetName val="Annex_1_Sect_3c"/>
      <sheetName val="HOURLY_RATES"/>
      <sheetName val="TESİSAT"/>
      <sheetName val="Z- GENERAL PRICE SUMMARY"/>
      <sheetName val="금융비용"/>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Source"/>
      <sheetName val="1-G1"/>
      <sheetName val="B-3.2 EB"/>
      <sheetName val="Total PrC-Goldi"/>
      <sheetName val="MEP"/>
      <sheetName val="IRR"/>
      <sheetName val="Risk Breakdown Structure"/>
      <sheetName val="[SHOPLIST.xls]/VWVU))tÏØ0  "/>
      <sheetName val="[SHOPLIST.xls]/VWVU))tÏØ0__"/>
      <sheetName val="anti-termite"/>
      <sheetName val="slipsumpR"/>
      <sheetName val="S3 Architectural"/>
      <sheetName val="material"/>
      <sheetName val="Labour Rates"/>
      <sheetName val="machinery"/>
      <sheetName val="Form 6"/>
      <sheetName val="Lookup"/>
      <sheetName val="Sheet7"/>
      <sheetName val="PE"/>
      <sheetName val="VALVE_CHAMBERS5"/>
      <sheetName val="Fire_Hydrants5"/>
      <sheetName val="B_GATE_VALVE5"/>
      <sheetName val="Sub_G1_Fire5"/>
      <sheetName val="Sub_G12_Fire5"/>
      <sheetName val="DETAILED__BOQ6"/>
      <sheetName val="M-Book_for_Conc6"/>
      <sheetName val="M-Book_for_FW6"/>
      <sheetName val="PA-_Consutant_6"/>
      <sheetName val="HIRED_LABOUR_CODE6"/>
      <sheetName val="foot-slab_reinft6"/>
      <sheetName val="Materials_Cost(PCC)4"/>
      <sheetName val="India_F&amp;S_Template4"/>
      <sheetName val="IO_LIST4"/>
      <sheetName val="Material_4"/>
      <sheetName val="Quote_Sheet4"/>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t_table3"/>
      <sheetName val="Elemental_Buildup3"/>
      <sheetName val="PointNo_53"/>
      <sheetName val="LIST_DO_NOT_REMOVE2"/>
      <sheetName val="Summary_of_Work1"/>
      <sheetName val="Employee_List1"/>
      <sheetName val="B6_2_2"/>
      <sheetName val="Staff_Acco_1"/>
      <sheetName val="TBAL9697_-group_wise__sdpl1"/>
      <sheetName val="Item-_Compact1"/>
      <sheetName val="E_&amp;_R1"/>
      <sheetName val="Project_Cost_Breakdown1"/>
      <sheetName val="Annex_1_Sect_3a1"/>
      <sheetName val="Annex_1_Sect_3a_11"/>
      <sheetName val="Annex_1_Sect_3b1"/>
      <sheetName val="Annex_1_Sect_3c1"/>
      <sheetName val="HOURLY_RATES1"/>
      <sheetName val="RAB_AR&amp;STR"/>
      <sheetName val="SITE_WORK"/>
      <sheetName val="PTS-1"/>
      <sheetName val="analysis"/>
      <sheetName val="Ave.wtd.rates"/>
      <sheetName val="Debits as on 12.04.08"/>
      <sheetName val="PRECAST_lightconc-II3"/>
      <sheetName val="final_abstract3"/>
      <sheetName val="PRECAST_lightconc-II4"/>
      <sheetName val="BOQ_Direct_selling_cost4"/>
      <sheetName val="final_abstract4"/>
      <sheetName val="ABS"/>
      <sheetName val="STAFFSCHED "/>
      <sheetName val="Progress"/>
      <sheetName val="R20_R30_work"/>
      <sheetName val="FORM7"/>
      <sheetName val="TRIAL BALANCE"/>
      <sheetName val="Intro"/>
      <sheetName val="Bill-1"/>
      <sheetName val="abs-boq"/>
      <sheetName val="New Rates"/>
      <sheetName val="IRR_CHAMBER"/>
      <sheetName val="steel total"/>
      <sheetName val="ELE BOQ"/>
      <sheetName val="70,"/>
      <sheetName val="[SHOPLIST.xls]70,"/>
      <sheetName val="B-3"/>
      <sheetName val="Price List"/>
      <sheetName val="[SHOPLIST.xls]/VWVU))tÏØ0__1"/>
      <sheetName val="Coding"/>
      <sheetName val="Header"/>
      <sheetName val="CostPlan"/>
      <sheetName val="Database"/>
      <sheetName val="PROJECT BRIEF(EX.NEW)"/>
      <sheetName val="Equip"/>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BILL_COV6"/>
      <sheetName val="Ra__stair6"/>
      <sheetName val="WITHOUT_C&amp;I_PROFIT_(3)8"/>
      <sheetName val="Civil_Boq8"/>
      <sheetName val="Activity_List8"/>
      <sheetName val="B185-B-9_14"/>
      <sheetName val="B185-B-9_24"/>
      <sheetName val="Day_work5"/>
      <sheetName val="Working_for_RCC4"/>
      <sheetName val="CHART_OF_ACCOUNTS4"/>
      <sheetName val="E-Bill_No_6_A-O4"/>
      <sheetName val="PMWeb_data4"/>
      <sheetName val="SS_MH4"/>
      <sheetName val="Eq__Mobilization4"/>
      <sheetName val="B09_14"/>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입찰내역_발주처_양식3"/>
      <sheetName val="Chiet_t3"/>
      <sheetName val="Staffing_and_Rates_IA3"/>
      <sheetName val="/VWVU))tÏØ0__3"/>
      <sheetName val="PT_141-_Site_A_Landscape"/>
      <sheetName val="Geneí¬_i_0_"/>
      <sheetName val="70,/0s«_iÆø_í¬_i"/>
      <sheetName val="Back_up"/>
      <sheetName val="INDIGINEOUS_ITEMS_"/>
      <sheetName val="Mall_waterproofing"/>
      <sheetName val="MSCP_waterproofing"/>
      <sheetName val="Duct_Accesories"/>
      <sheetName val="????_???_??"/>
      <sheetName val="Geneí¬i???0_"/>
      <sheetName val="70?,/0?s«i?Æøí¬i?"/>
      <sheetName val="train_cash"/>
      <sheetName val="accom_cash"/>
      <sheetName val="Geneí¬i_x0"/>
      <sheetName val="70,_0s«i_x"/>
      <sheetName val="_x0"/>
      <sheetName val="Summ"/>
      <sheetName val="ACC"/>
      <sheetName val="Vendors"/>
      <sheetName val="Floor Box "/>
      <sheetName val="Selections"/>
      <sheetName val="Cashflow projection"/>
      <sheetName val="INDEX"/>
      <sheetName val="instructions"/>
      <sheetName val="Resumo Empreitadas"/>
      <sheetName val="Payment"/>
      <sheetName val="Input"/>
      <sheetName val="Architect"/>
      <sheetName val="Materials_Cost(PCC)5"/>
      <sheetName val="India_F&amp;S_Template5"/>
      <sheetName val="IO_LIST5"/>
      <sheetName val="Material_5"/>
      <sheetName val="Quote_Sheet5"/>
      <sheetName val="BOQ_Direct_selling_cost5"/>
      <sheetName val="PRECAST_lightconc-II5"/>
      <sheetName val="final_abstract5"/>
      <sheetName val="Labour_&amp;_Plant"/>
      <sheetName val="TRIAL_BALANCE"/>
      <sheetName val="Ave_wtd_rates"/>
      <sheetName val="Debits_as_on_12_04_08"/>
      <sheetName val="STAFFSCHED_"/>
      <sheetName val="[SHOPLIST.xls][SHOPLIST.xls][SH"/>
      <sheetName val="[SHOPLIST.xls][SHOPLIST.xls]70_"/>
      <sheetName val="calculation_LC"/>
      <sheetName val="Internet"/>
      <sheetName val="PPA Summary"/>
      <sheetName val="superseded"/>
      <sheetName val="SubS2"/>
      <sheetName val="LMP"/>
      <sheetName val="E H - H. W.P."/>
      <sheetName val="E. H. Treatment for pile cap"/>
      <sheetName val="gen"/>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Bill 8 Doors &amp; Windows"/>
      <sheetName val="Bill 9 Finishes "/>
      <sheetName val="Bill 10 Specialities"/>
      <sheetName val="AC"/>
      <sheetName val="PC"/>
      <sheetName val="PRL"/>
      <sheetName val="Risk_Breakdown_Structure"/>
      <sheetName val="Equipment Rates"/>
      <sheetName val="_VW"/>
      <sheetName val="Materials "/>
      <sheetName val="Labour"/>
      <sheetName val="MAchinery(R1)"/>
      <sheetName val="Mix Design"/>
      <sheetName val="std-rates"/>
      <sheetName val="Rates"/>
      <sheetName val="Z-_GENERAL_PRICE_SUMMARY"/>
      <sheetName val="Confidential"/>
      <sheetName val="SO"/>
      <sheetName val="Final"/>
      <sheetName val="Home"/>
      <sheetName val="Steel"/>
      <sheetName val="Interior"/>
      <sheetName val="opstat"/>
      <sheetName val="costs"/>
      <sheetName val="Auswahl"/>
      <sheetName val="Areas_with_SF"/>
      <sheetName val="Area Breakdown PER LEVEL_LINK"/>
      <sheetName val="Lagerhalle"/>
      <sheetName val="Basisdaten"/>
      <sheetName val="CF Input"/>
      <sheetName val="Certificates"/>
      <sheetName val="DATA INPUT"/>
      <sheetName val="Vordruck-Nr. 7.1.3_D"/>
      <sheetName val="Ersatzteile"/>
      <sheetName val="C"/>
      <sheetName val="D"/>
      <sheetName val="E"/>
      <sheetName val="G"/>
      <sheetName val="H"/>
      <sheetName val="I"/>
      <sheetName val="K"/>
      <sheetName val="L"/>
      <sheetName val="M"/>
      <sheetName val="N"/>
      <sheetName val="O"/>
      <sheetName val="T"/>
      <sheetName val="U"/>
      <sheetName val="M&amp;A D"/>
      <sheetName val="M&amp;A E"/>
      <sheetName val="M&amp;A G"/>
      <sheetName val="AREA OF APPLICATION"/>
      <sheetName val="Base BM-rebar"/>
      <sheetName val="GFA_HQ_Building16"/>
      <sheetName val="GFA_Conference15"/>
      <sheetName val="BQ_External15"/>
      <sheetName val="Raw_Data14"/>
      <sheetName val="Penthouse_Apartment14"/>
      <sheetName val="StattCo_yCharges14"/>
      <sheetName val="LABOUR_HISTOGRAM15"/>
      <sheetName val="Graph_Data_(DO_NOT_PRINT)14"/>
      <sheetName val="Chiet_tinh_dz2214"/>
      <sheetName val="Chiet_tinh_dz3514"/>
      <sheetName val="@risk_rents_and_incentives14"/>
      <sheetName val="Car_park_lease14"/>
      <sheetName val="Net_rent_analysis14"/>
      <sheetName val="Poz-1_14"/>
      <sheetName val="Lab_Cum_Hist14"/>
      <sheetName val="FOL_-_Bar14"/>
      <sheetName val="budget_summary_(2)13"/>
      <sheetName val="Budget_Analysis_Summary13"/>
      <sheetName val="CT_Thang_Mo14"/>
      <sheetName val="CT__PL13"/>
      <sheetName val="LEVEL_SHEET14"/>
      <sheetName val="SPT_vs_PHI14"/>
      <sheetName val="Bill_No__214"/>
      <sheetName val="Tender_Summary14"/>
      <sheetName val="Insurance_Ext14"/>
      <sheetName val="Customize_Your_Invoice14"/>
      <sheetName val="HVAC_BoQ14"/>
      <sheetName val="Projet,_methodes_&amp;_couts13"/>
      <sheetName val="Risques_majeurs_&amp;_Frais_Ind_13"/>
      <sheetName val="Top_sheet13"/>
      <sheetName val="intr_stool_brkup13"/>
      <sheetName val="Body_Sheet13"/>
      <sheetName val="1_0_Executive_Summary13"/>
      <sheetName val="Ap_A11"/>
      <sheetName val="Bill_111"/>
      <sheetName val="Bill_212"/>
      <sheetName val="Bill_311"/>
      <sheetName val="Bill_411"/>
      <sheetName val="Bill_511"/>
      <sheetName val="Bill_611"/>
      <sheetName val="Bill_711"/>
      <sheetName val="SHOPLIST_xls10"/>
      <sheetName val="Invoice_Summary10"/>
      <sheetName val="2_Div_14_11"/>
      <sheetName val="PROJECT_BRIEF11"/>
      <sheetName val="beam-reinft-IIInd_floor10"/>
      <sheetName val="POWER_ASSUMPTIONS10"/>
      <sheetName val="Softscape_Buildup9"/>
      <sheetName val="Mat'l_Rate9"/>
      <sheetName val="Dubai_golf10"/>
      <sheetName val="beam-reinft-machine_rm10"/>
      <sheetName val="C_(3)11"/>
      <sheetName val="PA-_Consutant_7"/>
      <sheetName val="BILL_COV7"/>
      <sheetName val="Ra__stair7"/>
      <sheetName val="WITHOUT_C&amp;I_PROFIT_(3)9"/>
      <sheetName val="Civil_Boq9"/>
      <sheetName val="Activity_List9"/>
      <sheetName val="HIRED_LABOUR_CODE7"/>
      <sheetName val="foot-slab_reinft7"/>
      <sheetName val="DETAILED__BOQ7"/>
      <sheetName val="M-Book_for_Conc7"/>
      <sheetName val="M-Book_for_FW7"/>
      <sheetName val="VALVE_CHAMBERS6"/>
      <sheetName val="Fire_Hydrants6"/>
      <sheetName val="B_GATE_VALVE6"/>
      <sheetName val="Sub_G1_Fire6"/>
      <sheetName val="Sub_G12_Fire6"/>
      <sheetName val="B185-B-9_15"/>
      <sheetName val="B185-B-9_25"/>
      <sheetName val="Day_work6"/>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Working_for_RCC5"/>
      <sheetName val="Elemental_Buildup4"/>
      <sheetName val="CHART_OF_ACCOUNTS5"/>
      <sheetName val="E-Bill_No_6_A-O5"/>
      <sheetName val="PMWeb_data5"/>
      <sheetName val="SS_MH5"/>
      <sheetName val="Eq__Mobilization5"/>
      <sheetName val="w't_table4"/>
      <sheetName val="B09_15"/>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PointNo_54"/>
      <sheetName val="Index_List4"/>
      <sheetName val="Type_List4"/>
      <sheetName val="File_Types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2_2)Revised_Cash_Flow4"/>
      <sheetName val="Material_List_4"/>
      <sheetName val="Employee_List2"/>
      <sheetName val="입찰내역_발주처_양식4"/>
      <sheetName val="Chiet_t4"/>
      <sheetName val="Staffing_and_Rates_IA4"/>
      <sheetName val="Summary_of_Work2"/>
      <sheetName val="/VWVU))tÏØ0__4"/>
      <sheetName val="Рабочий_лист1"/>
      <sheetName val="PT_141-_Site_A_Landscape1"/>
      <sheetName val="d-safe_DELUXE1"/>
      <sheetName val="Rate_summary1"/>
      <sheetName val="SITE_WORK1"/>
      <sheetName val="RAB_AR&amp;STR1"/>
      <sheetName val="Back_up1"/>
      <sheetName val="INDIGINEOUS_ITEMS_1"/>
      <sheetName val="Mall_waterproofing1"/>
      <sheetName val="MSCP_waterproofing1"/>
      <sheetName val="Duct_Accesories1"/>
      <sheetName val="????_???_??1"/>
      <sheetName val="train_cash1"/>
      <sheetName val="accom_cash1"/>
      <sheetName val="Common_Variables"/>
      <sheetName val="ConferenceCentre?옰ʒ䄂ʒ鵠ʐ䄂ʒ閐̐脭め"/>
      <sheetName val="Geneí¬i___0_"/>
      <sheetName val="70_,_0_s«i_Æøí¬i_"/>
      <sheetName val="C1ㅇ"/>
      <sheetName val="dv_info"/>
      <sheetName val="% prog figs -u5 and total"/>
      <sheetName val="rc01"/>
      <sheetName val="ConferenceCentre_x005f_x0000_옰ʒ"/>
      <sheetName val="70_x005f_x0000_,_0_x005f_x0000_"/>
      <sheetName val="_VWVU))tÏØ0  "/>
      <sheetName val="_VWVU))tÏØ0__"/>
      <sheetName val="__-BLDG"/>
      <sheetName val="_x005f_x0000__x005f_x0000__x005"/>
      <sheetName val="Geneí¬_x005f_x0008_i_x000"/>
      <sheetName val="Service Type"/>
      <sheetName val="Contract Division"/>
      <sheetName val="SubContract Type"/>
      <sheetName val="做法表"/>
      <sheetName val="_SHOPLIST.xls_70"/>
      <sheetName val="_SHOPLIST.xls_70,_0s«iÆøí¬i"/>
      <sheetName val="GPL_Revenu_Update"/>
      <sheetName val="DO_NOT_TOUCH"/>
      <sheetName val="Work_Type"/>
      <sheetName val="PROJECT_BRIEF(EX_NEW)"/>
      <sheetName val="PNTEXT"/>
      <sheetName val="Materials_Cost(PCC)6"/>
      <sheetName val="India_F&amp;S_Template6"/>
      <sheetName val="IO_LIST6"/>
      <sheetName val="Material_6"/>
      <sheetName val="Quote_Sheet6"/>
      <sheetName val="BOQ_Direct_selling_cost6"/>
      <sheetName val="PRECAST_lightconc-II6"/>
      <sheetName val="final_abstract6"/>
      <sheetName val="E_&amp;_R2"/>
      <sheetName val="Labour_&amp;_Plant1"/>
      <sheetName val="[SHOPLIST_xls][SHOPLIST_xls]701"/>
      <sheetName val="TRIAL_BALANCE1"/>
      <sheetName val="Ave_wtd_rates1"/>
      <sheetName val="Debits_as_on_12_04_081"/>
      <sheetName val="STAFFSCHED_1"/>
      <sheetName val="Risk_Breakdown_Structure1"/>
      <sheetName val="Gra¦)_x0"/>
      <sheetName val="_VWVU)_x"/>
      <sheetName val="Equipment_Rates"/>
      <sheetName val="Geneí¬_i"/>
      <sheetName val="Projects"/>
      <sheetName val="A1-Continuous"/>
      <sheetName val="Food"/>
      <sheetName val="1.2 Staff Schedule"/>
      <sheetName val="[SHOPLIST.xls]/VWVU))tÏØ0__2"/>
      <sheetName val="Staff_Acco_2"/>
      <sheetName val="TBAL9697_-group_wise__sdpl2"/>
      <sheetName val="Common_Variables1"/>
      <sheetName val="[SHOPLIST_xls]70,/0s«iÆøí¬i1"/>
      <sheetName val="GPL_Revenu_Update1"/>
      <sheetName val="DO_NOT_TOUCH1"/>
      <sheetName val="Work_Type1"/>
      <sheetName val="PROJECT_BRIEF(EX_NEW)1"/>
      <sheetName val="[SHOPLIST_xls]70,/0s«_iÆø_í¬"/>
      <sheetName val="AREA_OF_APPLICATION"/>
      <sheetName val="mw"/>
      <sheetName val="ￒlￒmￒnￒaￒSￒmￒaￒy"/>
      <sheetName val="GFA_HQ_Building17"/>
      <sheetName val="GFA_Conference16"/>
      <sheetName val="BQ_External16"/>
      <sheetName val="Graph_Data_(DO_NOT_PRINT)15"/>
      <sheetName val="StattCo_yCharges15"/>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Raw_Data15"/>
      <sheetName val="Bill_No__215"/>
      <sheetName val="CT_Thang_Mo15"/>
      <sheetName val="budget_summary_(2)14"/>
      <sheetName val="Budget_Analysis_Summary14"/>
      <sheetName val="LEVEL_SHEET15"/>
      <sheetName val="SPT_vs_PHI15"/>
      <sheetName val="CT__PL14"/>
      <sheetName val="Projet,_methodes_&amp;_couts14"/>
      <sheetName val="Risques_majeurs_&amp;_Frais_Ind_14"/>
      <sheetName val="FOL_-_Bar15"/>
      <sheetName val="intr_stool_brkup14"/>
      <sheetName val="Tender_Summary15"/>
      <sheetName val="Insurance_Ext15"/>
      <sheetName val="Customize_Your_Invoice15"/>
      <sheetName val="HVAC_BoQ15"/>
      <sheetName val="Body_Sheet14"/>
      <sheetName val="1_0_Executive_Summary14"/>
      <sheetName val="Top_sheet14"/>
      <sheetName val="Ap_A12"/>
      <sheetName val="SHOPLIST_xls11"/>
      <sheetName val="Bill_213"/>
      <sheetName val="2_Div_14_12"/>
      <sheetName val="beam-reinft-IIInd_floor11"/>
      <sheetName val="beam-reinft-machine_rm11"/>
      <sheetName val="Bill_112"/>
      <sheetName val="Bill_312"/>
      <sheetName val="Bill_412"/>
      <sheetName val="Bill_512"/>
      <sheetName val="Bill_612"/>
      <sheetName val="Bill_712"/>
      <sheetName val="POWER_ASSUMPTIONS11"/>
      <sheetName val="Invoice_Summary11"/>
      <sheetName val="PROJECT_BRIEF12"/>
      <sheetName val="Civil_Boq10"/>
      <sheetName val="C_(3)12"/>
      <sheetName val="Dubai_golf11"/>
      <sheetName val="WITHOUT_C&amp;I_PROFIT_(3)10"/>
      <sheetName val="HIRED_LABOUR_CODE8"/>
      <sheetName val="PA-_Consutant_8"/>
      <sheetName val="foot-slab_reinft8"/>
      <sheetName val="Softscape_Buildup10"/>
      <sheetName val="Mat'l_Rate10"/>
      <sheetName val="VALVE_CHAMBERS7"/>
      <sheetName val="Fire_Hydrants7"/>
      <sheetName val="B_GATE_VALVE7"/>
      <sheetName val="Sub_G1_Fire7"/>
      <sheetName val="Sub_G12_Fire7"/>
      <sheetName val="Activity_List10"/>
      <sheetName val="BILL_COV8"/>
      <sheetName val="Ra__stair8"/>
      <sheetName val="DETAILED__BOQ8"/>
      <sheetName val="M-Book_for_Conc8"/>
      <sheetName val="M-Book_for_FW8"/>
      <sheetName val="Materials_Cost(PCC)7"/>
      <sheetName val="India_F&amp;S_Template7"/>
      <sheetName val="IO_LIST7"/>
      <sheetName val="Material_7"/>
      <sheetName val="Quote_Sheet7"/>
      <sheetName val="Day_work7"/>
      <sheetName val="Working_for_RCC6"/>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Eq__Mobilization6"/>
      <sheetName val="w't_table5"/>
      <sheetName val="B185-B-9_16"/>
      <sheetName val="B185-B-9_26"/>
      <sheetName val="CHART_OF_ACCOUNTS6"/>
      <sheetName val="BOQ_Direct_selling_cost7"/>
      <sheetName val="Elemental_Buildup5"/>
      <sheetName val="PointNo_55"/>
      <sheetName val="Index_List5"/>
      <sheetName val="Type_List5"/>
      <sheetName val="File_Types5"/>
      <sheetName val="E-Bill_No_6_A-O6"/>
      <sheetName val="PMWeb_data6"/>
      <sheetName val="SS_MH6"/>
      <sheetName val="Material_List_5"/>
      <sheetName val="2_2)Revised_Cash_Flow5"/>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B09_16"/>
      <sheetName val="Project_Cost_Breakdown3"/>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LIST_DO_NOT_REMOVE4"/>
      <sheetName val="PRECAST_lightconc-II7"/>
      <sheetName val="final_abstract7"/>
      <sheetName val="Staff_Acco_3"/>
      <sheetName val="TBAL9697_-group_wise__sdpl3"/>
      <sheetName val="/VWVU))tÏØ0__5"/>
      <sheetName val="Chiet_t5"/>
      <sheetName val="Staffing_and_Rates_IA5"/>
      <sheetName val="Summary_of_Work3"/>
      <sheetName val="Employee_List3"/>
      <sheetName val="Рабочий_лист2"/>
      <sheetName val="B6_2_4"/>
      <sheetName val="Item-_Compact3"/>
      <sheetName val="E_&amp;_R3"/>
      <sheetName val="Annex_1_Sect_3a3"/>
      <sheetName val="Annex_1_Sect_3a_13"/>
      <sheetName val="Annex_1_Sect_3b3"/>
      <sheetName val="Annex_1_Sect_3c3"/>
      <sheetName val="HOURLY_RATES3"/>
      <sheetName val="SITE_WORK2"/>
      <sheetName val="d-safe_DELUXE2"/>
      <sheetName val="PT_141-_Site_A_Landscape2"/>
      <sheetName val="Rate_summary2"/>
      <sheetName val="RAB_AR&amp;STR2"/>
      <sheetName val="Back_up2"/>
      <sheetName val="train_cash2"/>
      <sheetName val="accom_cash2"/>
      <sheetName val="INDIGINEOUS_ITEMS_2"/>
      <sheetName val="Duct_Accesories2"/>
      <sheetName val="Mall_waterproofing2"/>
      <sheetName val="MSCP_waterproofing2"/>
      <sheetName val="Common_Variables2"/>
      <sheetName val="????_???_??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AREA_OF_APPLICATION1"/>
      <sheetName val="Geneí¬_i1"/>
      <sheetName val="steel_total1"/>
      <sheetName val="ELE_BOQ1"/>
      <sheetName val="Project_Cost_Breakdown2"/>
      <sheetName val="LIST_DO_NOT_REMOVE3"/>
      <sheetName val="B6_2_3"/>
      <sheetName val="Item-_Compact2"/>
      <sheetName val="Annex_1_Sect_3a2"/>
      <sheetName val="Annex_1_Sect_3a_12"/>
      <sheetName val="Annex_1_Sect_3b2"/>
      <sheetName val="Annex_1_Sect_3c2"/>
      <sheetName val="HOURLY_RATES2"/>
      <sheetName val="steel_total"/>
      <sheetName val="ELE_BOQ"/>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PRJ_DATA"/>
      <sheetName val="BaseWeight"/>
      <sheetName val="VIABILITY"/>
      <sheetName val="Rate_analysis11"/>
      <sheetName val="SRC-B3U2"/>
      <sheetName val="Attach 4-18"/>
      <sheetName val="TTL"/>
      <sheetName val="Data I (2)"/>
      <sheetName val="rEFERENCES "/>
      <sheetName val="DIV2"/>
      <sheetName val="DIV3"/>
      <sheetName val="DIV4"/>
      <sheetName val="DIV7"/>
      <sheetName val="DIV9"/>
      <sheetName val="KAP-2_C1_ALBAHA_GRID_POINT_NGL"/>
      <sheetName val="Flight-1"/>
      <sheetName val="Project"/>
      <sheetName val="PRICE INFO"/>
      <sheetName val="RC SUMMARY"/>
      <sheetName val="LABOUR PRODUCTIVITY-TAV"/>
      <sheetName val="MATERIAL PRICES"/>
      <sheetName val="Floor_Box_"/>
      <sheetName val="Floor_Box_1"/>
      <sheetName val="Base_Data"/>
      <sheetName val="P-100.MRF.DB.R1"/>
      <sheetName val="RMOPS"/>
      <sheetName val="[SHOPLIST_xls][SHOPLIST_xls]70_"/>
      <sheetName val="E_H_-_H__W_P_"/>
      <sheetName val="E__H__Treatment_for_pile_cap"/>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Cashflow_projection"/>
      <sheetName val="Dropdowns"/>
      <sheetName val="1_2_Staff_Schedule"/>
      <sheetName val="Data Sheet"/>
      <sheetName val="allowances"/>
      <sheetName val="tender allowances"/>
      <sheetName val=" Summary BKG 034"/>
      <sheetName val="BILL 3R"/>
      <sheetName val="door"/>
      <sheetName val="window"/>
      <sheetName val="BLOCK-A (MEA.SHEET)"/>
      <sheetName val="Bill.10"/>
      <sheetName val="CSC"/>
      <sheetName val="Material&amp;equipment"/>
      <sheetName val="Cost Heading"/>
      <sheetName val="Labour Costs"/>
      <sheetName val="sheet6"/>
      <sheetName val="Ewaan Show Kitchen (2)"/>
      <sheetName val="Cash Flow Working"/>
      <sheetName val="MN T.B."/>
      <sheetName val="COMPLEXALL"/>
      <sheetName val="D &amp; W sizes"/>
      <sheetName val="DetEst"/>
      <sheetName val="SOPMA DD"/>
      <sheetName val="Hic_150EOffice"/>
      <sheetName val="Results"/>
      <sheetName val="Site Dev BOQ"/>
      <sheetName val="Estimation"/>
      <sheetName val="May 05"/>
      <sheetName val="April 05"/>
      <sheetName val="Aug 05"/>
      <sheetName val="July 05"/>
      <sheetName val="June 05"/>
      <sheetName val="Nov 05"/>
      <sheetName val="Oct 05"/>
      <sheetName val="Sep 05"/>
      <sheetName val="[SHOPLIST.xls]/VWVU))tÏØ0__3"/>
      <sheetName val="[SHOPLIST.xls]70,/0s«_iÆø_í¬_i"/>
      <sheetName val="[SHOPLIST.xls]70?,/0?s«i?Æøí¬i?"/>
      <sheetName val="precast RC element"/>
      <sheetName val="pile Fabrication"/>
      <sheetName val="New Bld"/>
      <sheetName val="BHANDUP"/>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Resumo_Empreitadas"/>
      <sheetName val="PPA_Summary"/>
      <sheetName val="Mix_Design"/>
      <sheetName val="%_prog_figs_-u5_and_total"/>
      <sheetName val="_VWVU))tÏØ0__1"/>
      <sheetName val="Dash board"/>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BULD.3"/>
      <sheetName val="BLOCK K"/>
      <sheetName val="ConferenceCentre_x005f_x005f_x0"/>
      <sheetName val="Geneí¬_x005f_x005f_x005f_x0008_"/>
      <sheetName val="70_x005f_x005f_x005f_x0000_,_0_"/>
      <sheetName val="BOQ (2)"/>
      <sheetName val="Names"/>
      <sheetName val="LABOUR RATE"/>
      <sheetName val="Material Rate"/>
      <sheetName val="Labor abs-PW"/>
      <sheetName val="Labor abs-NMR"/>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hist&amp;proj"/>
      <sheetName val="Package-2"/>
      <sheetName val="Combined Results "/>
      <sheetName val="Cashflow"/>
      <sheetName val="RA"/>
      <sheetName val="Dropdown List"/>
      <sheetName val="[SHOPLIST.xls]/VWVU))tÏØ0__4"/>
      <sheetName val="grid"/>
      <sheetName val="Basic Rates"/>
      <sheetName val="Cost_any"/>
      <sheetName val="para"/>
      <sheetName val="kppl pl"/>
      <sheetName val="Set"/>
      <sheetName val="Qtys ZamZam (Del. before)"/>
      <sheetName val="Qtys Relocation (Del before)"/>
      <sheetName val=" Qtys Sub &amp; Tents (Del. before)"/>
      <sheetName val="Qtys  Signages (Del. before)"/>
      <sheetName val="Qtys Temporary Passages (Del)"/>
      <sheetName val=" Qtys Ser. Rooms (Del before)"/>
      <sheetName val="AREAS"/>
      <sheetName val="Labour Rate "/>
      <sheetName val="(M+L)"/>
      <sheetName val="Names&amp;Cases"/>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11"/>
      <sheetName val="DATI_CONS"/>
      <sheetName val="BOQp4"/>
      <sheetName val="Config-C"/>
      <sheetName val="Service"/>
      <sheetName val="Appendix B"/>
      <sheetName val="2F 회의실견적(5_14 일대)"/>
      <sheetName val=" HIT-&gt;HMC 견적(3900)"/>
      <sheetName val="STAIR-A"/>
      <sheetName val="B1"/>
      <sheetName val="Finansal tamamlanma Eğrisi"/>
      <sheetName val="2 Plex"/>
      <sheetName val="Sheet1 (2)"/>
      <sheetName val="4 Plex"/>
      <sheetName val="6 Plex "/>
      <sheetName val="Detailed Summary"/>
      <sheetName val="Sheet1 (3)"/>
      <sheetName val="Sheet1 (4)"/>
      <sheetName val="Print"/>
      <sheetName val="工程量"/>
      <sheetName val="Base_BM-rebar"/>
      <sheetName val="[SHOPLIST_xls]70"/>
      <sheetName val="[SHOPLIST_xls]70,"/>
      <sheetName val="Summary "/>
      <sheetName val="B04-A - DIA SUDEER"/>
      <sheetName val="04D - Tanmyat"/>
      <sheetName val="13- B04-B &amp; C"/>
      <sheetName val=" SITE 09 B04-B&amp;C-AFAQ"/>
      <sheetName val="Model"/>
      <sheetName val="CONSTRUCTION COMPONENT"/>
      <sheetName val="[SHOPLIST.xls]/VWVU))tÏØ0__5"/>
      <sheetName val="[SHOPLIST.xls]/VWVU))tÏØ0__6"/>
      <sheetName val="[SHOPLIST.xls]/VWVU))tÏØ0__7"/>
      <sheetName val="HB CEC schd 4.2"/>
      <sheetName val="HB CEC schd 4.3"/>
      <sheetName val="HB CEC schd 5.2"/>
      <sheetName val="HB CEC schd 6.2"/>
      <sheetName val="HB CEC schd 7.2"/>
      <sheetName val="HB CEC schd 9.2"/>
      <sheetName val="Doha Farm"/>
      <sheetName val="Comp equip"/>
      <sheetName val="Tables"/>
      <sheetName val="Data Validation"/>
      <sheetName val="TOSHIBA-Structure"/>
      <sheetName val="NKC6"/>
      <sheetName val="Div26 - Elect"/>
      <sheetName val="CHUNG CU CARRILON"/>
      <sheetName val="CIF COST ITEM"/>
      <sheetName val="PDT(L)1"/>
      <sheetName val="LANGUAGE"/>
      <sheetName val="Drop Down Data"/>
      <sheetName val="Rules "/>
      <sheetName val="Démol."/>
      <sheetName val="Ravalement"/>
      <sheetName val="Calculations"/>
      <sheetName val="[SHOPLIST_xls]/VW"/>
      <sheetName val="[SHOPLIST_xls]/VWVU))tÏØ0__"/>
      <sheetName val="[SHOPLIST_xls]/VWVU))tÏØ0__1"/>
      <sheetName val="Materials_"/>
      <sheetName val="PB"/>
      <sheetName val="Harewood"/>
      <sheetName val="Detbal"/>
      <sheetName val="Div.07 Thermal &amp; Moisture"/>
      <sheetName val="Rate_analysis12"/>
      <sheetName val="Area_Breakdown_PER_LEVEL_LINK"/>
      <sheetName val="CF_Input"/>
      <sheetName val="DATA_INPUT"/>
      <sheetName val="Vordruck-Nr__7_1_3_D"/>
      <sheetName val="M&amp;A_D"/>
      <sheetName val="M&amp;A_E"/>
      <sheetName val="M&amp;A_G"/>
      <sheetName val="Z-_GENERAL_PRICE_SUMMARY1"/>
      <sheetName val="[SHOPLIST_xls]/VWVU))"/>
      <sheetName val="Rate_analysis13"/>
      <sheetName val="[SHOPLIST_xls]701"/>
      <sheetName val="[SHOPLIST_xls]70,1"/>
      <sheetName val="Resumo_Empreitadas1"/>
      <sheetName val="Materials_1"/>
      <sheetName val="Base_BM-rebar1"/>
      <sheetName val="PPA_Summary1"/>
      <sheetName val="Mix_Design1"/>
      <sheetName val="Cashflow_projection1"/>
      <sheetName val="Area_Breakdown_PER_LEVEL_LINK1"/>
      <sheetName val="CF_Input1"/>
      <sheetName val="DATA_INPUT1"/>
      <sheetName val="Vordruck-Nr__7_1_3_D1"/>
      <sheetName val="M&amp;A_D1"/>
      <sheetName val="M&amp;A_E1"/>
      <sheetName val="M&amp;A_G1"/>
      <sheetName val="Z-_GENERAL_PRICE_SUMMARY2"/>
      <sheetName val="Equipment_Rates1"/>
      <sheetName val="E_H_-_H__W_P_1"/>
      <sheetName val="E__H__Treatment_for_pile_cap1"/>
      <sheetName val="GS"/>
      <sheetName val="1 - Main Building"/>
      <sheetName val="1 - Summary"/>
      <sheetName val="2 - Landscaping Works"/>
      <sheetName val="2 - Summary"/>
      <sheetName val="4 - Bldg Infra"/>
      <sheetName val="4 - Summary"/>
      <sheetName val="Trade Summary"/>
      <sheetName val="GFA_HQ_Building20"/>
      <sheetName val="GFA_Conference19"/>
      <sheetName val="BQ_External19"/>
      <sheetName val="Graph_Data_(DO_NOT_PRINT)18"/>
      <sheetName val="StattCo_yCharges18"/>
      <sheetName val="Penthouse_Apartment18"/>
      <sheetName val="LABOUR_HISTOGRAM19"/>
      <sheetName val="Chiet_tinh_dz2218"/>
      <sheetName val="Chiet_tinh_dz3518"/>
      <sheetName val="@risk_rents_and_incentives18"/>
      <sheetName val="Car_park_lease18"/>
      <sheetName val="Net_rent_analysis18"/>
      <sheetName val="Poz-1_18"/>
      <sheetName val="Lab_Cum_Hist18"/>
      <sheetName val="Raw_Data18"/>
      <sheetName val="Bill_No__218"/>
      <sheetName val="CT_Thang_Mo18"/>
      <sheetName val="budget_summary_(2)17"/>
      <sheetName val="Budget_Analysis_Summary17"/>
      <sheetName val="LEVEL_SHEET18"/>
      <sheetName val="SPT_vs_PHI18"/>
      <sheetName val="CT__PL17"/>
      <sheetName val="Projet,_methodes_&amp;_couts17"/>
      <sheetName val="Risques_majeurs_&amp;_Frais_Ind_17"/>
      <sheetName val="FOL_-_Bar18"/>
      <sheetName val="intr_stool_brkup17"/>
      <sheetName val="Tender_Summary18"/>
      <sheetName val="Insurance_Ext18"/>
      <sheetName val="Customize_Your_Invoice18"/>
      <sheetName val="HVAC_BoQ18"/>
      <sheetName val="Body_Sheet17"/>
      <sheetName val="1_0_Executive_Summary17"/>
      <sheetName val="Top_sheet17"/>
      <sheetName val="Ap_A15"/>
      <sheetName val="SHOPLIST_xls14"/>
      <sheetName val="Bill_216"/>
      <sheetName val="2_Div_14_15"/>
      <sheetName val="beam-reinft-IIInd_floor14"/>
      <sheetName val="beam-reinft-machine_rm14"/>
      <sheetName val="Bill_115"/>
      <sheetName val="Bill_315"/>
      <sheetName val="Bill_415"/>
      <sheetName val="Bill_515"/>
      <sheetName val="Bill_615"/>
      <sheetName val="Bill_715"/>
      <sheetName val="POWER_ASSUMPTIONS14"/>
      <sheetName val="Invoice_Summary14"/>
      <sheetName val="PROJECT_BRIEF15"/>
      <sheetName val="Civil_Boq13"/>
      <sheetName val="C_(3)15"/>
      <sheetName val="Dubai_golf14"/>
      <sheetName val="WITHOUT_C&amp;I_PROFIT_(3)13"/>
      <sheetName val="HIRED_LABOUR_CODE11"/>
      <sheetName val="PA-_Consutant_11"/>
      <sheetName val="foot-slab_reinft11"/>
      <sheetName val="Softscape_Buildup13"/>
      <sheetName val="Mat'l_Rate13"/>
      <sheetName val="VALVE_CHAMBERS10"/>
      <sheetName val="Fire_Hydrants10"/>
      <sheetName val="B_GATE_VALVE10"/>
      <sheetName val="Sub_G1_Fire10"/>
      <sheetName val="Sub_G12_Fire10"/>
      <sheetName val="Activity_List13"/>
      <sheetName val="BILL_COV11"/>
      <sheetName val="Ra__stair11"/>
      <sheetName val="DETAILED__BOQ11"/>
      <sheetName val="M-Book_for_Conc11"/>
      <sheetName val="M-Book_for_FW11"/>
      <sheetName val="Materials_Cost(PCC)10"/>
      <sheetName val="India_F&amp;S_Template10"/>
      <sheetName val="IO_LIST10"/>
      <sheetName val="Material_10"/>
      <sheetName val="Quote_Sheet10"/>
      <sheetName val="Day_work10"/>
      <sheetName val="Working_for_RCC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Elemental_Buildup8"/>
      <sheetName val="Eq__Mobilization9"/>
      <sheetName val="w't_table8"/>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OQ_Direct_selling_cost10"/>
      <sheetName val="CHART_OF_ACCOUNTS9"/>
      <sheetName val="B185-B-9_19"/>
      <sheetName val="B185-B-9_29"/>
      <sheetName val="Material_List_8"/>
      <sheetName val="E-Bill_No_6_A-O9"/>
      <sheetName val="B09_1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PointNo_58"/>
      <sheetName val="SS_MH9"/>
      <sheetName val="2_2)Revised_Cash_Flow8"/>
      <sheetName val="입찰내역_발주처_양식8"/>
      <sheetName val="/VWVU))tÏØ0__8"/>
      <sheetName val="LIST_DO_NOT_REMOVE7"/>
      <sheetName val="Index_List8"/>
      <sheetName val="Type_List8"/>
      <sheetName val="File_Types8"/>
      <sheetName val="Chiet_t8"/>
      <sheetName val="Staffing_and_Rates_IA8"/>
      <sheetName val="B6_2_7"/>
      <sheetName val="PRECAST_lightconc-II10"/>
      <sheetName val="final_abstract10"/>
      <sheetName val="Summary_of_Work6"/>
      <sheetName val="Staff_Acco_6"/>
      <sheetName val="TBAL9697_-group_wise__sdpl6"/>
      <sheetName val="Employee_List6"/>
      <sheetName val="Project_Cost_Breakdown6"/>
      <sheetName val="Item-_Compact6"/>
      <sheetName val="E_&amp;_R6"/>
      <sheetName val="Рабочий_лист5"/>
      <sheetName val="SITE_WORK5"/>
      <sheetName val="Rate_summary5"/>
      <sheetName val="d-safe_DELUXE5"/>
      <sheetName val="Back_up5"/>
      <sheetName val="PT_141-_Site_A_Landscape5"/>
      <sheetName val="Annex_1_Sect_3a6"/>
      <sheetName val="Annex_1_Sect_3a_16"/>
      <sheetName val="Annex_1_Sect_3b6"/>
      <sheetName val="Annex_1_Sect_3c6"/>
      <sheetName val="HOURLY_RATES6"/>
      <sheetName val="RAB_AR&amp;STR5"/>
      <sheetName val="INDIGINEOUS_ITEMS_5"/>
      <sheetName val="train_cash5"/>
      <sheetName val="accom_cash5"/>
      <sheetName val="Duct_Accesories5"/>
      <sheetName val="Mall_waterproofing5"/>
      <sheetName val="MSCP_waterproofing5"/>
      <sheetName val="????_???_??5"/>
      <sheetName val="Common_Variables5"/>
      <sheetName val="[SHOPLIST_xls]70,/0s«iÆøí¬i5"/>
      <sheetName val="GPL_Revenu_Update5"/>
      <sheetName val="DO_NOT_TOUCH5"/>
      <sheetName val="Work_Type5"/>
      <sheetName val="Labour_&amp;_Plant5"/>
      <sheetName val="Ave_wtd_rates5"/>
      <sheetName val="Debits_as_on_12_04_085"/>
      <sheetName val="STAFFSCHED_5"/>
      <sheetName val="TRIAL_BALANCE5"/>
      <sheetName val="[SHOPLIST_xls][SHOPLIST_xls]705"/>
      <sheetName val="PROJECT_BRIEF(EX_NEW)5"/>
      <sheetName val="Risk_Breakdown_Structure4"/>
      <sheetName val="AREA_OF_APPLICATION4"/>
      <sheetName val="Geneí¬_i4"/>
      <sheetName val="steel_total4"/>
      <sheetName val="ELE_BOQ4"/>
      <sheetName val="%_prog_figs_-u5_and_total1"/>
      <sheetName val="_VWVU))tÏØ0__2"/>
      <sheetName val="Floor_Box_2"/>
      <sheetName val="[SHOPLIST_xls][SHOPLIST_xls][SH"/>
      <sheetName val="Site_Dev_BOQ"/>
      <sheetName val="Dash_board"/>
      <sheetName val="Data_Sheet"/>
      <sheetName val="tender_allowances"/>
      <sheetName val="_Summary_BKG_034"/>
      <sheetName val="BILL_3R"/>
      <sheetName val="1_2_Staff_Schedule1"/>
      <sheetName val="Bill_10"/>
      <sheetName val="[SHOPLIST_xls]/VWVU))tÏØ0__11"/>
      <sheetName val="[SHOPLIST_xls]/VWVU))tÏØ0__2"/>
      <sheetName val="[SHOPLIST_xls]/VWVU))tÏØ0__3"/>
      <sheetName val="[SHOPLIST_xls]70,/0s«_iÆø_í¬_i"/>
      <sheetName val="[SHOPLIST_xls]70?,/0?s«i?Æøí¬i?"/>
      <sheetName val="Labour_Costs"/>
      <sheetName val="BLOCK-A_(MEA_SHEET)"/>
      <sheetName val="/VWVU))tÏØ0__9"/>
      <sheetName val="Det_Des"/>
      <sheetName val="Balance Sheet"/>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SHOPLIST_xls][SHOPLIST_xls]706"/>
      <sheetName val="PROJECT_BRIEF(EX_NEW)6"/>
      <sheetName val="AREA_OF_APPLICATION5"/>
      <sheetName val="Risk_Breakdown_Structure5"/>
      <sheetName val="Geneí¬_i5"/>
      <sheetName val="steel_total5"/>
      <sheetName val="ELE_BOQ5"/>
      <sheetName val="Resumo_Empreitadas2"/>
      <sheetName val="PPA_Summary2"/>
      <sheetName val="Mix_Design2"/>
      <sheetName val="%_prog_figs_-u5_and_total2"/>
      <sheetName val="_VWVU))tÏØ0__3"/>
      <sheetName val="Floor_Box_3"/>
      <sheetName val="[SHOPLIST_xls]/VW1"/>
      <sheetName val="[SHOPLIST_xls][SHOPLIST_xls][S1"/>
      <sheetName val="[SHOPLIST_xls][SHOPLIST_xls]707"/>
      <sheetName val="Estimate for approval"/>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Asset Allocation (CR)"/>
      <sheetName val="Project Benchmarking"/>
      <sheetName val="Dashboard (1)"/>
      <sheetName val="Remeasure"/>
      <sheetName val="VO Agreed to Unifier Sum"/>
      <sheetName val="VO Not yet Agreed to Unifier"/>
      <sheetName val="VO Anticipated to Unifier"/>
      <sheetName val="EW to Unifier"/>
      <sheetName val="Prov Sums"/>
      <sheetName val="Claims"/>
      <sheetName val="Other Amounts"/>
      <sheetName val="Sheet Index"/>
      <sheetName val="Report"/>
      <sheetName val="PROCTOR"/>
      <sheetName val="Status Summary"/>
      <sheetName val="KP1590_E"/>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SHOPLIST_xls][SHOPLIST_xls]708"/>
      <sheetName val="PROJECT_BRIEF(EX_NEW)7"/>
      <sheetName val="AREA_OF_APPLICATION6"/>
      <sheetName val="Risk_Breakdown_Structure6"/>
      <sheetName val="Geneí¬_i6"/>
      <sheetName val="steel_total6"/>
      <sheetName val="ELE_BOQ6"/>
      <sheetName val="Z-_GENERAL_PRICE_SUMMARY3"/>
      <sheetName val="Resumo_Empreitadas3"/>
      <sheetName val="PPA_Summary3"/>
      <sheetName val="Mix_Design3"/>
      <sheetName val="%_prog_figs_-u5_and_total3"/>
      <sheetName val="_VWVU))tÏØ0__4"/>
      <sheetName val="Floor_Box_4"/>
      <sheetName val="[SHOPLIST_xls]/VW2"/>
      <sheetName val="[SHOPLIST_xls]/VWVU))tÏØ0__4"/>
      <sheetName val="[SHOPLIST_xls]/VWVU))tÏØ0__5"/>
      <sheetName val="Equipment_Rates2"/>
      <sheetName val="Cashflow_projection2"/>
      <sheetName val="[SHOPLIST_xls][SHOPLIST_xls][S2"/>
      <sheetName val="E_H_-_H__W_P_2"/>
      <sheetName val="E__H__Treatment_for_pile_cap2"/>
      <sheetName val="[SHOPLIST_xls][SHOPLIST_xls]709"/>
      <sheetName val="Materials_2"/>
      <sheetName val="BLOCK-A_(MEA_SHEET)1"/>
      <sheetName val="1_2_Staff_Schedule2"/>
      <sheetName val="Site_Dev_BOQ1"/>
      <sheetName val="Labour_Costs1"/>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Dash_board1"/>
      <sheetName val="Data_Sheet1"/>
      <sheetName val="tender_allowances1"/>
      <sheetName val="_Summary_BKG_0341"/>
      <sheetName val="BILL_3R1"/>
      <sheetName val="Bill_101"/>
      <sheetName val="[SHOPLIST_xls]/VWVU))tÏØ0__12"/>
      <sheetName val="[SHOPLIST_xls]/VWVU))tÏØ0__21"/>
      <sheetName val="[SHOPLIST_xls]/VWVU))tÏØ0__31"/>
      <sheetName val="[SHOPLIST_xls]70,/0s«_iÆø_í¬_i1"/>
      <sheetName val="[SHOPLIST_xls]70?,/0?s«i?Æøí¬i1"/>
      <sheetName val="Contract_Division"/>
      <sheetName val="SubContract_Type"/>
      <sheetName val="Service_Type"/>
      <sheetName val="/VWVU))tÏØ0__11"/>
      <sheetName val="[SHOPLIST_xls]/VWVU))tÏØ0__6"/>
      <sheetName val="[SHOPLIST_xls]/VWVU))tÏØ0__7"/>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Dash_board2"/>
      <sheetName val="[SHOPLIST_xls]702"/>
      <sheetName val="[SHOPLIST_xls]70,2"/>
      <sheetName val="Base_BM-rebar2"/>
      <sheetName val="Site_Dev_BOQ2"/>
      <sheetName val="Data_Sheet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VWVU))tÏØ0__12"/>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B09_112"/>
      <sheetName val="BOQ_Direct_selling_cost13"/>
      <sheetName val="CHART_OF_ACCOUNTS12"/>
      <sheetName val="Working_for_RCC12"/>
      <sheetName val="B185-B-9_112"/>
      <sheetName val="B185-B-9_212"/>
      <sheetName val="E-Bill_No_6_A-O12"/>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Elemental_Buildup11"/>
      <sheetName val="PointNo_511"/>
      <sheetName val="2_2)Revised_Cash_Flow11"/>
      <sheetName val="SS_MH12"/>
      <sheetName val="입찰내역_발주처_양식11"/>
      <sheetName val="Material_List_11"/>
      <sheetName val="LIST_DO_NOT_REMOVE10"/>
      <sheetName val="Index_List11"/>
      <sheetName val="Type_List11"/>
      <sheetName val="File_Types11"/>
      <sheetName val="Chiet_t11"/>
      <sheetName val="Staffing_and_Rates_IA11"/>
      <sheetName val="Project_Cost_Breakdown9"/>
      <sheetName val="PRECAST_lightconc-II13"/>
      <sheetName val="final_abstract13"/>
      <sheetName val="Staff_Acco_9"/>
      <sheetName val="TBAL9697_-group_wise__sdpl9"/>
      <sheetName val="Summary_of_Work9"/>
      <sheetName val="Employee_List9"/>
      <sheetName val="Рабочий_лист8"/>
      <sheetName val="B6_2_10"/>
      <sheetName val="Item-_Compact9"/>
      <sheetName val="E_&amp;_R9"/>
      <sheetName val="Annex_1_Sect_3a9"/>
      <sheetName val="Annex_1_Sect_3a_19"/>
      <sheetName val="Annex_1_Sect_3b9"/>
      <sheetName val="Annex_1_Sect_3c9"/>
      <sheetName val="HOURLY_RATES9"/>
      <sheetName val="SITE_WORK8"/>
      <sheetName val="d-safe_DELUXE8"/>
      <sheetName val="PT_141-_Site_A_Landscape8"/>
      <sheetName val="Rate_summary8"/>
      <sheetName val="RAB_AR&amp;STR8"/>
      <sheetName val="Back_up8"/>
      <sheetName val="train_cash8"/>
      <sheetName val="accom_cash8"/>
      <sheetName val="INDIGINEOUS_ITEMS_8"/>
      <sheetName val="Duct_Accesories8"/>
      <sheetName val="Mall_waterproofing8"/>
      <sheetName val="MSCP_waterproofing8"/>
      <sheetName val="????_???_??8"/>
      <sheetName val="Labour_&amp;_Plant8"/>
      <sheetName val="Ave_wtd_rates8"/>
      <sheetName val="Debits_as_on_12_04_088"/>
      <sheetName val="STAFFSCHED_8"/>
      <sheetName val="TRIAL_BALANCE8"/>
      <sheetName val="[SHOPLIST_xls][SHOPLIST_xls]710"/>
      <sheetName val="[SHOPLIST_xls]70,/0s«iÆøí¬i8"/>
      <sheetName val="Common_Variables8"/>
      <sheetName val="GPL_Revenu_Update8"/>
      <sheetName val="DO_NOT_TOUCH8"/>
      <sheetName val="Work_Type8"/>
      <sheetName val="PROJECT_BRIEF(EX_NEW)8"/>
      <sheetName val="AREA_OF_APPLICATION7"/>
      <sheetName val="Risk_Breakdown_Structure7"/>
      <sheetName val="Geneí¬_i7"/>
      <sheetName val="steel_total7"/>
      <sheetName val="ELE_BOQ7"/>
      <sheetName val="Z-_GENERAL_PRICE_SUMMARY4"/>
      <sheetName val="Resumo_Empreitadas4"/>
      <sheetName val="PPA_Summary4"/>
      <sheetName val="Mix_Design4"/>
      <sheetName val="%_prog_figs_-u5_and_total4"/>
      <sheetName val="_VWVU))tÏØ0__5"/>
      <sheetName val="Floor_Box_5"/>
      <sheetName val="Equipment_Rates3"/>
      <sheetName val="[SHOPLIST_xls]/VW3"/>
      <sheetName val="[SHOPLIST_xls]/VWVU))tÏØ0__8"/>
      <sheetName val="[SHOPLIST_xls]/VWVU))tÏØ0__9"/>
      <sheetName val="Cashflow_projection3"/>
      <sheetName val="[SHOPLIST_xls][SHOPLIST_xls]711"/>
      <sheetName val="E_H_-_H__W_P_3"/>
      <sheetName val="E__H__Treatment_for_pile_cap3"/>
      <sheetName val="[SHOPLIST_xls][SHOPLIST_xls][S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Dash_board3"/>
      <sheetName val="[SHOPLIST_xls]703"/>
      <sheetName val="[SHOPLIST_xls]70,3"/>
      <sheetName val="Base_BM-rebar3"/>
      <sheetName val="Materials_3"/>
      <sheetName val="Site_Dev_BOQ3"/>
      <sheetName val="Data_Sheet3"/>
      <sheetName val="tender_allowances3"/>
      <sheetName val="_Summary_BKG_0343"/>
      <sheetName val="BILL_3R3"/>
      <sheetName val="Area_Breakdown_PER_LEVEL_LINK3"/>
      <sheetName val="CF_Input3"/>
      <sheetName val="DATA_INPUT3"/>
      <sheetName val="Vordruck-Nr__7_1_3_D3"/>
      <sheetName val="M&amp;A_D3"/>
      <sheetName val="M&amp;A_E3"/>
      <sheetName val="M&amp;A_G3"/>
      <sheetName val="1_2_Staff_Schedule4"/>
      <sheetName val="Bill_103"/>
      <sheetName val="[SHOPLIST_xls]/VWVU))tÏØ0__14"/>
      <sheetName val="[SHOPLIST_xls]/VWVU))tÏØ0__23"/>
      <sheetName val="[SHOPLIST_xls]/VWVU))tÏØ0__33"/>
      <sheetName val="[SHOPLIST_xls]70,/0s«_iÆø_í¬_i3"/>
      <sheetName val="[SHOPLIST_xls]70?,/0?s«i?Æøí¬i3"/>
      <sheetName val="Labour_Costs3"/>
      <sheetName val="BLOCK-A_(MEA_SHEET)3"/>
      <sheetName val="Contract_Division1"/>
      <sheetName val="SubContract_Type1"/>
      <sheetName val="Service_Type1"/>
      <sheetName val="Cost_Heading"/>
      <sheetName val="D_&amp;_W_sizes"/>
      <sheetName val="SOPMA_DD"/>
      <sheetName val="PRICE_INFO"/>
      <sheetName val="RC_SUMMARY"/>
      <sheetName val="LABOUR_PRODUCTIVITY-TAV"/>
      <sheetName val="MATERIAL_PRICES"/>
      <sheetName val="P-100_MRF_DB_R1"/>
      <sheetName val="Attach_4-18"/>
      <sheetName val="_SHOPLIST_xls_70"/>
      <sheetName val="_SHOPLIST_xls_70,_0s«iÆøí¬i"/>
      <sheetName val="Ewaan_Show_Kitchen_(2)"/>
      <sheetName val="Cash_Flow_Working"/>
      <sheetName val="MN_T_B_"/>
      <sheetName val="Data_I_(2)"/>
      <sheetName val="rEFERENCES_"/>
      <sheetName val="Qtys_ZamZam_(Del__before)"/>
      <sheetName val="Qtys_Relocation_(Del_before)"/>
      <sheetName val="_Qtys_Sub_&amp;_Tents_(Del__before)"/>
      <sheetName val="Qtys__Signages_(Del__before)"/>
      <sheetName val="Qtys_Temporary_Passages_(Del)"/>
      <sheetName val="_Qtys_Ser__Rooms_(Del_before)"/>
      <sheetName val="Labour_Rate_"/>
      <sheetName val="2F_회의실견적(5_14_일대)"/>
      <sheetName val="_HIT-&gt;HMC_견적(3900)"/>
      <sheetName val="Appendix_B"/>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Rate_analysis14"/>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Contract_Division3"/>
      <sheetName val="SubContract_Type3"/>
      <sheetName val="Service_Type3"/>
      <sheetName val="Attach_4-182"/>
      <sheetName val="Area_Breakdown_PER_LEVEL_LINK5"/>
      <sheetName val="CF_Input5"/>
      <sheetName val="DATA_INPUT5"/>
      <sheetName val="Vordruck-Nr__7_1_3_D5"/>
      <sheetName val="M&amp;A_D5"/>
      <sheetName val="M&amp;A_E5"/>
      <sheetName val="M&amp;A_G5"/>
      <sheetName val="_SHOPLIST_xls_702"/>
      <sheetName val="_SHOPLIST_xls_70,_0s«iÆøí¬i2"/>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Contract_Division2"/>
      <sheetName val="SubContract_Type2"/>
      <sheetName val="Service_Type2"/>
      <sheetName val="Attach_4-181"/>
      <sheetName val="Area_Breakdown_PER_LEVEL_LINK4"/>
      <sheetName val="CF_Input4"/>
      <sheetName val="DATA_INPUT4"/>
      <sheetName val="Vordruck-Nr__7_1_3_D4"/>
      <sheetName val="M&amp;A_D4"/>
      <sheetName val="M&amp;A_E4"/>
      <sheetName val="M&amp;A_G4"/>
      <sheetName val="_SHOPLIST_xls_701"/>
      <sheetName val="_SHOPLIST_xls_70,_0s«iÆøí¬i1"/>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_SHOPLIST_xls_703"/>
      <sheetName val="_SHOPLIST_xls_70,_0s«iÆøí¬i3"/>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AOP Summary-2"/>
      <sheetName val="02"/>
      <sheetName val="03"/>
      <sheetName val="04"/>
      <sheetName val="01"/>
      <sheetName val="钢筋"/>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BOQ_(2)"/>
      <sheetName val="LABOUR_RATE"/>
      <sheetName val="Material_Rate"/>
      <sheetName val="Labor_abs-PW"/>
      <sheetName val="Labor_abs-NMR"/>
      <sheetName val="kppl_pl"/>
      <sheetName val="Basic_Rates"/>
      <sheetName val="Combined_Results_"/>
      <sheetName val="Div_07_Thermal_&amp;_Moisture"/>
      <sheetName val="precast_RC_element"/>
      <sheetName val="pile_Fabrication"/>
      <sheetName val="AOP_Summary-2"/>
      <sheetName val="May_05"/>
      <sheetName val="April_05"/>
      <sheetName val="Aug_05"/>
      <sheetName val="July_05"/>
      <sheetName val="June_05"/>
      <sheetName val="Nov_05"/>
      <sheetName val="Oct_05"/>
      <sheetName val="Sep_05"/>
      <sheetName val="Data_Validation"/>
      <sheetName val="Div26_-_Elect"/>
      <sheetName val="CHUNG_CU_CARRILON"/>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P-Sum-Cab"/>
      <sheetName val="[SHOPLIST.xls]/VWVU))tÏØ0__8"/>
      <sheetName val="[SHOPLIST.xls]/VWVU))tÏØ0__9"/>
      <sheetName val="Rates for public areas"/>
      <sheetName val="Laundry"/>
      <sheetName val="S"/>
      <sheetName val="EE-PROP"/>
      <sheetName val="ARBQ"/>
      <sheetName val="主材价格"/>
      <sheetName val="_SHOPLIST.xls__SHOPLIST.xls_70"/>
      <sheetName val="_SHOPLIST.xls__SHOPLIST.xls_70,"/>
      <sheetName val="Geneí¬_x0008_i_x000"/>
      <sheetName val="各楼量单项组价及与DAR单价对比"/>
      <sheetName val="70_,_0_s«_x0008_i_Æø_x0003_í¬_x"/>
      <sheetName val="_SHOPLIST.xls__SHOPLIST.xls_70_"/>
      <sheetName val="____ ___ __"/>
      <sheetName val="Qty-UG"/>
      <sheetName val="70,/0s«iÆøí¬"/>
      <sheetName val="GENERAL SUMMARY"/>
      <sheetName val="PRELIMINARIES"/>
      <sheetName val="SITE WORKS"/>
      <sheetName val="MASONRY"/>
      <sheetName val="METAL"/>
      <sheetName val="WOOD WORK"/>
      <sheetName val="THERMAL &amp; MOISTURE "/>
      <sheetName val="DOORS &amp; WINDOWS"/>
      <sheetName val="FINISHES"/>
      <sheetName val="SPECIALITIES"/>
      <sheetName val="ELECTRICAL"/>
      <sheetName val="MECHANICAL"/>
      <sheetName val="Additional Items"/>
      <sheetName val="Estimate_for_approval"/>
      <sheetName val="ce"/>
      <sheetName val="DDL"/>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B2-DV No.02"/>
      <sheetName val="HWDG"/>
      <sheetName val="SCHEDULE"/>
      <sheetName val="Recon Template"/>
      <sheetName val="Finansal_tamamlanma_Eğrisi"/>
      <sheetName val="New_Bld"/>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L3-WBS Mapping"/>
      <sheetName val="BAFO CCL Submission"/>
      <sheetName val="[SHOPLIST.xls][SHOPLIST.xls]/VW"/>
      <sheetName val="4"/>
      <sheetName val="Core Data"/>
      <sheetName val="_SHOPLIST_xls__SHOPLIST_xls_70"/>
      <sheetName val="_SHOPLIST_xls__SHOPLIST_xls_70,"/>
      <sheetName val="70,_0"/>
      <sheetName val="_x005"/>
      <sheetName val="Geneí¬i_x000"/>
      <sheetName val="70_,_0_s«i_Æøí¬_x"/>
      <sheetName val="_SHOPLIST_xls__SHOPLIST_xls_70_"/>
      <sheetName val="___________"/>
      <sheetName val="Sec__A-PQ"/>
      <sheetName val="Preamble_B"/>
      <sheetName val="Sec__C-Dayworks"/>
      <sheetName val="d5_"/>
      <sheetName val="70,/0s«i_x"/>
      <sheetName val="2_Plex"/>
      <sheetName val="Sheet1_(2)"/>
      <sheetName val="4_Plex"/>
      <sheetName val="6_Plex_"/>
      <sheetName val="Detailed_Summary"/>
      <sheetName val="Sheet1_(3)"/>
      <sheetName val="Sheet1_(4)"/>
      <sheetName val="HB_CEC_schd_4_2"/>
      <sheetName val="HB_CEC_schd_4_3"/>
      <sheetName val="HB_CEC_schd_5_2"/>
      <sheetName val="HB_CEC_schd_6_2"/>
      <sheetName val="HB_CEC_schd_7_2"/>
      <sheetName val="HB_CEC_schd_9_2"/>
      <sheetName val="Doha_Farm"/>
      <sheetName val="Dropdown_List"/>
      <sheetName val="Asset_Allocation_(CR)"/>
      <sheetName val="Project_Benchmarking"/>
      <sheetName val="1_-_Main_Building"/>
      <sheetName val="1_-_Summary"/>
      <sheetName val="2_-_Landscaping_Works"/>
      <sheetName val="2_-_Summary"/>
      <sheetName val="4_-_Bldg_Infra"/>
      <sheetName val="4_-_Summary"/>
      <sheetName val="Dashboard_(1)"/>
      <sheetName val="VO_Agreed_to_Unifier_Sum"/>
      <sheetName val="VO_Not_yet_Agreed_to_Unifier"/>
      <sheetName val="VO_Anticipated_to_Unifier"/>
      <sheetName val="EW_to_Unifier"/>
      <sheetName val="Prov_Sums"/>
      <sheetName val="Other_Amounts"/>
      <sheetName val="Status_Summary"/>
      <sheetName val="GAE8'97"/>
      <sheetName val="Overall"/>
      <sheetName val="税费"/>
      <sheetName val="Sump"/>
      <sheetName val="ConferenceCentre_옰ʒ䄂ʒ鵠ʐ䄂ʒ閐̐脭め_x"/>
      <sheetName val="_SHOPLIST.xls__VW"/>
      <sheetName val="Geneí¬_x005f_x005f_x005f_x005f_"/>
      <sheetName val="70_x005f_x005f_x005f_x005f_x005"/>
      <sheetName val="70,_0s«_iÆø_í¬_i"/>
      <sheetName val="_SHOPLIST_xls_70,_0s«iÆøí¬"/>
      <sheetName val="___________1"/>
      <sheetName val="ConferenceCentre_옰ʒ䄂ʒ鵠ʐ䄂ʒ閐̐脭め"/>
      <sheetName val="_SHOPLIST.xls_70,"/>
      <sheetName val="_SHOPLIST_xls_70,_0s«_iÆø_í¬"/>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Bill No.1"/>
      <sheetName val="[SHOPLIST.xls]70,/0s«iÆøí¬"/>
      <sheetName val="Section_by_layers_old"/>
      <sheetName val="Steel-Circular"/>
      <sheetName val="Backup"/>
      <sheetName val="Other Cost Norms"/>
      <sheetName val="Ref Arch"/>
      <sheetName val="T&amp;M"/>
      <sheetName val="Quotation FM administration"/>
      <sheetName val="Quotation"/>
      <sheetName val="Quotation Visitor and Sec"/>
      <sheetName val="Service Charge"/>
      <sheetName val="Edwards"/>
      <sheetName val="CABLES "/>
      <sheetName val="Quotation Offices 108,9,10,11)"/>
      <sheetName val="Quotation modification"/>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BOQ.1.92"/>
      <sheetName val="Build-up"/>
      <sheetName val="[SHOPLIST.xls][SH"/>
      <sheetName val="70,/0s«iÆøí¬i1"/>
      <sheetName val="70,/0s«_iÆø_í¬"/>
      <sheetName val="[SHOPLIST.xls]70_"/>
      <sheetName val="70,/0s«iÆøí¬i2"/>
      <sheetName val="70,/0s«iÆøí¬i3"/>
      <sheetName val="[SHOPLIST_xls]70_"/>
      <sheetName val="[SHOPLIST_xls][SH"/>
      <sheetName val="piedathot"/>
      <sheetName val="projcasflo"/>
      <sheetName val="supdata"/>
      <sheetName val="devbud"/>
      <sheetName val="Pivots"/>
      <sheetName val="Basic Rate"/>
      <sheetName val="MASTER_RATE ANALYSIS"/>
      <sheetName val="BQLIST"/>
      <sheetName val="Specialist"/>
      <sheetName val="Manpower"/>
      <sheetName val="Deliverables"/>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P1926-H2B Pkg 2A&amp;2B"/>
      <sheetName val="P1940-H2B Pkg 1 Guestrooms"/>
      <sheetName val="P1929-DHCT"/>
      <sheetName val="May_052"/>
      <sheetName val="April_052"/>
      <sheetName val="Aug_052"/>
      <sheetName val="July_052"/>
      <sheetName val="June_052"/>
      <sheetName val="Nov_052"/>
      <sheetName val="Oct_052"/>
      <sheetName val="Sep_052"/>
      <sheetName val="New_Bld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HB_CEC_schd_4_21"/>
      <sheetName val="HB_CEC_schd_4_31"/>
      <sheetName val="HB_CEC_schd_5_21"/>
      <sheetName val="HB_CEC_schd_6_21"/>
      <sheetName val="HB_CEC_schd_7_21"/>
      <sheetName val="HB_CEC_schd_9_21"/>
      <sheetName val="Doha_Farm1"/>
      <sheetName val="Dropdown_List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_SHOPLIST_xls__SHOPLIST_xls_701"/>
      <sheetName val="_SHOPLIST_xls__SHOPLIST_xls_702"/>
      <sheetName val="_SHOPLIST_xls__SHOPLIST_xls_703"/>
      <sheetName val="[SHOPLIST_xls]/VWVU))tÏØ0__61"/>
      <sheetName val="Sheet_Index"/>
      <sheetName val="Balance_Sheet"/>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Summary_"/>
      <sheetName val="B04-A_-_DIA_SUDEER"/>
      <sheetName val="04D_-_Tanmyat"/>
      <sheetName val="13-_B04-B_&amp;_C"/>
      <sheetName val="_SITE_09_B04-B&amp;C-AFAQ"/>
      <sheetName val="ICM"/>
      <sheetName val="CPA33-34"/>
      <sheetName val="Indices"/>
      <sheetName val="conc-foot-gradeslab"/>
      <sheetName val="Process"/>
      <sheetName val="Refinery"/>
      <sheetName val="Fructose"/>
      <sheetName val="Utilities"/>
      <sheetName val="Pipesizes"/>
      <sheetName val="Gene��_x0008_i"/>
      <sheetName val="Top_sh"/>
      <sheetName val="Validation"/>
      <sheetName val="MAIN SUMMARY"/>
      <sheetName val="Abs PMRL"/>
      <sheetName val="Rate_analysis15"/>
      <sheetName val="Div 10-Specialities "/>
      <sheetName val="MALE &amp; FEMALE "/>
      <sheetName val="STAFF"/>
      <sheetName val="DISABLE"/>
      <sheetName val="VIP"/>
      <sheetName val="ABLUTION"/>
      <sheetName val="JANITOR"/>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집계표"/>
      <sheetName val="개시대사 (2)"/>
      <sheetName val="Wordsdata"/>
      <sheetName val="TABLO-3"/>
      <sheetName val="Transport"/>
      <sheetName val="Indirect"/>
      <sheetName val="Contractor Application"/>
      <sheetName val="08 MEP Summary"/>
      <sheetName val="03B1"/>
      <sheetName val="03B2"/>
      <sheetName val="Addnl works"/>
      <sheetName val="VARIATIONS"/>
      <sheetName val="B3. Material on Site-Detail"/>
      <sheetName val="IO"/>
      <sheetName val="FAL intern"/>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Electrical_database"/>
      <sheetName val="Micro"/>
      <sheetName val="L (4)"/>
      <sheetName val="/VWVU))"/>
      <sheetName val="701"/>
      <sheetName val="70,1"/>
      <sheetName val="[SHOPLIST_xls][S1"/>
      <sheetName val="702"/>
      <sheetName val="70,2"/>
      <sheetName val="[SHOPLIST_xls][S2"/>
      <sheetName val="Master data"/>
      <sheetName val="[SHOPLIST_xls]/VWVU))tÏØ0  "/>
      <sheetName val="Staff OLD "/>
      <sheetName val="[SHOPLIST.xls]/VWVU))tÏØ0__10"/>
      <sheetName val="[SHOPLIST.xls]/VWVU))tÏØ0__11"/>
      <sheetName val="Appendix-A -GRAND SUMMARY"/>
      <sheetName val="D9 (New Rate)"/>
      <sheetName val="المعادلات"/>
      <sheetName val="Grand Summary "/>
      <sheetName val="Bill No.01 - GI "/>
      <sheetName val="combined "/>
      <sheetName val="summary-Optional "/>
      <sheetName val="B14.02 "/>
      <sheetName val="B21"/>
      <sheetName val="B22"/>
      <sheetName val="B27"/>
      <sheetName val="Prov.Sum "/>
      <sheetName val="pile_Fabrication2"/>
      <sheetName val="Finansal_tamamlanma_Eğrisi2"/>
      <sheetName val="Dropdown_List2"/>
      <sheetName val="HB_CEC_schd_4_22"/>
      <sheetName val="HB_CEC_schd_4_32"/>
      <sheetName val="HB_CEC_schd_5_22"/>
      <sheetName val="HB_CEC_schd_6_22"/>
      <sheetName val="HB_CEC_schd_7_22"/>
      <sheetName val="HB_CEC_schd_9_22"/>
      <sheetName val="precast_RC_element2"/>
      <sheetName val="New_Bld2"/>
      <sheetName val="Doha_Farm2"/>
      <sheetName val="Joseph Record"/>
      <sheetName val="Cumulative Rail "/>
      <sheetName val="Portfolio List"/>
      <sheetName val="B-3_2_EB"/>
      <sheetName val="Trade_Summary"/>
      <sheetName val="[SHOPLIST_xls]/VWVU))tÏØ0__71"/>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NSTRUCTION_COMPONENT"/>
      <sheetName val="Account Codes"/>
      <sheetName val="2gii"/>
      <sheetName val="Initial Data"/>
      <sheetName val="Package Status"/>
      <sheetName val="3"/>
      <sheetName val=" Estimate  "/>
      <sheetName val="Equip."/>
      <sheetName val="Book1"/>
      <sheetName val="6.2 Floor Finishes"/>
      <sheetName val="PLUMBING WORK ADDITIONS"/>
      <sheetName val="예가표"/>
      <sheetName val="[SHOPLIST.xls]70___0_s__i_____2"/>
      <sheetName val="Ledger"/>
      <sheetName val="Data "/>
      <sheetName val="TBEAM"/>
      <sheetName val="[SHOPLIST.xls]70_x005f_x0000_,/0_x000"/>
      <sheetName val="SI 22"/>
      <sheetName val="TO List"/>
      <sheetName val="Qualifications"/>
      <sheetName val="CCTV DATA"/>
      <sheetName val="_SHOPLIST_xls_70,_0_x000"/>
      <sheetName val="CIF_COST_ITEM"/>
      <sheetName val="Comp_equip"/>
      <sheetName val="Contractor_Application"/>
      <sheetName val="General_Summary"/>
      <sheetName val="08_MEP_Summary"/>
      <sheetName val="Addnl_works"/>
      <sheetName val="B3__Material_on_Site-Detail"/>
      <sheetName val="Rates_for_public_areas"/>
      <sheetName val="SLHW"/>
      <sheetName val="Div Summary"/>
      <sheetName val="ConferenceCentre_옰ʒ䄂ʒ鵠ʐ䄂ʒ閐̐脭め_x0005_"/>
      <sheetName val="Detail Page"/>
      <sheetName val="_board7"/>
      <sheetName val="_boaboard (1)"/>
      <sheetName val="BUAs and Sales Forecast"/>
      <sheetName val="Lagoons Breakdown Prices"/>
      <sheetName val="Cover HW Z2 "/>
      <sheetName val="TOTAL WORK"/>
      <sheetName val="part 3"/>
      <sheetName val="pile Length for Easter fence"/>
      <sheetName val="BORDGC"/>
      <sheetName val="GFA_HQ_Building31"/>
      <sheetName val="GFA_Conference30"/>
      <sheetName val="BQ_External30"/>
      <sheetName val="Penthouse_Apartment29"/>
      <sheetName val="StattCo_yCharges29"/>
      <sheetName val="LABOUR_HISTOGRAM30"/>
      <sheetName val="Chiet_tinh_dz2229"/>
      <sheetName val="Chiet_tinh_dz3529"/>
      <sheetName val="CT_Thang_Mo29"/>
      <sheetName val="Raw_Data29"/>
      <sheetName val="Graph_Data_(DO_NOT_PRINT)29"/>
      <sheetName val="@risk_rents_and_incentives29"/>
      <sheetName val="Car_park_lease29"/>
      <sheetName val="Net_rent_analysis29"/>
      <sheetName val="Poz-1_29"/>
      <sheetName val="Lab_Cum_Hist29"/>
      <sheetName val="CT__PL28"/>
      <sheetName val="budget_summary_(2)28"/>
      <sheetName val="Budget_Analysis_Summary28"/>
      <sheetName val="Projet,_methodes_&amp;_couts28"/>
      <sheetName val="Risques_majeurs_&amp;_Frais_Ind_28"/>
      <sheetName val="FOL_-_Bar29"/>
      <sheetName val="LEVEL_SHEET29"/>
      <sheetName val="Top_sheet28"/>
      <sheetName val="SPT_vs_PHI29"/>
      <sheetName val="Bill_No__229"/>
      <sheetName val="Tender_Summary29"/>
      <sheetName val="Insurance_Ext29"/>
      <sheetName val="Rate_analysis16"/>
      <sheetName val="Customize_Your_Invoice29"/>
      <sheetName val="HVAC_BoQ29"/>
      <sheetName val="intr_stool_brkup28"/>
      <sheetName val="Body_Sheet28"/>
      <sheetName val="1_0_Executive_Summary28"/>
      <sheetName val="Bill_227"/>
      <sheetName val="Ap_A26"/>
      <sheetName val="SHOPLIST_xls25"/>
      <sheetName val="2_Div_14_26"/>
      <sheetName val="PROJECT_BRIEF26"/>
      <sheetName val="Invoice_Summary25"/>
      <sheetName val="Bill_126"/>
      <sheetName val="Bill_326"/>
      <sheetName val="Bill_426"/>
      <sheetName val="Bill_526"/>
      <sheetName val="Bill_626"/>
      <sheetName val="Bill_726"/>
      <sheetName val="POWER_ASSUMPTIONS25"/>
      <sheetName val="beam-reinft-IIInd_floor25"/>
      <sheetName val="beam-reinft-machine_rm25"/>
      <sheetName val="Dubai_golf25"/>
      <sheetName val="WITHOUT_C&amp;I_PROFIT_(3)24"/>
      <sheetName val="DETAILED__BOQ22"/>
      <sheetName val="M-Book_for_Conc22"/>
      <sheetName val="M-Book_for_FW22"/>
      <sheetName val="C_(3)26"/>
      <sheetName val="Civil_Boq24"/>
      <sheetName val="Activity_List24"/>
      <sheetName val="HIRED_LABOUR_CODE22"/>
      <sheetName val="PA-_Consutant_22"/>
      <sheetName val="foot-slab_reinft22"/>
      <sheetName val="BILL_COV22"/>
      <sheetName val="Ra__stair22"/>
      <sheetName val="Softscape_Buildup24"/>
      <sheetName val="Mat'l_Rate24"/>
      <sheetName val="Materials_Cost(PCC)21"/>
      <sheetName val="India_F&amp;S_Template21"/>
      <sheetName val="IO_LIST21"/>
      <sheetName val="Material_21"/>
      <sheetName val="Quote_Sheet21"/>
      <sheetName val="Day_work21"/>
      <sheetName val="VALVE_CHAMBERS21"/>
      <sheetName val="Fire_Hydrants21"/>
      <sheetName val="B_GATE_VALVE21"/>
      <sheetName val="Sub_G1_Fire21"/>
      <sheetName val="Sub_G12_Fire21"/>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Eq__Mobilization20"/>
      <sheetName val="w't_table19"/>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BOQ_Direct_selling_cost21"/>
      <sheetName val="Elemental_Buildup19"/>
      <sheetName val="CHART_OF_ACCOUNTS20"/>
      <sheetName val="Working_for_RCC20"/>
      <sheetName val="B185-B-9_120"/>
      <sheetName val="B185-B-9_220"/>
      <sheetName val="Material_List_19"/>
      <sheetName val="E-Bill_No_6_A-O20"/>
      <sheetName val="PointNo_519"/>
      <sheetName val="Index_List19"/>
      <sheetName val="Type_List19"/>
      <sheetName val="File_Types19"/>
      <sheetName val="2_2)Revised_Cash_Flow19"/>
      <sheetName val="Summary_of_Work17"/>
      <sheetName val="입찰내역_발주처_양식19"/>
      <sheetName val="B09_120"/>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PMWeb_data20"/>
      <sheetName val="SS_MH20"/>
      <sheetName val="LIST_DO_NOT_REMOVE18"/>
      <sheetName val="Employee_List17"/>
      <sheetName val="/VWVU))tÏØ0__20"/>
      <sheetName val="B6_2_18"/>
      <sheetName val="Chiet_t19"/>
      <sheetName val="Staffing_and_Rates_IA19"/>
      <sheetName val="SITE_WORK16"/>
      <sheetName val="PRECAST_lightconc-II21"/>
      <sheetName val="final_abstract21"/>
      <sheetName val="Item-_Compact17"/>
      <sheetName val="E_&amp;_R17"/>
      <sheetName val="Staff_Acco_17"/>
      <sheetName val="TBAL9697_-group_wise__sdpl17"/>
      <sheetName val="Рабочий_лист16"/>
      <sheetName val="Project_Cost_Breakdown17"/>
      <sheetName val="Duct_Accesories16"/>
      <sheetName val="Rate_summary16"/>
      <sheetName val="Back_up16"/>
      <sheetName val="PT_141-_Site_A_Landscape16"/>
      <sheetName val="Annex_1_Sect_3a17"/>
      <sheetName val="Annex_1_Sect_3a_117"/>
      <sheetName val="Annex_1_Sect_3b17"/>
      <sheetName val="Annex_1_Sect_3c17"/>
      <sheetName val="HOURLY_RATES17"/>
      <sheetName val="RAB_AR&amp;STR16"/>
      <sheetName val="????_???_??16"/>
      <sheetName val="INDIGINEOUS_ITEMS_16"/>
      <sheetName val="d-safe_DELUXE16"/>
      <sheetName val="Common_Variables16"/>
      <sheetName val="[SHOPLIST_xls][SHOPLIST_xls]726"/>
      <sheetName val="Labour_&amp;_Plant16"/>
      <sheetName val="Geneí¬_i15"/>
      <sheetName val="train_cash16"/>
      <sheetName val="accom_cash16"/>
      <sheetName val="[SHOPLIST_xls]70,/0s«iÆøí¬i16"/>
      <sheetName val="Mall_waterproofing16"/>
      <sheetName val="MSCP_waterproofing16"/>
      <sheetName val="Ave_wtd_rates16"/>
      <sheetName val="Debits_as_on_12_04_0816"/>
      <sheetName val="STAFFSCHED_16"/>
      <sheetName val="TRIAL_BALANCE16"/>
      <sheetName val="GPL_Revenu_Update16"/>
      <sheetName val="DO_NOT_TOUCH16"/>
      <sheetName val="Work_Type16"/>
      <sheetName val="steel_total15"/>
      <sheetName val="ELE_BOQ15"/>
      <sheetName val="Cashflow_projection11"/>
      <sheetName val="PROJECT_BRIEF(EX_NEW)16"/>
      <sheetName val="[SHOPLIST_xls]7011"/>
      <sheetName val="[SHOPLIST_xls]70,11"/>
      <sheetName val="Base_BM-rebar11"/>
      <sheetName val="Floor_Box_13"/>
      <sheetName val="[SHOPLIST_xls][SHOPLIST_xls][11"/>
      <sheetName val="AREA_OF_APPLICATION15"/>
      <sheetName val="[SHOPLIST_xls]/VW11"/>
      <sheetName val="[SHOPLIST_xls]/VWVU))tÏØ0__55"/>
      <sheetName val="[SHOPLIST_xls]/VWVU))tÏØ0__56"/>
      <sheetName val="Risk_Breakdown_Structure15"/>
      <sheetName val="Resumo_Empreitadas12"/>
      <sheetName val="%_prog_figs_-u5_and_total12"/>
      <sheetName val="_VWVU))tÏØ0__13"/>
      <sheetName val="Service_Type9"/>
      <sheetName val="Contract_Division9"/>
      <sheetName val="SubContract_Type9"/>
      <sheetName val="_SHOPLIST_xls_708"/>
      <sheetName val="_SHOPLIST_xls_70,_0s«iÆøí¬i8"/>
      <sheetName val="PPA_Summary12"/>
      <sheetName val="Mix_Design12"/>
      <sheetName val="Equipment_Rates11"/>
      <sheetName val="Z-_GENERAL_PRICE_SUMMARY12"/>
      <sheetName val="Site_Dev_BOQ11"/>
      <sheetName val="[SHOPLIST_xls][SHOPLIST_xls]727"/>
      <sheetName val="E_H_-_H__W_P_11"/>
      <sheetName val="E__H__Treatment_for_pile_cap11"/>
      <sheetName val="Area_Breakdown_PER_LEVEL_LINK11"/>
      <sheetName val="CF_Input11"/>
      <sheetName val="DATA_INPUT11"/>
      <sheetName val="Vordruck-Nr__7_1_3_D11"/>
      <sheetName val="M&amp;A_D11"/>
      <sheetName val="M&amp;A_E11"/>
      <sheetName val="M&amp;A_G11"/>
      <sheetName val="Materials_11"/>
      <sheetName val="Form_611"/>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1_2_Staff_Schedule12"/>
      <sheetName val="Attach_4-188"/>
      <sheetName val="BLOCK-A_(MEA_SHEET)11"/>
      <sheetName val="Data_I_(2)8"/>
      <sheetName val="rEFERENCES_8"/>
      <sheetName val="Labour_Rate_8"/>
      <sheetName val="Bill_1011"/>
      <sheetName val="Data_Sheet11"/>
      <sheetName val="Cost_Heading8"/>
      <sheetName val="D_&amp;_W_sizes8"/>
      <sheetName val="SOPMA_DD8"/>
      <sheetName val="Labour_Costs11"/>
      <sheetName val="Data_Validation2"/>
      <sheetName val="Div26_-_Elect2"/>
      <sheetName val="CHUNG_CU_CARRILON2"/>
      <sheetName val="Qtys_ZamZam_(Del__before)8"/>
      <sheetName val="Qtys_Relocation_(Del_before)8"/>
      <sheetName val="_Qtys_Sub_&amp;_Tents_(Del__before8"/>
      <sheetName val="Qtys__Signages_(Del__before)8"/>
      <sheetName val="Qtys_Temporary_Passages_(Del)8"/>
      <sheetName val="_Qtys_Ser__Rooms_(Del_before)8"/>
      <sheetName val="Dash_board11"/>
      <sheetName val="tender_allowances11"/>
      <sheetName val="_Summary_BKG_03411"/>
      <sheetName val="BILL_3R11"/>
      <sheetName val="2F_회의실견적(5_14_일대)4"/>
      <sheetName val="_HIT-&gt;HMC_견적(3900)4"/>
      <sheetName val="Ewaan_Show_Kitchen_(2)8"/>
      <sheetName val="Cash_Flow_Working8"/>
      <sheetName val="P-100_MRF_DB_R18"/>
      <sheetName val="Appendix_B4"/>
      <sheetName val="[SHOPLIST_xls]/VWVU))tÏØ0__57"/>
      <sheetName val="[SHOPLIST_xls]/VWVU))tÏØ0__58"/>
      <sheetName val="PRICE_INFO8"/>
      <sheetName val="RC_SUMMARY8"/>
      <sheetName val="LABOUR_PRODUCTIVITY-TAV8"/>
      <sheetName val="MATERIAL_PRICES8"/>
      <sheetName val="MN_T_B_8"/>
      <sheetName val="May_053"/>
      <sheetName val="April_053"/>
      <sheetName val="Aug_053"/>
      <sheetName val="July_053"/>
      <sheetName val="June_053"/>
      <sheetName val="Nov_053"/>
      <sheetName val="Oct_053"/>
      <sheetName val="Sep_053"/>
      <sheetName val="BOQ_(2)2"/>
      <sheetName val="LABOUR_RATE2"/>
      <sheetName val="Material_Rate2"/>
      <sheetName val="Labor_abs-PW2"/>
      <sheetName val="Labor_abs-NMR2"/>
      <sheetName val="kppl_pl2"/>
      <sheetName val="Basic_Rates2"/>
      <sheetName val="Combined_Results_2"/>
      <sheetName val="[SHOPLIST_xls]/VWVU))tÏØ0__59"/>
      <sheetName val="[SHOPLIST_xls]70,/0s«_iÆø_í¬_11"/>
      <sheetName val="[SHOPLIST_xls]70?,/0?s«i?Æøí¬11"/>
      <sheetName val="[SHOPLIST_xls][SHOPLIST_xls]728"/>
      <sheetName val="B-3_2_EB1"/>
      <sheetName val="Div_07_Thermal_&amp;_Moisture2"/>
      <sheetName val="1_-_Main_Building2"/>
      <sheetName val="1_-_Summary2"/>
      <sheetName val="2_-_Landscaping_Works2"/>
      <sheetName val="2_-_Summary2"/>
      <sheetName val="4_-_Bldg_Infra2"/>
      <sheetName val="4_-_Summary2"/>
      <sheetName val="Trade_Summary1"/>
      <sheetName val="2_Plex2"/>
      <sheetName val="Sheet1_(2)2"/>
      <sheetName val="4_Plex2"/>
      <sheetName val="6_Plex_2"/>
      <sheetName val="Detailed_Summary2"/>
      <sheetName val="Sheet1_(3)2"/>
      <sheetName val="Sheet1_(4)2"/>
      <sheetName val="Summary_1"/>
      <sheetName val="B04-A_-_DIA_SUDEER1"/>
      <sheetName val="04D_-_Tanmyat1"/>
      <sheetName val="13-_B04-B_&amp;_C1"/>
      <sheetName val="_SITE_09_B04-B&amp;C-AFAQ1"/>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Sheet_Index1"/>
      <sheetName val="[SHOPLIST_xls]/VWVU))tÏØ0__60"/>
      <sheetName val="Status_Summary2"/>
      <sheetName val="[SHOPLIST_xls]/VWVU))tÏØ0__62"/>
      <sheetName val="[SHOPLIST_xls]/VWVU))tÏØ0__63"/>
      <sheetName val="[SHOPLIST_xls]/VWVU))tÏØ0__72"/>
      <sheetName val="Sec__A-PQ2"/>
      <sheetName val="Preamble_B2"/>
      <sheetName val="Sec__C-Dayworks2"/>
      <sheetName val="d5_2"/>
      <sheetName val="AOP_Summary-23"/>
      <sheetName val="CONSTRUCTION_COMPONENT1"/>
      <sheetName val="Balance_Sheet1"/>
      <sheetName val="New_Rates1"/>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Dashboard_(1)2"/>
      <sheetName val="VO_Agreed_to_Unifier_Sum2"/>
      <sheetName val="VO_Not_yet_Agreed_to_Unifier2"/>
      <sheetName val="VO_Anticipated_to_Unifier2"/>
      <sheetName val="EW_to_Unifier2"/>
      <sheetName val="Prov_Sums2"/>
      <sheetName val="Other_Amounts2"/>
      <sheetName val="Asset_Allocation_(CR)2"/>
      <sheetName val="Project_Benchmarking2"/>
      <sheetName val="[SHOPLIST_xls][SHOPLIST_xls]/VW"/>
      <sheetName val="Recon_Template"/>
      <sheetName val="Estimate_for_approval1"/>
      <sheetName val="CIF_COST_ITEM1"/>
      <sheetName val="Rates_for_public_areas1"/>
      <sheetName val="[SHOPLIST_xls]/VWVU))tÏØ0__81"/>
      <sheetName val="[SHOPLIST_xls]/VWVU))tÏØ0__91"/>
      <sheetName val="Core_Data"/>
      <sheetName val="P1926-H2B_Pkg_2A&amp;2B"/>
      <sheetName val="P1940-H2B_Pkg_1_Guestrooms"/>
      <sheetName val="[SHOPLIST_xls][SH1"/>
      <sheetName val="[SHOPLIST_xls]70_1"/>
      <sheetName val="Drop_Down_Data"/>
      <sheetName val="Rules_"/>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_SHOPLIST_xls__SHOPLIST_xls_704"/>
      <sheetName val="_SHOPLIST_xls__SHOPLIST_xls_705"/>
      <sheetName val="quotation_"/>
      <sheetName val="Bill_5_-_Carpark"/>
      <sheetName val="BOQ_-_summary__3"/>
      <sheetName val="NKSC_thue"/>
      <sheetName val="05__Data_Cash_Flow"/>
      <sheetName val="MTO_REV_2(ARMOR)"/>
      <sheetName val="L3-WBS_Mapping"/>
      <sheetName val="BAFO_CCL_Submission"/>
      <sheetName val="Abs_PMRL"/>
      <sheetName val="Master_data"/>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Comp_equip1"/>
      <sheetName val="[SHOPLIST_xls]70,/0s«i_x"/>
      <sheetName val="Basic_Rate"/>
      <sheetName val="MASTER_RATE_ANALYSIS"/>
      <sheetName val="_SHOPLIST_xls__SHOPLIST_xls_706"/>
      <sheetName val="___________2"/>
      <sheetName val="MAIN_SUMMARY"/>
      <sheetName val="[SHOPLIST_xls]/VWVU))tÏØ0__64"/>
      <sheetName val="[SHOPLIST_xls]/VWVU))tÏØ0__65"/>
      <sheetName val="6_2_Floor_Finishes"/>
      <sheetName val="개시대사_(2)"/>
      <sheetName val="BOQ_1_92"/>
      <sheetName val="B2-DV_No_02"/>
      <sheetName val="SITE_WORKS"/>
      <sheetName val="WOOD_WORK"/>
      <sheetName val="THERMAL_&amp;_MOISTURE_"/>
      <sheetName val="DOORS_&amp;_WINDOWS"/>
      <sheetName val="Additional_Items"/>
      <sheetName val="L_(4)"/>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Geneí¬_i_0"/>
      <sheetName val="70,_0s«_iÆ"/>
      <sheetName val="_SHOPLIST_xls__VWVU_x0"/>
      <sheetName val="_SHOPLIST_xls_70,"/>
      <sheetName val="_SHOPLIST_xls__VW"/>
      <sheetName val="_SHOPLIST_xls__VWVU))tÏØ0__"/>
      <sheetName val="_SHOPLIST_xls__VWVU))tÏØ0__1"/>
      <sheetName val="_SHOPLIST_xls__SHOPLIST_xls__SH"/>
      <sheetName val="_SHOPLIST_xls__VWVU))tÏØ0__11"/>
      <sheetName val="_SHOPLIST_xls__VWVU))tÏØ0__2"/>
      <sheetName val="_SHOPLIST_xls__VWVU))tÏØ0__3"/>
      <sheetName val="_SHOPLIST_xls_70,_0s«_iÆø_í¬_i"/>
      <sheetName val="_SHOPLIST_xls_70_,_0_s«i_Æøí¬i_"/>
      <sheetName val="_SHOPLIST_xls__VWVU))tÏØ0__4"/>
      <sheetName val="Ref_Arch"/>
      <sheetName val="Data_"/>
      <sheetName val="TB_ALJADA"/>
      <sheetName val="Plot_Area"/>
      <sheetName val="Closing_entries"/>
      <sheetName val="Executive_Summary"/>
      <sheetName val="Sales_Tracking_Report_(STR)"/>
      <sheetName val="Blocking_Tracking_Report_(BTR)"/>
      <sheetName val="Cumulative_Rail_"/>
      <sheetName val="[SHOPLIST_xls]/VWVU))tÏØ0__66"/>
      <sheetName val="Staff_OLD_"/>
      <sheetName val="Contractor_Application1"/>
      <sheetName val="08_MEP_Summary1"/>
      <sheetName val="Addnl_works1"/>
      <sheetName val="B3__Material_on_Site-Detail1"/>
      <sheetName val="[SHOPLIST_xls]70_x005f_x0000_,/0_x000"/>
      <sheetName val="Grand_Summary_"/>
      <sheetName val="Bill_No_01_-_GI_"/>
      <sheetName val="combined_"/>
      <sheetName val="summary-Optional_"/>
      <sheetName val="B14_02_"/>
      <sheetName val="Prov_Sum_"/>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SI_22"/>
      <sheetName val="TO_List"/>
      <sheetName val="CCTV_DATA"/>
      <sheetName val="Initial_Data"/>
      <sheetName val="Package_Status"/>
      <sheetName val="Appendix-A_-GRAND_SUMMARY"/>
      <sheetName val="D9_(New_Rate)"/>
      <sheetName val="Other_Cost_Norms"/>
      <sheetName val="Bill_No_1"/>
      <sheetName val="[SHOPLIST_xls]70,/0s«iÆøí¬1"/>
      <sheetName val="_boaboard_(1)"/>
      <sheetName val="Gene��i0_"/>
      <sheetName val="70,/0s�i����i"/>
      <sheetName val="Top_shԀ"/>
      <sheetName val="Portfolio_List"/>
      <sheetName val="_Estimate__"/>
      <sheetName val="Equip_"/>
      <sheetName val="Div_Summary"/>
      <sheetName val="Detail_Page"/>
      <sheetName val="MATERIALS"/>
      <sheetName val="WATER DUCT - IC 21"/>
      <sheetName val="[SHOPLIST.xls]_VW__VU_________2"/>
      <sheetName val="[SHOPLIST.xls]_VW__VU_________3"/>
      <sheetName val="National"/>
      <sheetName val="Asset Desc"/>
      <sheetName val="BoQ-22-8-2019"/>
      <sheetName val="Tech"/>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_SHOPLIST.xls__VWVU))tÏØ0__5"/>
      <sheetName val="_SHOPLIST.xls__VWVU))tÏØ0__6"/>
      <sheetName val="___________3"/>
      <sheetName val="_SHOPLIST.xls__VWVU))tÏØ0__7"/>
      <sheetName val="___________4"/>
      <sheetName val="Geneí¬_x005f_x0008_"/>
      <sheetName val="70_x005f_x0000_,_0_"/>
      <sheetName val="___________5"/>
      <sheetName val="_SHOPLIST_xls__VWVU))"/>
      <sheetName val="___________6"/>
      <sheetName val="_SHOPLIST_xls__VW1"/>
      <sheetName val="_SHOPLIST_xls__SHOPLIST_xls__S1"/>
      <sheetName val="_SHOPLIST_xls__SHOPLIST_xls_707"/>
      <sheetName val="___________7"/>
      <sheetName val="_SHOPLIST_xls__SHOPLIST_xls_708"/>
      <sheetName val="_SHOPLIST_xls__VW2"/>
      <sheetName val="_SHOPLIST_xls__VWVU))tÏØ0__5"/>
      <sheetName val="_SHOPLIST_xls__SHOPLIST_xls__S2"/>
      <sheetName val="_SHOPLIST_xls__SHOPLIST_xls_709"/>
      <sheetName val="_SHOPLIST_xls_70,1"/>
      <sheetName val="_SHOPLIST_xls__VWVU))tÏØ0__12"/>
      <sheetName val="_SHOPLIST_xls__VWVU))tÏØ0__21"/>
      <sheetName val="_SHOPLIST_xls__VWVU))tÏØ0__31"/>
      <sheetName val="_SHOPLIST_xls_70,_0s«_iÆø_í¬_i1"/>
      <sheetName val="_SHOPLIST_xls_70_,_0_s«i_Æøí¬i1"/>
      <sheetName val="_SHOPLIST_xls__VWVU))tÏØ0__6"/>
      <sheetName val="_SHOPLIST_xls__VWVU))tÏØ0__7"/>
      <sheetName val="_SHOPLIST_xls_70,2"/>
      <sheetName val="_SHOPLIST_xls__VWVU))tÏØ0__13"/>
      <sheetName val="_SHOPLIST_xls__VWVU))tÏØ0__22"/>
      <sheetName val="_SHOPLIST_xls__VWVU))tÏØ0__32"/>
      <sheetName val="_SHOPLIST_xls_70,_0s«_iÆø_í¬_i2"/>
      <sheetName val="_SHOPLIST_xls_70_,_0_s«i_Æøí¬i2"/>
      <sheetName val="___________8"/>
      <sheetName val="_SHOPLIST_xls__SHOPLIST_xls_710"/>
      <sheetName val="_SHOPLIST_xls__VW3"/>
      <sheetName val="_SHOPLIST_xls__VWVU))tÏØ0__8"/>
      <sheetName val="_SHOPLIST_xls__VWVU))tÏØ0__9"/>
      <sheetName val="_SHOPLIST_xls__SHOPLIST_xls_711"/>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VWVU))tÏØ0__41"/>
      <sheetName val="_SHOPLIST_xls__SHOPLIST_xls_721"/>
      <sheetName val="_SHOPLIST_xls__SHOPLIST_xls__S8"/>
      <sheetName val="_SHOPLIST_xls_70,8"/>
      <sheetName val="_SHOPLIST_xls__VWVU))tÏØ0__42"/>
      <sheetName val="_SHOPLIST_xls__VWVU))tÏØ0__43"/>
      <sheetName val="_SHOPLIST_xls__VWVU))tÏØ0__44"/>
      <sheetName val="_SHOPLIST_xls_70,_0s«_iÆø_í¬_i8"/>
      <sheetName val="_SHOPLIST_xls_70_,_0_s«i_Æøí¬i8"/>
      <sheetName val="_VWVU))tÏØ0__16"/>
      <sheetName val="_VWVU))tÏØ0__14"/>
      <sheetName val="_SHOPLIST_xls_70,_0s«iÆøí¬i10"/>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SHOPLIST_xls_70,_0s«iÆøí¬i9"/>
      <sheetName val="___________9"/>
      <sheetName val="_SHOPLIST_xls__SHOPLIST_xls_712"/>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VWVU))tÏØ0__15"/>
      <sheetName val="_SHOPLIST_xls_70,_0s«iÆøí¬i11"/>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70,_0s«iÆøí¬"/>
      <sheetName val="_SHOPLIST.xls__SHOPLIST.xls__VW"/>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70,10"/>
      <sheetName val="_SHOPLIST_xls__VWVU))tÏØ0__52"/>
      <sheetName val="_SHOPLIST_xls__VWVU))tÏØ0__53"/>
      <sheetName val="_SHOPLIST_xls__VWVU))tÏØ0__54"/>
      <sheetName val="_SHOPLIST_xls_70,_0s«_iÆø_í¬_10"/>
      <sheetName val="_SHOPLIST_xls_70_,_0_s«i_Æøí¬10"/>
      <sheetName val="Geneí¬_x005f_x005f_"/>
      <sheetName val="70_x005f_x005f_x005"/>
      <sheetName val="_SHOPLIST.xls__VWVU))tÏØ0__8"/>
      <sheetName val="_SHOPLIST.xls__VWVU))tÏØ0__9"/>
      <sheetName val="_SHOPLIST_xls__VWVU))tÏØ0__61"/>
      <sheetName val="_SHOPLIST_xls__VWVU))tÏØ0__71"/>
      <sheetName val="ConferenceCentre_x0"/>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ورقة2"/>
      <sheetName val="LTR-2"/>
      <sheetName val="Weekly"/>
      <sheetName val="S-Curve Update"/>
      <sheetName val="[SHOPLIST.xls][SHOPLIST.xls]7_2"/>
      <sheetName val="[SHOPLIST.xls][SHOPLIST.xls]__2"/>
      <sheetName val="[SHOPLIST.xls][SHOPLIST.xls]__3"/>
      <sheetName val="[SHOPLIST.xls][SHOPLIST.xls]__4"/>
      <sheetName val="[SHOPLIST.xls][SHOPLIST.xls]__5"/>
      <sheetName val="[SHOPLIST.xls][SHOPLIST.xls]__6"/>
      <sheetName val="[SHOPLIST.xls][SHOPLIST.xls]__7"/>
      <sheetName val="[SHOPLIST.xls][SHOPLIST.xls]7_3"/>
      <sheetName val="[SHOPLIST.xls][SHOPLIST.xls]7_4"/>
      <sheetName val="[SHOPLIST.xls][SHOPLIST.xls]__8"/>
      <sheetName val="[SHOPLIST.xls][SHOPLIST.xls]__9"/>
      <sheetName val="[SHOPLIST.xls][SHOPLIST.xls]_10"/>
      <sheetName val="[SHOPLIST.xls][SHOPLIST.xls]7_5"/>
      <sheetName val="[SHOPLIST.xls][SHOPLIST.xls]_11"/>
      <sheetName val="[SHOPLIST.xls][SHOPLIST.xls]_12"/>
      <sheetName val="[SHOPLIST.xls][SHOPLIST.xls]7_6"/>
      <sheetName val="[SHOPLIST.xls][SHOPLIST.xls]_13"/>
      <sheetName val="[SHOPLIST.xls][SHOPLIST.xls]7_7"/>
      <sheetName val="[SHOPLIST.xls][SHOPLIST.xls]_14"/>
      <sheetName val="[SHOPLIST.xls][SHOPLIST.xls]_15"/>
      <sheetName val="FLOOR AND CEILING"/>
      <sheetName val="area comp 2011 01 18 (2)"/>
      <sheetName val="Bill3-Basement"/>
      <sheetName val="drop down lists"/>
      <sheetName val="PH 5"/>
      <sheetName val="BM"/>
      <sheetName val="[SHOPLIST.xls]70,/0s«i_x"/>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SHOPLIST.xls]/VWVU))tÏØ0__12"/>
      <sheetName val="[SHOPLIST.xls]/VWVU))tÏØ0__17"/>
      <sheetName val="[SHOPLIST.xls]/VWVU))tÏØ0__16"/>
      <sheetName val="[SHOPLIST.xls]/VWVU))tÏØ0__14"/>
      <sheetName val="[SHOPLIST.xls]/VWVU))tÏØ0__13"/>
      <sheetName val="[SHOPLIST.xls]/VWVU))tÏØ0__15"/>
      <sheetName val="[SHOPLIST.xls]/VWVU))tÏØ0__18"/>
      <sheetName val="[SHOPLIST.xls]/VWVU))tÏØ0__19"/>
      <sheetName val="[SHOPLIST.xls]70,/0s«iÆøí¬i1"/>
      <sheetName val="[SHOPLIST.xls]70,/0s«_iÆø_í¬"/>
      <sheetName val="[SHOPLIST.xls]70,/0s«iÆøí¬i2"/>
      <sheetName val="[SHOPLIST.xls]70,/0s«iÆøí¬i3"/>
      <sheetName val="Drop down"/>
      <sheetName val="[SH"/>
      <sheetName val="70_"/>
      <sheetName val="703"/>
      <sheetName val="70,/0s«iÆøí¬i4"/>
      <sheetName val="[SHOPLIST.xls]/VW"/>
      <sheetName val="70,/0s«iÆøí¬i5"/>
      <sheetName val="/VWVU))tÏØ0__21"/>
      <sheetName val="WIP"/>
      <sheetName val="GFA_HQ_Building32"/>
      <sheetName val="GFA_Conference31"/>
      <sheetName val="BQ_External31"/>
      <sheetName val="Projet,_methodes_&amp;_couts29"/>
      <sheetName val="Risques_majeurs_&amp;_Frais_Ind_29"/>
      <sheetName val="Penthouse_Apartment30"/>
      <sheetName val="LABOUR_HISTOGRAM31"/>
      <sheetName val="StattCo_yCharges30"/>
      <sheetName val="Chiet_tinh_dz2230"/>
      <sheetName val="Chiet_tinh_dz3530"/>
      <sheetName val="Raw_Data30"/>
      <sheetName val="CT_Thang_Mo30"/>
      <sheetName val="@risk_rents_and_incentives30"/>
      <sheetName val="Car_park_lease30"/>
      <sheetName val="Net_rent_analysis30"/>
      <sheetName val="Poz-1_30"/>
      <sheetName val="Lab_Cum_Hist30"/>
      <sheetName val="Graph_Data_(DO_NOT_PRINT)30"/>
      <sheetName val="budget_summary_(2)29"/>
      <sheetName val="Budget_Analysis_Summary29"/>
      <sheetName val="Bill_No__230"/>
      <sheetName val="LEVEL_SHEET30"/>
      <sheetName val="SPT_vs_PHI30"/>
      <sheetName val="CT__PL29"/>
      <sheetName val="FOL_-_Bar30"/>
      <sheetName val="Customize_Your_Invoice30"/>
      <sheetName val="HVAC_BoQ30"/>
      <sheetName val="Tender_Summary30"/>
      <sheetName val="Insurance_Ext30"/>
      <sheetName val="Top_sheet29"/>
      <sheetName val="intr_stool_brkup29"/>
      <sheetName val="PROJECT_BRIEF27"/>
      <sheetName val="Body_Sheet29"/>
      <sheetName val="1_0_Executive_Summary29"/>
      <sheetName val="2_Div_14_27"/>
      <sheetName val="Bill_228"/>
      <sheetName val="Ap_A27"/>
      <sheetName val="Bill_127"/>
      <sheetName val="Bill_327"/>
      <sheetName val="Bill_427"/>
      <sheetName val="Bill_527"/>
      <sheetName val="Bill_627"/>
      <sheetName val="Bill_727"/>
      <sheetName val="SHOPLIST_xls26"/>
      <sheetName val="C_(3)27"/>
      <sheetName val="Invoice_Summary26"/>
      <sheetName val="beam-reinft-IIInd_floor26"/>
      <sheetName val="Dubai_golf26"/>
      <sheetName val="POWER_ASSUMPTIONS26"/>
      <sheetName val="beam-reinft-machine_rm26"/>
      <sheetName val="Civil_Boq25"/>
      <sheetName val="WITHOUT_C&amp;I_PROFIT_(3)25"/>
      <sheetName val="Activity_List25"/>
      <sheetName val="Softscape_Buildup25"/>
      <sheetName val="Mat'l_Rate25"/>
      <sheetName val="HIRED_LABOUR_CODE23"/>
      <sheetName val="PA-_Consutant_23"/>
      <sheetName val="foot-slab_reinft23"/>
      <sheetName val="DETAILED__BOQ23"/>
      <sheetName val="M-Book_for_Conc23"/>
      <sheetName val="M-Book_for_FW23"/>
      <sheetName val="BILL_COV23"/>
      <sheetName val="Ra__stair23"/>
      <sheetName val="VALVE_CHAMBERS22"/>
      <sheetName val="Fire_Hydrants22"/>
      <sheetName val="B_GATE_VALVE22"/>
      <sheetName val="Sub_G1_Fire22"/>
      <sheetName val="Sub_G12_Fire22"/>
      <sheetName val="Day_work22"/>
      <sheetName val="Materials_Cost(PCC)22"/>
      <sheetName val="India_F&amp;S_Template22"/>
      <sheetName val="IO_LIST22"/>
      <sheetName val="Material_22"/>
      <sheetName val="Quote_Sheet22"/>
      <sheetName val="Eq__Mobilization21"/>
      <sheetName val="Working_for_RCC21"/>
      <sheetName val="B185-B-9_121"/>
      <sheetName val="B185-B-9_221"/>
      <sheetName val="BOQ_Direct_selling_cost22"/>
      <sheetName val="CHART_OF_ACCOUNTS21"/>
      <sheetName val="E-Bill_No_6_A-O21"/>
      <sheetName val="B09_121"/>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PMWeb_data21"/>
      <sheetName val="w't_table20"/>
      <sheetName val="2_2)Revised_Cash_Flow20"/>
      <sheetName val="Elemental_Buildup20"/>
      <sheetName val="PointNo_520"/>
      <sheetName val="SS_MH21"/>
      <sheetName val="Chiet_t20"/>
      <sheetName val="Staffing_and_Rates_IA20"/>
      <sheetName val="Index_List20"/>
      <sheetName val="Type_List20"/>
      <sheetName val="File_Types20"/>
      <sheetName val="입찰내역_발주처_양식20"/>
      <sheetName val="Material_List_20"/>
      <sheetName val="PRECAST_lightconc-II22"/>
      <sheetName val="Item-_Compact18"/>
      <sheetName val="final_abstract22"/>
      <sheetName val="E_&amp;_R18"/>
      <sheetName val="B6_2_19"/>
      <sheetName val="LIST_DO_NOT_REMOVE19"/>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Summary_of_Work18"/>
      <sheetName val="Staff_Acco_18"/>
      <sheetName val="TBAL9697_-group_wise__sdpl18"/>
      <sheetName val="Employee_List18"/>
      <sheetName val="Project_Cost_Breakdown18"/>
      <sheetName val="Рабочий_лист17"/>
      <sheetName val="Rate_summary17"/>
      <sheetName val="Annex_1_Sect_3a18"/>
      <sheetName val="Annex_1_Sect_3a_118"/>
      <sheetName val="Annex_1_Sect_3b18"/>
      <sheetName val="Annex_1_Sect_3c18"/>
      <sheetName val="HOURLY_RATES18"/>
      <sheetName val="RAB_AR&amp;STR17"/>
      <sheetName val="SITE_WORK17"/>
      <sheetName val="Back_up17"/>
      <sheetName val="PT_141-_Site_A_Landscape17"/>
      <sheetName val="INDIGINEOUS_ITEMS_17"/>
      <sheetName val="Duct_Accesories17"/>
      <sheetName val="????_???_??17"/>
      <sheetName val="d-safe_DELUXE17"/>
      <sheetName val="Common_Variables17"/>
      <sheetName val="train_cash17"/>
      <sheetName val="accom_cash17"/>
      <sheetName val="Mall_waterproofing17"/>
      <sheetName val="MSCP_waterproofing17"/>
      <sheetName val="[SHOPLIST_xls]70,/0s«iÆøí¬i17"/>
      <sheetName val="Labour_&amp;_Plant17"/>
      <sheetName val="GPL_Revenu_Update17"/>
      <sheetName val="DO_NOT_TOUCH17"/>
      <sheetName val="Work_Type17"/>
      <sheetName val="[SHOPLIST_xls][SHOPLIST_xls]729"/>
      <sheetName val="Ave_wtd_rates17"/>
      <sheetName val="Debits_as_on_12_04_0817"/>
      <sheetName val="STAFFSCHED_17"/>
      <sheetName val="TRIAL_BALANCE17"/>
      <sheetName val="Geneí¬_i16"/>
      <sheetName val="PROJECT_BRIEF(EX_NEW)17"/>
      <sheetName val="Cashflow_projection12"/>
      <sheetName val="PPA_Summary13"/>
      <sheetName val="Risk_Breakdown_Structure16"/>
      <sheetName val="AREA_OF_APPLICATION16"/>
      <sheetName val="steel_total16"/>
      <sheetName val="ELE_BOQ16"/>
      <sheetName val="Area_Breakdown_PER_LEVEL_LINK12"/>
      <sheetName val="CF_Input12"/>
      <sheetName val="DATA_INPUT12"/>
      <sheetName val="Vordruck-Nr__7_1_3_D12"/>
      <sheetName val="M&amp;A_D12"/>
      <sheetName val="M&amp;A_E12"/>
      <sheetName val="M&amp;A_G12"/>
      <sheetName val="Floor_Box_14"/>
      <sheetName val="[SHOPLIST_xls]7012"/>
      <sheetName val="[SHOPLIST_xls]70,12"/>
      <sheetName val="Base_BM-rebar12"/>
      <sheetName val="Z-_GENERAL_PRICE_SUMMARY13"/>
      <sheetName val="Equipment_Rates12"/>
      <sheetName val="[SHOPLIST_xls][SHOPLIST_xls]730"/>
      <sheetName val="E_H_-_H__W_P_12"/>
      <sheetName val="E__H__Treatment_for_pile_cap12"/>
      <sheetName val="%_prog_figs_-u5_and_total13"/>
      <sheetName val="Service_Type10"/>
      <sheetName val="Contract_Division10"/>
      <sheetName val="SubContract_Type10"/>
      <sheetName val="Resumo_Empreitadas13"/>
      <sheetName val="Data_Sheet12"/>
      <sheetName val="tender_allowances12"/>
      <sheetName val="_Summary_BKG_03412"/>
      <sheetName val="BILL_3R12"/>
      <sheetName val="1_2_Staff_Schedule13"/>
      <sheetName val="[SHOPLIST_xls]/VW12"/>
      <sheetName val="BLOCK-A_(MEA_SHEET)12"/>
      <sheetName val="[SHOPLIST_xls][SHOPLIST_xls][12"/>
      <sheetName val="Materials_12"/>
      <sheetName val="Attach_4-189"/>
      <sheetName val="Labour_Costs12"/>
      <sheetName val="Ewaan_Show_Kitchen_(2)9"/>
      <sheetName val="Cash_Flow_Working9"/>
      <sheetName val="MN_T_B_9"/>
      <sheetName val="Mix_Design13"/>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Bill_1012"/>
      <sheetName val="Cost_Heading9"/>
      <sheetName val="2F_회의실견적(5_14_일대)5"/>
      <sheetName val="_HIT-&gt;HMC_견적(3900)5"/>
      <sheetName val="Appendix_B5"/>
      <sheetName val="PRICE_INFO9"/>
      <sheetName val="RC_SUMMARY9"/>
      <sheetName val="LABOUR_PRODUCTIVITY-TAV9"/>
      <sheetName val="MATERIAL_PRICES9"/>
      <sheetName val="P-100_MRF_DB_R19"/>
      <sheetName val="Site_Dev_BOQ12"/>
      <sheetName val="D_&amp;_W_sizes9"/>
      <sheetName val="SOPMA_DD9"/>
      <sheetName val="Finansal_tamamlanma_Eğrisi3"/>
      <sheetName val="BOQ_(2)3"/>
      <sheetName val="LABOUR_RATE3"/>
      <sheetName val="Material_Rate3"/>
      <sheetName val="Labor_abs-PW3"/>
      <sheetName val="Labor_abs-NMR3"/>
      <sheetName val="kppl_pl3"/>
      <sheetName val="Basic_Rates3"/>
      <sheetName val="Combined_Results_3"/>
      <sheetName val="Labour_Rate_9"/>
      <sheetName val="[SHOPLIST_xls]/VWVU))tÏØ0__67"/>
      <sheetName val="[SHOPLIST_xls]70,/0s«_iÆø_í¬_12"/>
      <sheetName val="[SHOPLIST_xls]70?,/0?s«i?Æøí¬12"/>
      <sheetName val="Data_I_(2)9"/>
      <sheetName val="rEFERENCES_9"/>
      <sheetName val="Qtys_ZamZam_(Del__before)9"/>
      <sheetName val="Qtys_Relocation_(Del_before)9"/>
      <sheetName val="_Qtys_Sub_&amp;_Tents_(Del__before9"/>
      <sheetName val="Qtys__Signages_(Del__before)9"/>
      <sheetName val="Qtys_Temporary_Passages_(Del)9"/>
      <sheetName val="_Qtys_Ser__Rooms_(Del_before)9"/>
      <sheetName val="Div_07_Thermal_&amp;_Moisture3"/>
      <sheetName val="Data_Validation3"/>
      <sheetName val="Div26_-_Elect3"/>
      <sheetName val="CHUNG_CU_CARRILON3"/>
      <sheetName val="precast_RC_element3"/>
      <sheetName val="pile_Fabrication3"/>
      <sheetName val="New_Bld3"/>
      <sheetName val="[SHOPLIST_xls]/VWVU))tÏØ0__68"/>
      <sheetName val="Dash_board12"/>
      <sheetName val="HB_CEC_schd_4_23"/>
      <sheetName val="HB_CEC_schd_4_33"/>
      <sheetName val="HB_CEC_schd_5_23"/>
      <sheetName val="HB_CEC_schd_6_23"/>
      <sheetName val="HB_CEC_schd_7_23"/>
      <sheetName val="HB_CEC_schd_9_23"/>
      <sheetName val="Doha_Farm3"/>
      <sheetName val="Dropdown_List3"/>
      <sheetName val="[SHOPLIST_xls][SHOPLIST_xls]731"/>
      <sheetName val="Recon_Template1"/>
      <sheetName val="[SHOPLIST_xls]/VWVU))tÏØ0__69"/>
      <sheetName val="[SHOPLIST_xls]/VWVU))tÏØ0__70"/>
      <sheetName val="Drop_Down_Data1"/>
      <sheetName val="Rules_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quotation_1"/>
      <sheetName val="Bill_5_-_Carpark1"/>
      <sheetName val="BOQ_-_summary__31"/>
      <sheetName val="NKSC_thue1"/>
      <sheetName val="05__Data_Cash_Flow1"/>
      <sheetName val="MTO_REV_2(ARMOR)1"/>
      <sheetName val="L3-WBS_Mapping1"/>
      <sheetName val="BAFO_CCL_Submission1"/>
      <sheetName val="[SHOPLIST_xls][SHOPLIST_xls]/V1"/>
      <sheetName val="Core_Data1"/>
      <sheetName val="[SHOPLIST_xls]/VWVU))tÏØ0__82"/>
      <sheetName val="[SHOPLIST_xls]/VWVU))tÏØ0__92"/>
      <sheetName val="P1926-H2B_Pkg_2A&amp;2B1"/>
      <sheetName val="P1940-H2B_Pkg_1_Guestrooms1"/>
      <sheetName val="BOQ_1_921"/>
      <sheetName val="Abs_PMRL1"/>
      <sheetName val="[SHOPLIST_xls]/VWVU))tÏØ0__73"/>
      <sheetName val="[SHOPLIST_xls]/VWVU))tÏØ0__74"/>
      <sheetName val="[SHOPLIST_xls]/VWVU))tÏØ0__75"/>
      <sheetName val="Joseph_Record"/>
      <sheetName val="1-Summary"/>
      <sheetName val="[SHOPLIST.xls]70___0_s__i_____3"/>
      <sheetName val="[SHOPLIST.xls]_VW__VU_________4"/>
      <sheetName val="[SHOPLIST.xls]_VW__VU_________5"/>
      <sheetName val="[SHOPLIST.xls][SHOPLIST.xls]7_8"/>
      <sheetName val="[SHOPLIST.xls][SHOPLIST.xls]7_9"/>
      <sheetName val="[SHOPLIST.xls]70_x005f_x0000___0_x0_2"/>
      <sheetName val="[SHOPLIST.xls][SHOPLIST.xls]_16"/>
      <sheetName val="[SHOPLIST.xls][SHOPLIST.xls]_17"/>
      <sheetName val="[SHOPLIST.xls][SHOPLIST.xls]_18"/>
      <sheetName val="[SHOPLIST.xls]70___0_s__i_____4"/>
      <sheetName val="[SHOPLIST.xls]70___0_s__i_____5"/>
      <sheetName val="[SHOPLIST.xls][SHOPLIST.xls]_19"/>
      <sheetName val="[SHOPLIST.xls][SHOPLIST.xls]_20"/>
      <sheetName val="[SHOPLIST.xls][SHOPLIST_xls]7_2"/>
      <sheetName val="[SHOPLIST.xls][SHOPLIST_xls]7_3"/>
      <sheetName val="[SHOPLIST.xls][SHOPLIST_xls]7_4"/>
      <sheetName val="[SHOPLIST.xls][SHOPLIST_xls]7_5"/>
      <sheetName val="[SHOPLIST.xls][SHOPLIST_xls]7_6"/>
      <sheetName val="[SHOPLIST.xls][SHOPLIST_xls]7_7"/>
      <sheetName val="[SHOPLIST.xls][SHOPLIST.xls]_21"/>
      <sheetName val="[SHOPLIST.xls][SHOPLIST.xls]_22"/>
      <sheetName val="[SHOPLIST.xls][SHOPLIST_xls]7_8"/>
      <sheetName val="[SHOPLIST.xls][SHOPLIST_xls]7_9"/>
      <sheetName val="[SHOPLIST.xls][SHOPLIST_xls]__2"/>
      <sheetName val="[SHOPLIST.xls][SHOPLIST_xls]__3"/>
      <sheetName val="[SHOPLIST.xls][SHOPLIST_xls]__4"/>
      <sheetName val="[SHOPLIST.xls][SHOPLIST_xls]__5"/>
      <sheetName val="[SHOPLIST.xls][SHOPLIST.xls]_23"/>
      <sheetName val="[SHOPLIST.xls][SHOPLIST.xls]_24"/>
      <sheetName val="[SHOPLIST.xls][SHOPLIST.xls]_25"/>
      <sheetName val="[SHOPLIST.xls][SHOPLIST.xls]_26"/>
      <sheetName val="[SHOPLIST.xls][SHOPLIST.xls]_27"/>
      <sheetName val="[SHOPLIST.xls][SHOPLIST.xls]_28"/>
      <sheetName val="[SHOPLIST.xls][SHOPLIST.xls]_29"/>
      <sheetName val="[SHOPLIST.xls][SHOPLIST_xls]__6"/>
      <sheetName val="[SHOPLIST.xls][SHOPLIST_xls]__7"/>
      <sheetName val="[SHOPLIST.xls][SHOPLIST_xls]__8"/>
      <sheetName val="[SHOPLIST.xls][SHOPLIST_xls]_10"/>
      <sheetName val="[SHOPLIST.xls][SHOPLIST_xls]_11"/>
      <sheetName val="[SHOPLIST.xls][SHOPLIST_xls]_12"/>
      <sheetName val="[SHOPLIST.xls][SHOPLIST_xls]__9"/>
      <sheetName val="[SHOPLIST.xls][SHOPLIST_xls]_13"/>
      <sheetName val="[SHOPLIST.xls][SHOPLIST_xls]_14"/>
      <sheetName val="[SHOPLIST.xls][SHOPLIST_xls]_15"/>
      <sheetName val="[SHOPLIST.xls][SHOPLIST_xls]_16"/>
      <sheetName val="[SHOPLIST.xls][SHOPLIST_xls]_17"/>
      <sheetName val="[SHOPLIST.xls][SHOPLIST_xls]_18"/>
      <sheetName val="[SHOPLIST.xls][SHOPLIST_xls]_19"/>
      <sheetName val="[SHOPLIST.xls][SHOPLIST_xls]_20"/>
      <sheetName val="[SHOPLIST.xls][SHOPLIST_xls]_21"/>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_xls]_29"/>
      <sheetName val="[SHOPLIST.xls][SHOPLIST_xls]_30"/>
      <sheetName val="[SHOPLIST.xls][SHOPLIST_xls]_31"/>
      <sheetName val="[SHOPLIST.xls][SHOPLIST_xls]_32"/>
      <sheetName val="[SHOPLIST.xls][SHOPLIST_xls]_33"/>
      <sheetName val="[SHOPLIST.xls][SHOPLIST_xls]_34"/>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SHOPLIST.xls]_30"/>
      <sheetName val="[SHOPLIST.xls][SHOPLIST_xls]_83"/>
      <sheetName val="[SHOPLIST.xls][SHOPLIST_xls]_84"/>
      <sheetName val="[SHOPLIST.xls][SHOPLIST_xls]_85"/>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SHOPLIST.xls]_SHOPLIST_xls_101"/>
      <sheetName val="[SHOPLIST.xls]_SHOPLIST_xls_102"/>
      <sheetName val="[SHOPLIST.xls][SHOPLIST.xls]_31"/>
      <sheetName val="[SHOPLIST.xls][SHOPLIST.xls]_32"/>
      <sheetName val="[SHOPLIST.xls][SHOPLIST.xls]_33"/>
      <sheetName val="[SHOPLIST.xls]70_x005f_x005f_x005f_x0000__2"/>
      <sheetName val="[SHOPLIST.xls]_SHOPLIST_xls_103"/>
      <sheetName val="[SHOPLIST.xls][SHOPLIST.xls]_34"/>
      <sheetName val="[SHOPLIST.xls][SHOPLIST.xls]_35"/>
      <sheetName val="[SHOPLIST.xls][SHOPLIST.xls]_36"/>
      <sheetName val="[SHOPLIST.xls][SHOPLIST.xls]_37"/>
      <sheetName val="[SHOPLIST.xls]70___0_s__i_____6"/>
      <sheetName val="[SHOPLIST.xls]/VWVU))tÏØ0__20"/>
      <sheetName val="[SHOPLIST.xls]_SHOPLIST_xls_104"/>
      <sheetName val="[SHOPLIST.xls]_SHOPLIST_xls_105"/>
      <sheetName val="[SHOPLIST.xls]_SHOPLIST_xls_106"/>
      <sheetName val="[SHOPLIST.xls]_SHOPLIST_xls_107"/>
      <sheetName val="[SHOPLIST.xls]_SHOPLIST_xls_108"/>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70,/0s�i����i"/>
      <sheetName val="[SHOPLIST.xls]/VWVU))"/>
      <sheetName val="[SHOPLIST.xls][SHOPLIST.xls]_38"/>
      <sheetName val="[SHOPLIST.xls][SHOPLIST.xls]_39"/>
      <sheetName val="[SHOPLIST.xls][SHOPLIST.xls]_40"/>
      <sheetName val="[SHOPLIST.xls][SHOPLIST.xls]_41"/>
      <sheetName val="[SHOPLIST.xls][SHOPLIST.xls]_42"/>
      <sheetName val="[SHOPLIST.xls][SHOPLIST.xls]_43"/>
      <sheetName val="[SHOPLIST.xls][SHOPLIST.xls]_44"/>
      <sheetName val="[SHOPLIST.xls][SHOPLIST.xls]_45"/>
      <sheetName val="[SHOPLIST.xls][SHOPLIST.xls]_46"/>
      <sheetName val="[SHOPLIST.xls][SHOPLIST.xls]_47"/>
      <sheetName val="[SHOPLIST.xls][SHOPLIST.xls]_48"/>
      <sheetName val="[SHOPLIST.xls][SHOPLIST.xls]_49"/>
      <sheetName val="[SHOPLIST.xls][SHOPLIST.xls]_50"/>
      <sheetName val="[SHOPLIST.xls]70,/0s«iÆøí¬i4"/>
      <sheetName val="[SHOPLIST.xls]70,/0s«iÆøí¬i5"/>
      <sheetName val="[SHOPLIST.xls]/VWVU))tÏØ0__21"/>
      <sheetName val="[SHOPLIST.xls]_SHOPLIST_xls_126"/>
      <sheetName val="[SHOPLIST.xls]_SHOPLIST_xls_127"/>
      <sheetName val="[SHOPLIST.xls]_SHOPLIST_xls_128"/>
      <sheetName val="[SHOPLIST.xls]_SHOPLIST_xls_129"/>
      <sheetName val="[SHOPLIST.xls]_SHOPLIST_xls_130"/>
      <sheetName val="[SHOPLIST.xls]_SHOPLIST_xls_131"/>
      <sheetName val="[SHOPLIST.xls]_SHOPLIST_xls_132"/>
      <sheetName val="[SHOPLIST.xls]_SHOPLIST_xls_133"/>
      <sheetName val="[SHOPLIST.xls]_SHOPLIST_xls_134"/>
      <sheetName val="[SHOPLIST.xls]_SHOPLIST_xls_135"/>
      <sheetName val="[SHOPLIST.xls]_SHOPLIST_xls_136"/>
      <sheetName val="[SHOPLIST.xls]_SHOPLIST_xls_137"/>
      <sheetName val="[SHOPLIST.xls]_SHOPLIST_xls_138"/>
      <sheetName val="[SHOPLIST.xls]_SHOPLIST_xls_139"/>
      <sheetName val="8.0 Programme"/>
      <sheetName val="Landscape No.1"/>
      <sheetName val="MEP No.3"/>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ummary_2"/>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Item List OLD"/>
      <sheetName val="KEYFIGURES"/>
      <sheetName val="/VWVU))tÏØ0__23"/>
      <sheetName val="/VWVU))tÏØ0__22"/>
      <sheetName val="Top_s灨ὔ밀ὔ턀"/>
      <sheetName val="Top_s๨ꫝ"/>
      <sheetName val="BQMPALOC"/>
      <sheetName val="COLUMNS"/>
      <sheetName val="VESSELS "/>
      <sheetName val="[SHOPLIST.xls][SHOPLIST.xls]70?"/>
      <sheetName val="Cost Heaࡤing"/>
      <sheetName val="Spacing of Delineators"/>
      <sheetName val="P-Ins &amp; Bonds"/>
      <sheetName val="Surbhi"/>
      <sheetName val="70,/0s«iÆøí¬i6"/>
      <sheetName val="/VW1"/>
      <sheetName val="70,/0s«iÆøí¬i7"/>
      <sheetName val="/VW2"/>
      <sheetName val="/VWVU))tÏØ0__31"/>
      <sheetName val="70,/0s«_iÆø_í¬_i1"/>
      <sheetName val="70?,/0?s«i?Æøí¬i1"/>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Reference"/>
      <sheetName val="MFG"/>
      <sheetName val="BFS"/>
      <sheetName val="beam-reinft"/>
      <sheetName val="제출내역 (2)"/>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4"/>
      <sheetName val="EATON SUMMARY"/>
      <sheetName val="Outline Cost - Five star Hotel"/>
      <sheetName val="Insts"/>
      <sheetName val="MG"/>
      <sheetName val="TB"/>
      <sheetName val="Field Values"/>
      <sheetName val="Balustrade"/>
      <sheetName val="CFForecast detail"/>
      <sheetName val="Mat.Cost"/>
      <sheetName val="Measurements"/>
      <sheetName val="Flooring"/>
      <sheetName val="Ceilings"/>
      <sheetName val="ACAD Finishes"/>
      <sheetName val="Site Details"/>
      <sheetName val="Chair"/>
      <sheetName val="Site Area Statement"/>
      <sheetName val="Doors"/>
      <sheetName val="GM &amp; TA"/>
      <sheetName val="Macro"/>
      <sheetName val="Scaff-Rose"/>
      <sheetName val="10. &amp; 11. Rate Code &amp; BQ"/>
      <sheetName val="EATON_SUMMARY"/>
      <sheetName val="Outline_Cost_-_Five_star_Hotel"/>
      <sheetName val="sept-plan"/>
      <sheetName val="P&amp;LSum"/>
      <sheetName val="key dates"/>
      <sheetName val="Actuals"/>
      <sheetName val="P-Ins_&amp;_Bonds"/>
      <sheetName val="XL4Test5"/>
      <sheetName val="Basement Budget"/>
      <sheetName val="[SHOPLIST.xls]70_x005f_x0000___0_x0_3"/>
      <sheetName val="[SHOPLIST.xls]70___0_s__i_____7"/>
      <sheetName val="[SHOPLIST.xls]_SHOPLIST_xls_140"/>
      <sheetName val="[SHOPLIST.xls]_SHOPLIST_xls_141"/>
      <sheetName val="[SHOPLIST.xls]_SHOPLIST_xls_142"/>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_SHOPLIST_xls_208"/>
      <sheetName val="[SHOPLIST.xls]_SHOPLIST_xls_209"/>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SHOPLIST.xls]_60"/>
      <sheetName val="[SHOPLIST.xls][SHOPLIST.xls]_61"/>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70___0_s__i_____8"/>
      <sheetName val="[SHOPLIST.xls]_VW__VU_________6"/>
      <sheetName val="[SHOPLIST.xls]_VW__VU_________7"/>
      <sheetName val="[SHOPLIST.xls]70___0_s__i_____9"/>
      <sheetName val="[SHOPLIST.xls]70_x005f_x0000___0_x0_4"/>
      <sheetName val="[SHOPLIST.xls][SHOPLIST.xls]_94"/>
      <sheetName val="[SHOPLIST.xls]70___0_s__i____10"/>
      <sheetName val="[SHOPLIST.xls]_SHOPLIST_xls_210"/>
      <sheetName val="[SHOPLIST.xls]_SHOPLIST_xls_211"/>
      <sheetName val="[SHOPLIST.xls][SHOPLIST.xls]_95"/>
      <sheetName val="[SHOPLIST.xls][SHOPLIST.xls]_96"/>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SHOPLIST.xls]_97"/>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_SHOPLIST_xls_268"/>
      <sheetName val="[SHOPLIST.xls]_SHOPLIST_xls_269"/>
      <sheetName val="[SHOPLIST.xls]_SHOPLIST_xls_270"/>
      <sheetName val="[SHOPLIST.xls]_SHOPLIST_xls_271"/>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SHOPLIST.xls]_98"/>
      <sheetName val="[SHOPLIST.xls][SHOPLIST.xls]_9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70___0_s__i____11"/>
      <sheetName val="[SHOPLIST.xls]_VW__VU_________8"/>
      <sheetName val="[SHOPLIST.xls]_VW__VU_________9"/>
      <sheetName val="[SHOPLIST.xls]70___0_s__i____12"/>
      <sheetName val="[SHOPLIST.xls]70_x005f_x0000___0_x0_5"/>
      <sheetName val="[SHOPLIST.xls]_SHOPLIST_xls_350"/>
      <sheetName val="[SHOPLIST.xls]70___0_s__i____13"/>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_SHOPLIST_xls_408"/>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70_x005f_x005f_x005f_x0000__4"/>
      <sheetName val="[SHOPLIST.xls]_SHOPLIST_xls_462"/>
      <sheetName val="[SHOPLIST.xls]_SHOPLIST_xls_463"/>
      <sheetName val="[SHOPLIST.xls]70_x005f_x005f_x005f_x0000__3"/>
      <sheetName val="[SHOPLIST.xls]_SHOPLIST_xls_318"/>
      <sheetName val="[SHOPLIST.xls]_SHOPLIST_xls_319"/>
      <sheetName val="4.1 G Ammount"/>
      <sheetName val="Costcal"/>
      <sheetName val="inter"/>
      <sheetName val="1-Excavation"/>
      <sheetName val="2-Substructure"/>
      <sheetName val="3-Concrete"/>
      <sheetName val="4-Masonry"/>
      <sheetName val="5-Thermal &amp; Moisture"/>
      <sheetName val="ตารางส่วนลด EE."/>
      <sheetName val="FR"/>
      <sheetName val="frais VS BBI"/>
      <sheetName val="DB1"/>
      <sheetName val="DB10"/>
      <sheetName val="DB11"/>
      <sheetName val="DB12"/>
      <sheetName val="DB13"/>
      <sheetName val="DB14"/>
      <sheetName val="DB15"/>
      <sheetName val="DB16"/>
      <sheetName val="DB17"/>
      <sheetName val="DB18"/>
      <sheetName val="DB19"/>
      <sheetName val="DB2"/>
      <sheetName val="DB3"/>
      <sheetName val="DB4"/>
      <sheetName val="DB5"/>
      <sheetName val="DB6"/>
      <sheetName val="DB7"/>
      <sheetName val="DB8"/>
      <sheetName val="DB9"/>
      <sheetName val="PARAMETERS"/>
      <sheetName val="VD-CALC"/>
      <sheetName val="F4-F7"/>
      <sheetName val="Doi so"/>
      <sheetName val="토공"/>
      <sheetName val="CỘT + VÁCH B2-B4"/>
      <sheetName val="LEGEND"/>
      <sheetName val="조명시설"/>
      <sheetName val="Du thau"/>
      <sheetName val="Door &amp; Window- Schedule"/>
      <sheetName val="Buy vs. Lease Car"/>
      <sheetName val="GIÁ TRỊ GĐ2"/>
      <sheetName val="GIẤY ĐỀ NGHỊ THANH TOÁN GĐ1"/>
      <sheetName val="GIẤY ĐỀ NGHỊ THANH TOÁN GĐ2"/>
      <sheetName val="bìa trước"/>
      <sheetName val="bìa sau"/>
      <sheetName val="DANH MỤC"/>
      <sheetName val="DNTT"/>
      <sheetName val="THGT"/>
      <sheetName val="THKL"/>
      <sheetName val="BBNT"/>
      <sheetName val="BẢNG THDG"/>
      <sheetName val="BẢNG DG"/>
      <sheetName val="BẢNG THỐNG KÊ"/>
      <sheetName val="HVAC-full"/>
      <sheetName val="HUTKHOI 2"/>
      <sheetName val="WC 2"/>
      <sheetName val="GIO TUOI 2"/>
      <sheetName val="GIO THẢI 2"/>
      <sheetName val="TAO AP"/>
      <sheetName val="入力作成表"/>
      <sheetName val="gvl"/>
      <sheetName val="BOQ(MECH)"/>
      <sheetName val="BOQ(ELEC) "/>
      <sheetName val="CH-01"/>
      <sheetName val="CH-02-03"/>
      <sheetName val="CH-06-07"/>
      <sheetName val="CH-08"/>
      <sheetName val="CH-14"/>
      <sheetName val="CH-15"/>
      <sheetName val="CH-16"/>
      <sheetName val="CH-19-20"/>
      <sheetName val="Điện căn hộ04"/>
      <sheetName val="Điện căn hộ05"/>
      <sheetName val="Điện căn hộ09"/>
      <sheetName val="Điện căn hộ10"/>
      <sheetName val="Điện căn hộ11"/>
      <sheetName val="Điện căn hộ12"/>
      <sheetName val="Điện căn hộ13"/>
      <sheetName val="Điện căn hộ17"/>
      <sheetName val="Điện căn hộ 18"/>
      <sheetName val="Điện căn hộ 21"/>
      <sheetName val="MC"/>
      <sheetName val="CS+OC+CSSC HL"/>
      <sheetName val="CN CH"/>
      <sheetName val="Tong hop"/>
      <sheetName val="입찰안"/>
      <sheetName val="MTO REV_2_ARMOR_"/>
      <sheetName val="Vat tu XD"/>
      <sheetName val="Liệt kê"/>
      <sheetName val="負荷集計（断熱不燃）"/>
      <sheetName val="BXLDL"/>
      <sheetName val="Nhan cong"/>
      <sheetName val="설계내역서"/>
      <sheetName val="CPBTXM-THUONG"/>
      <sheetName val="402"/>
      <sheetName val="BMS"/>
      <sheetName val="sort2"/>
      <sheetName val="個案9411"/>
      <sheetName val="Ｎｏ.13"/>
      <sheetName val="Budget Code"/>
      <sheetName val="PS-Labour_M"/>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70_x005f_x0000_,/0_x005f_x0000_"/>
      <sheetName val="eqpmad2"/>
      <sheetName val="결과조달"/>
      <sheetName val="SG"/>
      <sheetName val="Geneí¬_x0008_"/>
      <sheetName val="A. Electrical"/>
      <sheetName val="TONG_HOP_VL-NC2"/>
      <sheetName val="TONGKE3p_2"/>
      <sheetName val="TH_VL,_NC,_DDHT_Thanhphuoc2"/>
      <sheetName val="DON_GIA2"/>
      <sheetName val="CHITIET_VL-NC2"/>
      <sheetName val="TH_kinh_phi2"/>
      <sheetName val="KLDT_DIEN2"/>
      <sheetName val="Dinh_muc_CP_KTCB_khac2"/>
      <sheetName val="Update_list2"/>
      <sheetName val="Sinh_Nam_systems2"/>
      <sheetName val="DIE_profile2"/>
      <sheetName val="Import_tax2"/>
      <sheetName val="Doi_so"/>
      <sheetName val="CỘT_+_VÁCH_B2-B4"/>
      <sheetName val="Du_thau"/>
      <sheetName val="Door_&amp;_Window-_Schedule"/>
      <sheetName val="Buy_vs__Lease_Car"/>
      <sheetName val="GIÁ_TRỊ_GĐ2"/>
      <sheetName val="GIẤY_ĐỀ_NGHỊ_THANH_TOÁN_GĐ1"/>
      <sheetName val="GIẤY_ĐỀ_NGHỊ_THANH_TOÁN_GĐ2"/>
      <sheetName val="bìa_trước"/>
      <sheetName val="bìa_sau"/>
      <sheetName val="DANH_MỤC"/>
      <sheetName val="BẢNG_THDG"/>
      <sheetName val="BẢNG_DG"/>
      <sheetName val="BẢNG_THỐNG_KÊ"/>
      <sheetName val="HUTKHOI_2"/>
      <sheetName val="WC_2"/>
      <sheetName val="GIO_TUOI_2"/>
      <sheetName val="GIO_THẢI_2"/>
      <sheetName val="TAO_AP"/>
      <sheetName val="Vat_tu_XD"/>
      <sheetName val="BOQ(ELEC)_"/>
      <sheetName val="Điện_căn_hộ04"/>
      <sheetName val="Điện_căn_hộ05"/>
      <sheetName val="Điện_căn_hộ09"/>
      <sheetName val="Điện_căn_hộ10"/>
      <sheetName val="Điện_căn_hộ11"/>
      <sheetName val="Điện_căn_hộ12"/>
      <sheetName val="Điện_căn_hộ13"/>
      <sheetName val="Điện_căn_hộ17"/>
      <sheetName val="Điện_căn_hộ_18"/>
      <sheetName val="Điện_căn_hộ_21"/>
      <sheetName val="CS+OC+CSSC_HL"/>
      <sheetName val="CN_CH"/>
      <sheetName val="Tong_hop"/>
      <sheetName val="MTO_REV_2_ARMOR_"/>
      <sheetName val="264"/>
      <sheetName val="ESTI_"/>
      <sheetName val="DI_ESTI"/>
      <sheetName val="Priced BOQ"/>
      <sheetName val="TH thiet bi"/>
      <sheetName val="TH vat tu"/>
      <sheetName val="TH may TC"/>
      <sheetName val="Bang phan tich"/>
      <sheetName val="DM Chi phi"/>
      <sheetName val="NOTE"/>
      <sheetName val="SP10"/>
      <sheetName val="Nhan_cong"/>
      <sheetName val="Liệt_kê"/>
      <sheetName val="Ｎｏ_13"/>
      <sheetName val="Budget_Code"/>
      <sheetName val="_SHOPLIST.xls_70,_0s«iÆøí¬"/>
      <sheetName val="SORT"/>
      <sheetName val="HD-XUAT"/>
      <sheetName val="VO-MC"/>
      <sheetName val="VO-Curtain Wall"/>
      <sheetName val="VO-M&amp;E"/>
      <sheetName val="Bar.Sched"/>
      <sheetName val="公寓材料表"/>
      <sheetName val="ANL"/>
      <sheetName val="CTG"/>
      <sheetName val="Gra¦_x0004_)???VW????????? U"/>
      <sheetName val="/VW?VU?)???)???_x0001_???tÏØ0 _x0008_?? _x0008_"/>
      <sheetName val="[SHOPLIST.xls]70?,/0?s«_x0008_i?Æø_x0003_í¬"/>
      <sheetName val="Geneí¬_x005f_x0008_i_x005f_x005f_x000"/>
      <sheetName val="ConferenceCentre?옰ʒ䄂ʒ鵠ʐ䄂ʒ"/>
      <sheetName val="Geneí¬_x0008_i??_x0"/>
      <sheetName val="70?,_0?s«_x0008_i_x"/>
      <sheetName val="Gra¦_x0004_)??_x0"/>
      <sheetName val="_VW?VU?)?_x"/>
      <sheetName val="_SHOPLIST.xls_70?,_0_x000"/>
      <sheetName val="????_x0"/>
      <sheetName val="70?,/0?s«_x0008_i_x"/>
      <sheetName val="ConferenceCentre?옰ʒ"/>
      <sheetName val="70?,_0?"/>
      <sheetName val="??_x005"/>
      <sheetName val="[SHOPLIST.xls]70?,/0?s«_x0008_i_x"/>
      <sheetName val="70?,_0_"/>
      <sheetName val="70?,/0?"/>
      <sheetName val="Geneí¬ i?? ?0."/>
      <sheetName val="70?,/0?s« i?Æø í¬ i?"/>
      <sheetName val="[SHOPLIST.xls]70?,/0?s« i?Æø í¬"/>
      <sheetName val="ConferenceCentre?옰ʒ䄂ʒ鵠ʐ䄂ʒ閐̐脭め_x0005_?"/>
      <sheetName val="[SHOPLIST.xls]/VW?VU?)???)???"/>
      <sheetName val="Bill 1_Prelim"/>
      <sheetName val="Bill 2_Bored Pile"/>
      <sheetName val="IBASE"/>
      <sheetName val="FAB별"/>
      <sheetName val="BAOGIATHANG"/>
      <sheetName val="DAODAT"/>
      <sheetName val="vanchuyen TC"/>
      <sheetName val="電気設備表"/>
      <sheetName val="BQ_SUM"/>
      <sheetName val="BQ_T"/>
      <sheetName val="TK T2"/>
      <sheetName val="TĐ-L2"/>
      <sheetName val="T2.CAMERA"/>
      <sheetName val="T2.LOA"/>
      <sheetName val="T2.TRUNKING"/>
      <sheetName val="T2.MANG"/>
      <sheetName val="HĐ"/>
      <sheetName val="Chi tiet gia DT"/>
      <sheetName val="Gia DT bo Sung"/>
      <sheetName val="PT gia DT"/>
      <sheetName val="Phan tich vat tu"/>
      <sheetName val="PTgia DT BS"/>
      <sheetName val="_x005f_x005f_x005f_x0000__x005f_x005f_x005f_x0000__x005"/>
      <sheetName val="Gra¦_x005f_x0004_)_x005f_x0000__x005f_x0000__x0"/>
      <sheetName val="_VW_x005f_x0000_VU_x005f_x0000_)_x005f_x0000__x"/>
      <sheetName val="Gra¦_x005f_x0004_)"/>
      <sheetName val="_SHOPLIST.xls_70_x005f_x0000_,_0_x000"/>
      <sheetName val="Geneí¬_x005f_x005f_x005f_x0008_i_x000"/>
      <sheetName val="Geneí¬_x005f_x0008_i___x005f_x0014__0."/>
      <sheetName val="70_,_0_s«_x005f_x0008_i_Æø_x005f_x0003_í¬_x"/>
      <sheetName val="Cac HS hieu chinh"/>
      <sheetName val="Cước CG"/>
      <sheetName val="gia tri theo phong"/>
      <sheetName val="DMCP"/>
      <sheetName val="BocXep"/>
      <sheetName val="TinhGiaMTC"/>
      <sheetName val="Truot_nen"/>
      <sheetName val="PL-F&amp;B"/>
      <sheetName val="GAEYO"/>
      <sheetName val="갑지1"/>
      <sheetName val="Btra"/>
      <sheetName val="概総括1"/>
      <sheetName val="GiaVL"/>
      <sheetName val="갑지(추정)"/>
      <sheetName val="BULD_3"/>
      <sheetName val="BLOCK_K"/>
      <sheetName val="제출내역_(2)"/>
      <sheetName val="기준액"/>
      <sheetName val="최적단면"/>
      <sheetName val="内訳書"/>
      <sheetName val="JOB COSTING SHEET HVAC"/>
      <sheetName val="SUBCON OR OTHER"/>
      <sheetName val="CASH"/>
      <sheetName val="SSuppliers"/>
      <sheetName val="Admin"/>
      <sheetName val="Prior_CM"/>
      <sheetName val="SUBS SUM"/>
      <sheetName val="BoQ(2)"/>
      <sheetName val="tower and monopoles "/>
      <sheetName val="ASD Sum of Parts"/>
      <sheetName val="MI"/>
      <sheetName val="Data Works"/>
      <sheetName val="Works"/>
      <sheetName val="UC-Testing"/>
      <sheetName val="Control Panel"/>
      <sheetName val="Bill 3 Boutique"/>
      <sheetName val="Rectangular Duct"/>
      <sheetName val="C-1"/>
      <sheetName val="PC "/>
      <sheetName val="Val"/>
      <sheetName val="App - A "/>
      <sheetName val="App- B "/>
      <sheetName val="App - C "/>
      <sheetName val="App - D "/>
      <sheetName val="App - E "/>
      <sheetName val="App - F"/>
      <sheetName val="App - G "/>
      <sheetName val="App - H"/>
      <sheetName val="2"/>
      <sheetName val="7"/>
      <sheetName val="8"/>
      <sheetName val="9"/>
      <sheetName val="15"/>
      <sheetName val="16"/>
      <sheetName val="17"/>
      <sheetName val="18"/>
      <sheetName val="C-2"/>
      <sheetName val="Concrete Breakdown"/>
      <sheetName val="Masonry Breakdown"/>
      <sheetName val="6"/>
      <sheetName val="May_054"/>
      <sheetName val="April_054"/>
      <sheetName val="Aug_054"/>
      <sheetName val="July_054"/>
      <sheetName val="June_054"/>
      <sheetName val="Nov_054"/>
      <sheetName val="Oct_054"/>
      <sheetName val="Sep_054"/>
      <sheetName val="B-3_2_EB2"/>
      <sheetName val="1_-_Main_Building3"/>
      <sheetName val="1_-_Summary3"/>
      <sheetName val="2_-_Landscaping_Works3"/>
      <sheetName val="2_-_Summary3"/>
      <sheetName val="4_-_Bldg_Infra3"/>
      <sheetName val="4_-_Summary3"/>
      <sheetName val="Trade_Summary2"/>
      <sheetName val="2_Plex3"/>
      <sheetName val="Sheet1_(2)3"/>
      <sheetName val="4_Plex3"/>
      <sheetName val="6_Plex_3"/>
      <sheetName val="Detailed_Summary3"/>
      <sheetName val="Sheet1_(3)3"/>
      <sheetName val="Sheet1_(4)3"/>
      <sheetName val="B04-A_-_DIA_SUDEER2"/>
      <sheetName val="04D_-_Tanmyat2"/>
      <sheetName val="13-_B04-B_&amp;_C2"/>
      <sheetName val="_SITE_09_B04-B&amp;C-AFAQ2"/>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heet_Index2"/>
      <sheetName val="Status_Summary3"/>
      <sheetName val="Balance_Sheet2"/>
      <sheetName val="[SHOPLIST_xls]/VWVU))tÏØ0__76"/>
      <sheetName val="[SHOPLIST_xls]/VWVU))tÏØ0__77"/>
      <sheetName val="Sec__A-PQ3"/>
      <sheetName val="Preamble_B3"/>
      <sheetName val="Sec__C-Dayworks3"/>
      <sheetName val="d5_3"/>
      <sheetName val="AOP_Summary-24"/>
      <sheetName val="CONSTRUCTION_COMPONENT2"/>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Dashboard_(1)3"/>
      <sheetName val="VO_Agreed_to_Unifier_Sum3"/>
      <sheetName val="VO_Not_yet_Agreed_to_Unifier3"/>
      <sheetName val="VO_Anticipated_to_Unifier3"/>
      <sheetName val="EW_to_Unifier3"/>
      <sheetName val="Prov_Sums3"/>
      <sheetName val="Other_Amounts3"/>
      <sheetName val="Asset_Allocation_(CR)3"/>
      <sheetName val="Project_Benchmarking3"/>
      <sheetName val="Estimate_for_approval2"/>
      <sheetName val="[SHOPLIST_xls][SH2"/>
      <sheetName val="[SHOPLIST_xls]70_2"/>
      <sheetName val="Master_data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Basic_Rate1"/>
      <sheetName val="MASTER_RATE_ANALYSIS1"/>
      <sheetName val="MAIN_SUMMARY1"/>
      <sheetName val="[SHOPLIST_xls]/VWVU))tÏØ0__78"/>
      <sheetName val="[SHOPLIST_xls]/VWVU))tÏØ0__79"/>
      <sheetName val="B2-DV_No_021"/>
      <sheetName val="Other_Cost_Norms1"/>
      <sheetName val="개시대사_(2)1"/>
      <sheetName val="TB_ALJADA1"/>
      <sheetName val="Plot_Area1"/>
      <sheetName val="Closing_entries1"/>
      <sheetName val="Executive_Summary1"/>
      <sheetName val="Sales_Tracking_Report_(STR)1"/>
      <sheetName val="Blocking_Tracking_Report_(BTR)1"/>
      <sheetName val="Bill_No_11"/>
      <sheetName val="GENERAL_SUMMARY1"/>
      <sheetName val="SITE_WORKS1"/>
      <sheetName val="WOOD_WORK1"/>
      <sheetName val="THERMAL_&amp;_MOISTURE_1"/>
      <sheetName val="DOORS_&amp;_WINDOWS1"/>
      <sheetName val="Additional_Items1"/>
      <sheetName val="L_(4)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Ref_Arch1"/>
      <sheetName val="6_2_Floor_Finishes1"/>
      <sheetName val="Data_1"/>
      <sheetName val="Cumulative_Rail_1"/>
      <sheetName val="[SHOPLIST_xls]/VWVU))tÏØ0__80"/>
      <sheetName val="Staff_OLD_1"/>
      <sheetName val="Account_Codes"/>
      <sheetName val="[SHOPLIST_xls]/VW"/>
      <sheetName val="Milestone"/>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Service_Type11"/>
      <sheetName val="Contract_Division11"/>
      <sheetName val="SubContract_Type11"/>
      <sheetName val="Resumo_Empreitadas14"/>
      <sheetName val="Data_Sheet13"/>
      <sheetName val="tender_allowances13"/>
      <sheetName val="_Summary_BKG_03413"/>
      <sheetName val="BILL_3R13"/>
      <sheetName val="1_2_Staff_Schedule14"/>
      <sheetName val="[SHOPLIST_xls]/VW13"/>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D_&amp;_W_sizes10"/>
      <sheetName val="SOPMA_DD10"/>
      <sheetName val="Finansal_tamamlanma_Eğrisi4"/>
      <sheetName val="BOQ_(2)4"/>
      <sheetName val="LABOUR_RATE4"/>
      <sheetName val="Material_Rate4"/>
      <sheetName val="Labor_abs-PW4"/>
      <sheetName val="Labor_abs-NMR4"/>
      <sheetName val="kppl_pl4"/>
      <sheetName val="Basic_Rates4"/>
      <sheetName val="Combined_Results_4"/>
      <sheetName val="Labour_Rate_10"/>
      <sheetName val="[SHOPLIST_xls]70,/0s«_iÆø_í¬_13"/>
      <sheetName val="[SHOPLIST_xls]70?,/0?s«i?Æøí¬13"/>
      <sheetName val="Data_I_(2)10"/>
      <sheetName val="rEFERENCES_10"/>
      <sheetName val="Qtys_ZamZam_(Del__before)10"/>
      <sheetName val="Qtys_Relocation_(Del_before)10"/>
      <sheetName val="_Qtys_Sub_&amp;_Tents_(Del__befor10"/>
      <sheetName val="Qtys__Signages_(Del__before)10"/>
      <sheetName val="Qtys_Temporary_Passages_(Del)10"/>
      <sheetName val="_Qtys_Ser__Rooms_(Del_before)10"/>
      <sheetName val="Div_07_Thermal_&amp;_Moisture4"/>
      <sheetName val="Data_Validation4"/>
      <sheetName val="Div26_-_Elect4"/>
      <sheetName val="CHUNG_CU_CARRILON4"/>
      <sheetName val="precast_RC_element4"/>
      <sheetName val="pile_Fabrication4"/>
      <sheetName val="New_Bld4"/>
      <sheetName val="[SHOPLIST_xls]/VWVU))tÏØ0__83"/>
      <sheetName val="Dash_board13"/>
      <sheetName val="HB_CEC_schd_4_24"/>
      <sheetName val="HB_CEC_schd_4_34"/>
      <sheetName val="HB_CEC_schd_5_24"/>
      <sheetName val="HB_CEC_schd_6_24"/>
      <sheetName val="HB_CEC_schd_7_24"/>
      <sheetName val="HB_CEC_schd_9_24"/>
      <sheetName val="Doha_Farm4"/>
      <sheetName val="Dropdown_List4"/>
      <sheetName val="CIF_COST_ITEM2"/>
      <sheetName val="Rates_for_public_areas2"/>
      <sheetName val="[SHOPLIST_xls][SHOPLIST_xls]734"/>
      <sheetName val="Recon_Template2"/>
      <sheetName val="[SHOPLIST_xls]/VWVU))tÏØ0__84"/>
      <sheetName val="[SHOPLIST_xls]/VWVU))tÏØ0__85"/>
      <sheetName val="[SHOPLIST_xls]/VWVU))tÏØ0__86"/>
      <sheetName val="Drop_Down_Data2"/>
      <sheetName val="Rules_2"/>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P1926-H2B_Pkg_2A&amp;2B2"/>
      <sheetName val="P1940-H2B_Pkg_1_Guestrooms2"/>
      <sheetName val="BOQ_1_922"/>
      <sheetName val="Abs_PMRL2"/>
      <sheetName val="[SHOPLIST_xls]/VWVU))tÏØ0__88"/>
      <sheetName val="[SHOPLIST_xls]/VWVU))tÏØ0__89"/>
      <sheetName val="[SHOPLIST_xls]/VWVU))tÏØ0__90"/>
      <sheetName val="Appendix-A_-GRAND_SUMMARY1"/>
      <sheetName val="D9_(New_Rate)1"/>
      <sheetName val="Grand_Summary_1"/>
      <sheetName val="Bill_No_01_-_GI_1"/>
      <sheetName val="combined_1"/>
      <sheetName val="summary-Optional_1"/>
      <sheetName val="B14_02_1"/>
      <sheetName val="Prov_Sum_1"/>
      <sheetName val="Joseph_Record1"/>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SHOPLIST_xls]70,/0s«iÆøí¬2"/>
      <sheetName val="Portfolio_List1"/>
      <sheetName val="Initial_Data1"/>
      <sheetName val="Package_Status1"/>
      <sheetName val="WATER_DUCT_-_IC_21"/>
      <sheetName val="Asset_Desc"/>
      <sheetName val="BUAs_and_Sales_Forecast"/>
      <sheetName val="Lagoons_Breakdown_Prices"/>
      <sheetName val="Cover_HW_Z2_"/>
      <sheetName val="TOTAL_WORK"/>
      <sheetName val="part_3"/>
      <sheetName val="pile_Length_for_Easter_fence"/>
      <sheetName val="Div_10-Specialities_"/>
      <sheetName val="MALE_&amp;_FEMALE_"/>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Service_Type12"/>
      <sheetName val="Contract_Division12"/>
      <sheetName val="SubContract_Type12"/>
      <sheetName val="_SHOPLIST_xls_70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Finansal_tamamlanma_Eğrisi5"/>
      <sheetName val="May_055"/>
      <sheetName val="April_055"/>
      <sheetName val="Aug_055"/>
      <sheetName val="July_055"/>
      <sheetName val="June_055"/>
      <sheetName val="Nov_055"/>
      <sheetName val="Oct_055"/>
      <sheetName val="Sep_055"/>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precast_RC_element5"/>
      <sheetName val="pile_Fabrication5"/>
      <sheetName val="New_Bld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HB_CEC_schd_4_25"/>
      <sheetName val="HB_CEC_schd_4_35"/>
      <sheetName val="HB_CEC_schd_5_25"/>
      <sheetName val="HB_CEC_schd_6_25"/>
      <sheetName val="HB_CEC_schd_7_25"/>
      <sheetName val="HB_CEC_schd_9_25"/>
      <sheetName val="Doha_Farm5"/>
      <sheetName val="Dropdown_List5"/>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SHOPLIST_xls][SH3"/>
      <sheetName val="[SHOPLIST_xls]70_3"/>
      <sheetName val="P1926-H2B_Pkg_2A&amp;2B3"/>
      <sheetName val="P1940-H2B_Pkg_1_Guestrooms3"/>
      <sheetName val="BOQ_1_923"/>
      <sheetName val="Abs_PMRL3"/>
      <sheetName val="B2-DV_No_022"/>
      <sheetName val="GENERAL_SUMMARY2"/>
      <sheetName val="SITE_WORKS2"/>
      <sheetName val="WOOD_WORK2"/>
      <sheetName val="THERMAL_&amp;_MOISTURE_2"/>
      <sheetName val="DOORS_&amp;_WINDOWS2"/>
      <sheetName val="Additional_Items2"/>
      <sheetName val="Master_data2"/>
      <sheetName val="[SHOPLIST_xls]/VWVU))tÏØ0_105"/>
      <sheetName val="Staff_OLD_2"/>
      <sheetName val="Comp_equip2"/>
      <sheetName val="Basic_Rate2"/>
      <sheetName val="MASTER_RATE_ANALYSIS2"/>
      <sheetName val="MAIN_SUMMARY2"/>
      <sheetName val="[SHOPLIST_xls]/VWVU))tÏØ0_106"/>
      <sheetName val="[SHOPLIST_xls]/VWVU))tÏØ0_107"/>
      <sheetName val="Appendix-A_-GRAND_SUMMARY2"/>
      <sheetName val="D9_(New_Rate)2"/>
      <sheetName val="Grand_Summary_2"/>
      <sheetName val="Bill_No_01_-_GI_2"/>
      <sheetName val="combined_2"/>
      <sheetName val="summary-Optional_2"/>
      <sheetName val="B14_02_2"/>
      <sheetName val="Prov_Sum_2"/>
      <sheetName val="Contractor_Application2"/>
      <sheetName val="08_MEP_Summary2"/>
      <sheetName val="Addnl_works2"/>
      <sheetName val="B3__Material_on_Site-Detail2"/>
      <sheetName val="Joseph_Record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_Estimate__1"/>
      <sheetName val="Equip_1"/>
      <sheetName val="Account_Codes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Closing"/>
      <sheetName val="Income Statement"/>
      <sheetName val="FAL_intern"/>
      <sheetName val="SI_221"/>
      <sheetName val="TO_List1"/>
      <sheetName val="CCTV_DATA1"/>
      <sheetName val="FAL_intern1"/>
      <sheetName val="SI_222"/>
      <sheetName val="TO_List2"/>
      <sheetName val="CCTV_DATA2"/>
      <sheetName val="FAL_intern2"/>
      <sheetName val="Kur"/>
      <sheetName val="HAKEDİŞ "/>
      <sheetName val="keşif özeti"/>
      <sheetName val="Katsayılar"/>
      <sheetName val="C-7-9-1-J (ESU 1,2,3,4)"/>
      <sheetName val="bill no 2"/>
      <sheetName val="bill no 3"/>
      <sheetName val="bill no 4"/>
      <sheetName val="bill no 5"/>
      <sheetName val="bill no 6"/>
      <sheetName val="bill no 7"/>
      <sheetName val="bill no 8"/>
      <sheetName val="EW01-B7"/>
      <sheetName val="EW02-B7"/>
      <sheetName val="EW03-B7"/>
      <sheetName val="EW04-B7"/>
      <sheetName val="EW05-B7"/>
      <sheetName val="VO ( Bus Bays &amp; Park)"/>
      <sheetName val="VO (Fair face wall)"/>
      <sheetName val="VO (Heavy Veh.Access)"/>
      <sheetName val="VO-Pipe&amp;Slab Culvt"/>
      <sheetName val="VO (Raised foot walk)"/>
      <sheetName val="VO Bill-4 &amp; 5"/>
      <sheetName val="VO (WATCHER's HUT)"/>
      <sheetName val="VO (Water Tank)"/>
      <sheetName val="Total_PrC-Goldi"/>
      <sheetName val="[SHOPLIST.xls]/VWVU))tÏØ0__23"/>
      <sheetName val="[SHOPLIST.xls]/VWVU))tÏØ0__22"/>
      <sheetName val="[SHOPLIST.xls]70___0_s__i____14"/>
      <sheetName val="[SHOPLIST.xls]_VW__VU________10"/>
      <sheetName val="[SHOPLIST.xls]70___0_s__i____15"/>
      <sheetName val="[SHOPLIST.xls]70_x005f_x0000___0_x0_6"/>
      <sheetName val="[SHOPLIST.xls]70___0_s__i____16"/>
      <sheetName val="[SHOPLIST.xls]_VW__VU________11"/>
      <sheetName val="[SHOPLIST.xls]70___0_s__i____17"/>
      <sheetName val="[SHOPLIST.xls]_VW__VU________12"/>
      <sheetName val="[SHOPLIST.xls]70___0_s__i____18"/>
      <sheetName val="[SHOPLIST.xls]70_x005f_x0000___0_x0_7"/>
      <sheetName val="[SHOPLIST.xls]70___0_s__i____19"/>
      <sheetName val="[SHOPLIST.xls]_VW__VU________13"/>
      <sheetName val="[SHOPLIST.xls]_SHOPLIST_xls_464"/>
      <sheetName val="[SHOPLIST.xls]_SHOPLIST_xls_465"/>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70_x005f_x005f_x005f_x0000__5"/>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70___0_s__i____20"/>
      <sheetName val="[SHOPLIST.xls]_VW__VU________14"/>
      <sheetName val="[SHOPLIST.xls]70___0_s__i____21"/>
      <sheetName val="[SHOPLIST.xls]70_x005f_x0000___0_x0_8"/>
      <sheetName val="[SHOPLIST.xls]70___0_s__i____22"/>
      <sheetName val="[SHOPLIST.xls]_SHOPLIST_xls_583"/>
      <sheetName val="[SHOPLIST.xls]_VW__VU________15"/>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_SHOPLIST_xls_604"/>
      <sheetName val="[SHOPLIST.xls]_SHOPLIST_xls_605"/>
      <sheetName val="[SHOPLIST.xls]_SHOPLIST_xls_606"/>
      <sheetName val="[SHOPLIST.xls]_SHOPLIST_xls_607"/>
      <sheetName val="[SHOPLIST.xls]_SHOPLIST_xls_608"/>
      <sheetName val="[SHOPLIST.xls]_SHOPLIST_xls_609"/>
      <sheetName val="[SHOPLIST.xls]_SHOPLIST_xls_610"/>
      <sheetName val="[SHOPLIST.xls]_SHOPLIST_xls_611"/>
      <sheetName val="[SHOPLIST.xls]_SHOPLIST_xls_612"/>
      <sheetName val="[SHOPLIST.xls]_SHOPLIST_xls_613"/>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624"/>
      <sheetName val="[SHOPLIST.xls]_SHOPLIST_xls_625"/>
      <sheetName val="[SHOPLIST.xls]_SHOPLIST_xls_626"/>
      <sheetName val="[SHOPLIST.xls]_SHOPLIST_xls_627"/>
      <sheetName val="[SHOPLIST.xls]_SHOPLIST_xls_628"/>
      <sheetName val="[SHOPLIST.xls]_SHOPLIST_xls_629"/>
      <sheetName val="[SHOPLIST.xls]_SHOPLIST_xls_630"/>
      <sheetName val="[SHOPLIST.xls]_SHOPLIST_xls_631"/>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657"/>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671"/>
      <sheetName val="[SHOPLIST.xls]_SHOPLIST_xls_672"/>
      <sheetName val="[SHOPLIST.xls]_SHOPLIST_xls_673"/>
      <sheetName val="[SHOPLIST.xls]_SHOPLIST_xls_674"/>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690"/>
      <sheetName val="[SHOPLIST.xls]_SHOPLIST_xls_691"/>
      <sheetName val="[SHOPLIST.xls]_SHOPLIST_xls_692"/>
      <sheetName val="[SHOPLIST.xls]_SHOPLIST_xls_693"/>
      <sheetName val="[SHOPLIST.xls]_SHOPLIST_xls_694"/>
      <sheetName val="[SHOPLIST.xls]70_x005f_x005f_x005f_x0000__6"/>
      <sheetName val="Calendar"/>
      <sheetName val="Sheet9"/>
      <sheetName val="Materials Cost"/>
      <sheetName val="djfx"/>
      <sheetName val="FEVA"/>
      <sheetName val="HO Costs"/>
      <sheetName val="FLOOR_AND_CEILING"/>
      <sheetName val="area_comp_2011_01_18_(2)"/>
      <sheetName val="drop_down_lists"/>
      <sheetName val="PH_5"/>
      <sheetName val="[SHOPLIST_xls]70___0_s__i_____2"/>
      <sheetName val="[SHOPLIST_xls]_VW__VU_________2"/>
      <sheetName val="[SHOPLIST_xls]_VW__VU_________3"/>
      <sheetName val="[SHOPLIST_xls]70_x005f_x0000___0_x0_2"/>
      <sheetName val="[SHOPLIST.xls]_SHOPLIST_xls_695"/>
      <sheetName val="[SHOPLIST.xls]_SHOPLIST_xls_696"/>
      <sheetName val="[SHOPLIST.xls]_SHOPLIST_xls_697"/>
      <sheetName val="[SHOPLIST.xls]_SHOPLIST_xls_698"/>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26"/>
      <sheetName val="[SHOPLIST.xls]70___0_s__i____23"/>
      <sheetName val="[SHOPLIST.xls]_VW__VU________16"/>
      <sheetName val="[SHOPLIST.xls]70___0_s__i____24"/>
      <sheetName val="[SHOPLIST.xls]70_x005f_x0000___0_x0_9"/>
      <sheetName val="[SHOPLIST.xls]70___0_s__i____25"/>
      <sheetName val="[SHOPLIST.xls]_SHOPLIST_xls_727"/>
      <sheetName val="[SHOPLIST.xls]_VW__VU________1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50"/>
      <sheetName val="[SHOPLIST.xls]_SHOPLIST_xls_751"/>
      <sheetName val="[SHOPLIST.xls]_SHOPLIST_xls_752"/>
      <sheetName val="[SHOPLIST.xls]_SHOPLIST_xls_753"/>
      <sheetName val="[SHOPLIST.xls]_SHOPLIST_xls_754"/>
      <sheetName val="[SHOPLIST.xls]_SHOPLIST_xls_755"/>
      <sheetName val="[SHOPLIST.xls]_SHOPLIST_xls_756"/>
      <sheetName val="[SHOPLIST.xls]_SHOPLIST_xls_757"/>
      <sheetName val="[SHOPLIST.xls]_SHOPLIST_xls_758"/>
      <sheetName val="[SHOPLIST.xls]_SHOPLIST_xls_759"/>
      <sheetName val="[SHOPLIST.xls]_SHOPLIST_xls_760"/>
      <sheetName val="[SHOPLIST.xls]_SHOPLIST_xls_761"/>
      <sheetName val="[SHOPLIST.xls]_SHOPLIST_xls_762"/>
      <sheetName val="[SHOPLIST.xls]_SHOPLIST_xls_763"/>
      <sheetName val="[SHOPLIST.xls]_SHOPLIST_xls_764"/>
      <sheetName val="[SHOPLIST.xls]_SHOPLIST_xls_765"/>
      <sheetName val="[SHOPLIST.xls]_SHOPLIST_xls_766"/>
      <sheetName val="[SHOPLIST.xls]_SHOPLIST_xls_767"/>
      <sheetName val="[SHOPLIST.xls]_SHOPLIST_xls_768"/>
      <sheetName val="[SHOPLIST.xls]_SHOPLIST_xls_769"/>
      <sheetName val="[SHOPLIST.xls]_SHOPLIST_xls_770"/>
      <sheetName val="[SHOPLIST.xls]_SHOPLIST_xls_771"/>
      <sheetName val="[SHOPLIST.xls]_SHOPLIST_xls_772"/>
      <sheetName val="[SHOPLIST.xls]_SHOPLIST_xls_773"/>
      <sheetName val="[SHOPLIST.xls]_SHOPLIST_xls_774"/>
      <sheetName val="[SHOPLIST.xls]_SHOPLIST_xls_775"/>
      <sheetName val="[SHOPLIST.xls]_SHOPLIST_xls_776"/>
      <sheetName val="[SHOPLIST.xls]_SHOPLIST_xls_777"/>
      <sheetName val="[SHOPLIST.xls]_SHOPLIST_xls_778"/>
      <sheetName val="[SHOPLIST.xls]_SHOPLIST_xls_779"/>
      <sheetName val="[SHOPLIST.xls]_SHOPLIST_xls_780"/>
      <sheetName val="[SHOPLIST.xls]_SHOPLIST_xls_781"/>
      <sheetName val="[SHOPLIST.xls]_SHOPLIST_xls_782"/>
      <sheetName val="[SHOPLIST.xls]_SHOPLIST_xls_783"/>
      <sheetName val="[SHOPLIST.xls]_SHOPLIST_xls_784"/>
      <sheetName val="[SHOPLIST.xls]_SHOPLIST_xls_785"/>
      <sheetName val="[SHOPLIST.xls]_SHOPLIST_xls_786"/>
      <sheetName val="[SHOPLIST.xls]_SHOPLIST_xls_787"/>
      <sheetName val="[SHOPLIST.xls]_SHOPLIST_xls_788"/>
      <sheetName val="[SHOPLIST.xls]_SHOPLIST_xls_789"/>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70_x005f_x005f_x005f_x0000__7"/>
      <sheetName val="_SHOPLIST.xls__SH"/>
      <sheetName val="70,_0s«iÆøí¬i1"/>
      <sheetName val="70,_0s«_iÆø_í¬"/>
      <sheetName val="_SHOPLIST.xls_70_"/>
      <sheetName val="70,_0s«iÆøí¬i2"/>
      <sheetName val="70,_0s«iÆøí¬i3"/>
      <sheetName val="_SHOPLIST_xls_70_"/>
      <sheetName val="_SHOPLIST.xls__VWVU))tÏØ0__10"/>
      <sheetName val="_SHOPLIST.xls__VWVU))tÏØ0__11"/>
      <sheetName val="_SHOPLIST_xls__SH"/>
      <sheetName val="_SHOPLIST_xls__VWVU))tÏØ0  "/>
      <sheetName val="[SHOPLIST_xls]70___0_s__i_____3"/>
      <sheetName val="ملخص_المشاريع"/>
      <sheetName val="عقود_المقاولين"/>
      <sheetName val="اوامر_الشراء"/>
      <sheetName val="الحركة_اليومية"/>
      <sheetName val="محمد_عساف"/>
      <sheetName val="كشف_الايرادات_والضرائب"/>
      <sheetName val="حساب_البنك"/>
      <sheetName val="كشف_الرواتب"/>
      <sheetName val="SAF_-_عهد_-_سلامي_ابو_فخر"/>
      <sheetName val="THA_-_عهد_-_ثابت_احمد"/>
      <sheetName val="AAH_-_عهد_-_انس_هبو"/>
      <sheetName val="YSA_-_عهد_-_ياسر_السبع"/>
      <sheetName val="MKJ_-_عهد_-_محمود_قجك"/>
      <sheetName val="MSH_-_عهد_-_محمد_الشامي"/>
      <sheetName val="ALW_-_عهد_-_علوان_علي"/>
      <sheetName val="AHA_-_عهد_-_احمد_الحاج"/>
      <sheetName val="MOR_-_عهد_-_مرجان_عبدالهادي"/>
      <sheetName val="MHA_-_عهد_-_محمد_حسون_العلي"/>
      <sheetName val="MF_-_مكتب_رئيسي"/>
      <sheetName val="CO_-_مقاولين_-_عقود_(2)"/>
      <sheetName val="BUR_-_موردين_-_شركة_البروج_"/>
      <sheetName val="CAP_-_موردين_-_عاصمة_الكهرباء"/>
      <sheetName val="PO_-_موردين_-_اوامر_شراء"/>
      <sheetName val="CO_-_مقاولين_-_عقود"/>
      <sheetName val="Product Sheet40"/>
      <sheetName val="HSBC"/>
      <sheetName val="REBAR"/>
      <sheetName val="Cost Summary"/>
      <sheetName val="Cost Summary SD"/>
      <sheetName val="Schedule S-Curve Revision#3"/>
      <sheetName val="2.223M_due to adj profit"/>
      <sheetName val="C-10"/>
      <sheetName val="C-11"/>
      <sheetName val="C-12"/>
      <sheetName val="C-3"/>
      <sheetName val="C-4"/>
      <sheetName val="C-5"/>
      <sheetName val="C-5A"/>
      <sheetName val="C-6"/>
      <sheetName val="C-6A"/>
      <sheetName val="C-7"/>
      <sheetName val="C-8"/>
      <sheetName val="C-9"/>
      <sheetName val="STAND98"/>
      <sheetName val="辽电初设.XLS 定额"/>
      <sheetName val="DVL"/>
      <sheetName val="[SHOPLIST_xls]70,/0s«_iÆø_í¬1"/>
      <sheetName val="[SHOPLIST_xls]70,/0s«iÆøí¬i21"/>
      <sheetName val="[SHOPLIST_xls]70,/0s«iÆøí¬i31"/>
      <sheetName val="[SHOPLIST_xls]70,/0s«_iÆø_í¬2"/>
      <sheetName val="[SHOPLIST_xls]70,/0s«iÆøí¬i22"/>
      <sheetName val="[SHOPLIST_xls]70,/0s«iÆøí¬i32"/>
      <sheetName val="[SHOPLIST_xls]70,/0s«i_x1"/>
      <sheetName val="foot-slab_rein"/>
      <sheetName val="foot-slab_reinø_x0006_"/>
      <sheetName val="foot-slab_reinÝ¥"/>
      <sheetName val="foot-slab_reinP"/>
      <sheetName val="SUM-AIR-Submit"/>
      <sheetName val="Schedules PL"/>
      <sheetName val="Schedules BS"/>
      <sheetName val="Summary-margin calc"/>
      <sheetName val="S-Curve_Update"/>
      <sheetName val="VESSELS_"/>
      <sheetName val="bill no. 3"/>
      <sheetName val="Qty SR"/>
      <sheetName val="EW SR"/>
      <sheetName val="GFA_HQ_Building36"/>
      <sheetName val="GFA_Conference35"/>
      <sheetName val="BQ_External35"/>
      <sheetName val="Graph_Data_(DO_NOT_PRINT)34"/>
      <sheetName val="StattCo_yCharges34"/>
      <sheetName val="Penthouse_Apartment34"/>
      <sheetName val="LABOUR_HISTOGRAM35"/>
      <sheetName val="Chiet_tinh_dz2234"/>
      <sheetName val="Chiet_tinh_dz3534"/>
      <sheetName val="@risk_rents_and_incentives34"/>
      <sheetName val="Car_park_lease34"/>
      <sheetName val="Net_rent_analysis34"/>
      <sheetName val="Poz-1_34"/>
      <sheetName val="Lab_Cum_Hist34"/>
      <sheetName val="Raw_Data34"/>
      <sheetName val="Bill_No__234"/>
      <sheetName val="CT_Thang_Mo34"/>
      <sheetName val="budget_summary_(2)33"/>
      <sheetName val="Budget_Analysis_Summary33"/>
      <sheetName val="LEVEL_SHEET34"/>
      <sheetName val="SPT_vs_PHI34"/>
      <sheetName val="CT__PL33"/>
      <sheetName val="Projet,_methodes_&amp;_couts33"/>
      <sheetName val="Risques_majeurs_&amp;_Frais_Ind_33"/>
      <sheetName val="FOL_-_Bar34"/>
      <sheetName val="intr_stool_brkup33"/>
      <sheetName val="Tender_Summary34"/>
      <sheetName val="Insurance_Ext34"/>
      <sheetName val="Customize_Your_Invoice34"/>
      <sheetName val="HVAC_BoQ34"/>
      <sheetName val="Body_Sheet33"/>
      <sheetName val="1_0_Executive_Summary33"/>
      <sheetName val="Top_sheet33"/>
      <sheetName val="Ap_A31"/>
      <sheetName val="SHOPLIST_xls30"/>
      <sheetName val="Bill_232"/>
      <sheetName val="2_Div_14_31"/>
      <sheetName val="beam-reinft-IIInd_floor30"/>
      <sheetName val="beam-reinft-machine_rm30"/>
      <sheetName val="Bill_131"/>
      <sheetName val="Bill_331"/>
      <sheetName val="Bill_431"/>
      <sheetName val="Bill_531"/>
      <sheetName val="Bill_631"/>
      <sheetName val="Bill_731"/>
      <sheetName val="POWER_ASSUMPTIONS30"/>
      <sheetName val="Invoice_Summary30"/>
      <sheetName val="PROJECT_BRIEF31"/>
      <sheetName val="Civil_Boq29"/>
      <sheetName val="C_(3)31"/>
      <sheetName val="Dubai_golf30"/>
      <sheetName val="WITHOUT_C&amp;I_PROFIT_(3)29"/>
      <sheetName val="HIRED_LABOUR_CODE27"/>
      <sheetName val="PA-_Consutant_27"/>
      <sheetName val="foot-slab_reinft27"/>
      <sheetName val="Softscape_Buildup29"/>
      <sheetName val="Mat'l_Rate29"/>
      <sheetName val="VALVE_CHAMBERS26"/>
      <sheetName val="Fire_Hydrants26"/>
      <sheetName val="B_GATE_VALVE26"/>
      <sheetName val="Sub_G1_Fire26"/>
      <sheetName val="Sub_G12_Fire26"/>
      <sheetName val="Activity_List29"/>
      <sheetName val="BILL_COV27"/>
      <sheetName val="Ra__stair27"/>
      <sheetName val="DETAILED__BOQ27"/>
      <sheetName val="M-Book_for_Conc27"/>
      <sheetName val="M-Book_for_FW27"/>
      <sheetName val="Materials_Cost(PCC)26"/>
      <sheetName val="India_F&amp;S_Template26"/>
      <sheetName val="IO_LIST26"/>
      <sheetName val="Material_26"/>
      <sheetName val="Quote_Sheet26"/>
      <sheetName val="Day_work26"/>
      <sheetName val="Working_for_RCC25"/>
      <sheetName val="Div__0225"/>
      <sheetName val="Div__0325"/>
      <sheetName val="Div__0425"/>
      <sheetName val="Div__0525"/>
      <sheetName val="Div__0625"/>
      <sheetName val="Div__0725"/>
      <sheetName val="GFA_HQ_Building35"/>
      <sheetName val="GFA_Conference34"/>
      <sheetName val="BQ_External34"/>
      <sheetName val="Graph_Data_(DO_NOT_PRINT)33"/>
      <sheetName val="StattCo_yCharges33"/>
      <sheetName val="Penthouse_Apartment33"/>
      <sheetName val="LABOUR_HISTOGRAM34"/>
      <sheetName val="Chiet_tinh_dz2233"/>
      <sheetName val="Chiet_tinh_dz3533"/>
      <sheetName val="@risk_rents_and_incentives33"/>
      <sheetName val="Car_park_lease33"/>
      <sheetName val="Net_rent_analysis33"/>
      <sheetName val="Poz-1_33"/>
      <sheetName val="Lab_Cum_Hist33"/>
      <sheetName val="Raw_Data33"/>
      <sheetName val="Bill_No__233"/>
      <sheetName val="CT_Thang_Mo33"/>
      <sheetName val="budget_summary_(2)32"/>
      <sheetName val="Budget_Analysis_Summary32"/>
      <sheetName val="LEVEL_SHEET33"/>
      <sheetName val="SPT_vs_PHI33"/>
      <sheetName val="CT__PL32"/>
      <sheetName val="Projet,_methodes_&amp;_couts32"/>
      <sheetName val="Risques_majeurs_&amp;_Frais_Ind_32"/>
      <sheetName val="FOL_-_Bar33"/>
      <sheetName val="intr_stool_brkup32"/>
      <sheetName val="Tender_Summary33"/>
      <sheetName val="Insurance_Ext33"/>
      <sheetName val="Customize_Your_Invoice33"/>
      <sheetName val="HVAC_BoQ33"/>
      <sheetName val="Body_Sheet32"/>
      <sheetName val="1_0_Executive_Summary32"/>
      <sheetName val="Top_sheet32"/>
      <sheetName val="Ap_A30"/>
      <sheetName val="SHOPLIST_xls29"/>
      <sheetName val="Bill_231"/>
      <sheetName val="2_Div_14_30"/>
      <sheetName val="beam-reinft-IIInd_floor29"/>
      <sheetName val="beam-reinft-machine_rm29"/>
      <sheetName val="Bill_130"/>
      <sheetName val="Bill_330"/>
      <sheetName val="Bill_430"/>
      <sheetName val="Bill_530"/>
      <sheetName val="Bill_630"/>
      <sheetName val="Bill_730"/>
      <sheetName val="POWER_ASSUMPTIONS29"/>
      <sheetName val="Invoice_Summary29"/>
      <sheetName val="PROJECT_BRIEF30"/>
      <sheetName val="Civil_Boq28"/>
      <sheetName val="C_(3)30"/>
      <sheetName val="Dubai_golf29"/>
      <sheetName val="WITHOUT_C&amp;I_PROFIT_(3)28"/>
      <sheetName val="HIRED_LABOUR_CODE26"/>
      <sheetName val="PA-_Consutant_26"/>
      <sheetName val="foot-slab_reinft26"/>
      <sheetName val="Softscape_Buildup28"/>
      <sheetName val="Mat'l_Rate28"/>
      <sheetName val="VALVE_CHAMBERS25"/>
      <sheetName val="Fire_Hydrants25"/>
      <sheetName val="B_GATE_VALVE25"/>
      <sheetName val="Sub_G1_Fire25"/>
      <sheetName val="Sub_G12_Fire25"/>
      <sheetName val="Activity_List28"/>
      <sheetName val="BILL_COV26"/>
      <sheetName val="Ra__stair26"/>
      <sheetName val="DETAILED__BOQ26"/>
      <sheetName val="M-Book_for_Conc26"/>
      <sheetName val="M-Book_for_FW26"/>
      <sheetName val="Materials_Cost(PCC)25"/>
      <sheetName val="India_F&amp;S_Template25"/>
      <sheetName val="IO_LIST25"/>
      <sheetName val="Material_25"/>
      <sheetName val="Quote_Sheet25"/>
      <sheetName val="Day_work25"/>
      <sheetName val="Working_for_RCC24"/>
      <sheetName val="Div__0224"/>
      <sheetName val="Div__0324"/>
      <sheetName val="Div__0424"/>
      <sheetName val="Div__0524"/>
      <sheetName val="Div__0624"/>
      <sheetName val="Div__0724"/>
      <sheetName val="Div__0824"/>
      <sheetName val="Div__0924"/>
      <sheetName val="Div__1024"/>
      <sheetName val="Div__1124"/>
      <sheetName val="Div__1224"/>
      <sheetName val="Div_1324"/>
      <sheetName val="EXTERNAL_WORKS24"/>
      <sheetName val="PRODUCTIVITY_RATE24"/>
      <sheetName val="U_R_A_-_MASONRY24"/>
      <sheetName val="U_R_A_-_PLASTERING24"/>
      <sheetName val="U_R_A_-_TILING24"/>
      <sheetName val="U_R_A_-_GRANITE24"/>
      <sheetName val="V_C_2_-_EARTHWORK24"/>
      <sheetName val="V_C_9_-_CERAMIC24"/>
      <sheetName val="V_C_9_-_FINISHES24"/>
      <sheetName val="Elemental_Buildup23"/>
      <sheetName val="Eq__Mobilization24"/>
      <sheetName val="w't_table23"/>
      <sheetName val="bill_nb2-Plumbing_&amp;_Drainag23"/>
      <sheetName val="Pl_&amp;_Dr_B23"/>
      <sheetName val="Pl_&amp;_Dr_G23"/>
      <sheetName val="Pl_&amp;_Dr_M23"/>
      <sheetName val="Pl_&amp;_Dr_123"/>
      <sheetName val="Pl_&amp;_Dr_223"/>
      <sheetName val="Pl_&amp;_Dr_323"/>
      <sheetName val="Pl_&amp;_Dr_423"/>
      <sheetName val="Pl_&amp;_Dr_523"/>
      <sheetName val="Pl_&amp;_Dr_623"/>
      <sheetName val="Pl_&amp;_Dr_723"/>
      <sheetName val="Pl_&amp;_Dr_823"/>
      <sheetName val="Pl_&amp;_Dr_R23"/>
      <sheetName val="FF_B23"/>
      <sheetName val="FF_G23"/>
      <sheetName val="FF_M23"/>
      <sheetName val="FF_123"/>
      <sheetName val="FF_2_23"/>
      <sheetName val="FF_323"/>
      <sheetName val="FF_423"/>
      <sheetName val="FF_523"/>
      <sheetName val="FF_6_23"/>
      <sheetName val="FF_723"/>
      <sheetName val="FF_823"/>
      <sheetName val="FF_R23"/>
      <sheetName val="bill_nb3-FF23"/>
      <sheetName val="HVAC_B23"/>
      <sheetName val="HVAC_G23"/>
      <sheetName val="HVAC_M23"/>
      <sheetName val="HVAC_123"/>
      <sheetName val="HVAC_223"/>
      <sheetName val="HVAC_323"/>
      <sheetName val="HVAC_423"/>
      <sheetName val="HVAC_523"/>
      <sheetName val="HVAC_623"/>
      <sheetName val="HVAC_723"/>
      <sheetName val="HVAC_823"/>
      <sheetName val="HVAC_R23"/>
      <sheetName val="bill_nb4-HVAC23"/>
      <sheetName val="SC_B23"/>
      <sheetName val="SC_G23"/>
      <sheetName val="SC_M23"/>
      <sheetName val="SC_123"/>
      <sheetName val="SC_223"/>
      <sheetName val="SC_323"/>
      <sheetName val="SC_423"/>
      <sheetName val="SC_523"/>
      <sheetName val="SC_623"/>
      <sheetName val="SC_723"/>
      <sheetName val="SC_823"/>
      <sheetName val="SC_R23"/>
      <sheetName val="AV_B23"/>
      <sheetName val="AV_G23"/>
      <sheetName val="AV_M23"/>
      <sheetName val="AV_123"/>
      <sheetName val="AV_223"/>
      <sheetName val="AV_323"/>
      <sheetName val="AV_423"/>
      <sheetName val="AV_523"/>
      <sheetName val="AV_623"/>
      <sheetName val="AV_723"/>
      <sheetName val="AV_823"/>
      <sheetName val="EL_B23"/>
      <sheetName val="EL_M23"/>
      <sheetName val="EL_123"/>
      <sheetName val="EL_223"/>
      <sheetName val="EL_323"/>
      <sheetName val="EL_423"/>
      <sheetName val="EL_523"/>
      <sheetName val="EL_623"/>
      <sheetName val="EL_723"/>
      <sheetName val="EL_823"/>
      <sheetName val="EL_R23"/>
      <sheetName val="EL_TR23"/>
      <sheetName val="8-_EL23"/>
      <sheetName val="FA_B23"/>
      <sheetName val="FA_G23"/>
      <sheetName val="FA_M23"/>
      <sheetName val="FA_123"/>
      <sheetName val="FA_223"/>
      <sheetName val="FA_323"/>
      <sheetName val="FA_423"/>
      <sheetName val="FA_523"/>
      <sheetName val="FA_623"/>
      <sheetName val="FA_723"/>
      <sheetName val="FA_823"/>
      <sheetName val="FA_R23"/>
      <sheetName val="9-_FA23"/>
      <sheetName val="BOQ_Direct_selling_cost25"/>
      <sheetName val="CHART_OF_ACCOUNTS24"/>
      <sheetName val="B185-B-9_124"/>
      <sheetName val="B185-B-9_224"/>
      <sheetName val="Material_List_23"/>
      <sheetName val="E-Bill_No_6_A-O24"/>
      <sheetName val="B09_124"/>
      <sheetName val="Division_252"/>
      <sheetName val="Division_423"/>
      <sheetName val="Division_523"/>
      <sheetName val="Division_623"/>
      <sheetName val="Division_723"/>
      <sheetName val="Division_823"/>
      <sheetName val="Division_923"/>
      <sheetName val="Division_1023"/>
      <sheetName val="Division_1223"/>
      <sheetName val="Division_1423"/>
      <sheetName val="Division_2126"/>
      <sheetName val="Division_2224"/>
      <sheetName val="Division_2323"/>
      <sheetName val="Division_2623"/>
      <sheetName val="Division_2723"/>
      <sheetName val="Division_2823"/>
      <sheetName val="Division_3123"/>
      <sheetName val="Division_3223"/>
      <sheetName val="Division_3323"/>
      <sheetName val="PMWeb_data24"/>
      <sheetName val="PointNo_523"/>
      <sheetName val="SS_MH24"/>
      <sheetName val="2_2)Revised_Cash_Flow23"/>
      <sheetName val="입찰내역_발주처_양식23"/>
      <sheetName val="LIST_DO_NOT_REMOVE22"/>
      <sheetName val="Index_List23"/>
      <sheetName val="Type_List23"/>
      <sheetName val="File_Types23"/>
      <sheetName val="Chiet_t23"/>
      <sheetName val="Staffing_and_Rates_IA23"/>
      <sheetName val="Employee_List21"/>
      <sheetName val="PRECAST_lightconc-II25"/>
      <sheetName val="final_abstract25"/>
      <sheetName val="B6_2_22"/>
      <sheetName val="Project_Cost_Breakdown21"/>
      <sheetName val="Summary_of_Work21"/>
      <sheetName val="Item-_Compact21"/>
      <sheetName val="E_&amp;_R21"/>
      <sheetName val="Staff_Acco_21"/>
      <sheetName val="TBAL9697_-group_wise__sdpl21"/>
      <sheetName val="SITE_WORK20"/>
      <sheetName val="Рабочий_лист20"/>
      <sheetName val="PT_141-_Site_A_Landscape20"/>
      <sheetName val="Rate_summary20"/>
      <sheetName val="Annex_1_Sect_3a21"/>
      <sheetName val="Annex_1_Sect_3a_121"/>
      <sheetName val="Annex_1_Sect_3b21"/>
      <sheetName val="Annex_1_Sect_3c21"/>
      <sheetName val="HOURLY_RATES21"/>
      <sheetName val="RAB_AR&amp;STR20"/>
      <sheetName val="d-safe_DELUXE20"/>
      <sheetName val="Back_up20"/>
      <sheetName val="INDIGINEOUS_ITEMS_20"/>
      <sheetName val="train_cash20"/>
      <sheetName val="accom_cash20"/>
      <sheetName val="Mall_waterproofing20"/>
      <sheetName val="MSCP_waterproofing20"/>
      <sheetName val="Duct_Accesories20"/>
      <sheetName val="????_???_??20"/>
      <sheetName val="Labour_&amp;_Plant20"/>
      <sheetName val="Ave_wtd_rates20"/>
      <sheetName val="Debits_as_on_12_04_0820"/>
      <sheetName val="STAFFSCHED_20"/>
      <sheetName val="TRIAL_BALANCE20"/>
      <sheetName val="[SHOPLIST_xls][SHOPLIST_xls]738"/>
      <sheetName val="Common_Variables20"/>
      <sheetName val="[SHOPLIST_xls]70,/0s«iÆøí¬i20"/>
      <sheetName val="GPL_Revenu_Update20"/>
      <sheetName val="DO_NOT_TOUCH20"/>
      <sheetName val="Work_Type20"/>
      <sheetName val="PROJECT_BRIEF(EX_NEW)20"/>
      <sheetName val="AREA_OF_APPLICATION19"/>
      <sheetName val="Risk_Breakdown_Structure19"/>
      <sheetName val="Geneí¬_i19"/>
      <sheetName val="steel_total19"/>
      <sheetName val="ELE_BOQ19"/>
      <sheetName val="Z-_GENERAL_PRICE_SUMMARY16"/>
      <sheetName val="PPA_Summary16"/>
      <sheetName val="Mix_Design16"/>
      <sheetName val="Resumo_Empreitadas16"/>
      <sheetName val="%_prog_figs_-u5_and_total16"/>
      <sheetName val="Floor_Box_17"/>
      <sheetName val="Equipment_Rates15"/>
      <sheetName val="[SHOPLIST_xls]/VW15"/>
      <sheetName val="Cashflow_projection15"/>
      <sheetName val="[SHOPLIST_xls][SHOPLIST_xls]739"/>
      <sheetName val="E_H_-_H__W_P_15"/>
      <sheetName val="E__H__Treatment_for_pile_cap15"/>
      <sheetName val="[SHOPLIST_xls][SHOPLIST_xls][15"/>
      <sheetName val="Materials_15"/>
      <sheetName val="Form_615"/>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Bill_8_Doors_&amp;_Windows15"/>
      <sheetName val="Bill_9_Finishes_15"/>
      <sheetName val="Bill_10_Specialities15"/>
      <sheetName val="Dash_board15"/>
      <sheetName val="[SHOPLIST_xls]7015"/>
      <sheetName val="[SHOPLIST_xls]70,15"/>
      <sheetName val="Base_BM-rebar15"/>
      <sheetName val="Site_Dev_BOQ15"/>
      <sheetName val="Data_Sheet15"/>
      <sheetName val="tender_allowances15"/>
      <sheetName val="_Summary_BKG_03415"/>
      <sheetName val="BILL_3R15"/>
      <sheetName val="Area_Breakdown_PER_LEVEL_LINK15"/>
      <sheetName val="CF_Input15"/>
      <sheetName val="DATA_INPUT15"/>
      <sheetName val="Vordruck-Nr__7_1_3_D15"/>
      <sheetName val="M&amp;A_D15"/>
      <sheetName val="M&amp;A_E15"/>
      <sheetName val="M&amp;A_G15"/>
      <sheetName val="1_2_Staff_Schedule16"/>
      <sheetName val="Bill_1015"/>
      <sheetName val="[SHOPLIST_xls]70,/0s«_iÆø_í¬_15"/>
      <sheetName val="[SHOPLIST_xls]70?,/0?s«i?Æøí¬15"/>
      <sheetName val="Labour_Costs15"/>
      <sheetName val="BLOCK-A_(MEA_SHEET)15"/>
      <sheetName val="Cost_Heading12"/>
      <sheetName val="Labour_Rate_12"/>
      <sheetName val="D_&amp;_W_sizes12"/>
      <sheetName val="SOPMA_DD12"/>
      <sheetName val="PRICE_INFO12"/>
      <sheetName val="RC_SUMMARY12"/>
      <sheetName val="LABOUR_PRODUCTIVITY-TAV12"/>
      <sheetName val="MATERIAL_PRICES12"/>
      <sheetName val="P-100_MRF_DB_R112"/>
      <sheetName val="Contract_Division13"/>
      <sheetName val="SubContract_Type13"/>
      <sheetName val="Service_Type13"/>
      <sheetName val="Attach_4-1812"/>
      <sheetName val="_SHOPLIST_xls_7012"/>
      <sheetName val="Ewaan_Show_Kitchen_(2)12"/>
      <sheetName val="Cash_Flow_Working12"/>
      <sheetName val="MN_T_B_12"/>
      <sheetName val="Data_I_(2)12"/>
      <sheetName val="rEFERENCES_12"/>
      <sheetName val="Qtys_ZamZam_(Del__before)12"/>
      <sheetName val="Qtys_Relocation_(Del_before)12"/>
      <sheetName val="_Qtys_Sub_&amp;_Tents_(Del__befor12"/>
      <sheetName val="Qtys__Signages_(Del__before)12"/>
      <sheetName val="Qtys_Temporary_Passages_(Del)12"/>
      <sheetName val="_Qtys_Ser__Rooms_(Del_before)12"/>
      <sheetName val="2F_회의실견적(5_14_일대)8"/>
      <sheetName val="_HIT-&gt;HMC_견적(3900)8"/>
      <sheetName val="Appendix_B8"/>
      <sheetName val="Div_07_Thermal_&amp;_Moisture6"/>
      <sheetName val="BOQ_(2)6"/>
      <sheetName val="LABOUR_RATE6"/>
      <sheetName val="Material_Rate6"/>
      <sheetName val="Labor_abs-PW6"/>
      <sheetName val="Labor_abs-NMR6"/>
      <sheetName val="kppl_pl6"/>
      <sheetName val="Basic_Rates6"/>
      <sheetName val="Combined_Results_6"/>
      <sheetName val="Balance_Sheet4"/>
      <sheetName val="May_056"/>
      <sheetName val="April_056"/>
      <sheetName val="Aug_056"/>
      <sheetName val="July_056"/>
      <sheetName val="June_056"/>
      <sheetName val="Nov_056"/>
      <sheetName val="Oct_056"/>
      <sheetName val="Sep_056"/>
      <sheetName val="[SHOPLIST_xls][SHOPLIST_xls]/V4"/>
      <sheetName val="precast_RC_element6"/>
      <sheetName val="pile_Fabrication6"/>
      <sheetName val="AOP_Summary-26"/>
      <sheetName val="Data_Validation6"/>
      <sheetName val="Div26_-_Elect6"/>
      <sheetName val="CHUNG_CU_CARRILON6"/>
      <sheetName val="[SHOPLIST_xls][SHOPLIST_xls]740"/>
      <sheetName val="B-3_2_EB4"/>
      <sheetName val="Sheet_Index4"/>
      <sheetName val="Core_Data4"/>
      <sheetName val="GFA_HQ_Building37"/>
      <sheetName val="GFA_Conference36"/>
      <sheetName val="BQ_External36"/>
      <sheetName val="Penthouse_Apartment35"/>
      <sheetName val="Raw_Data35"/>
      <sheetName val="StattCo_yCharges35"/>
      <sheetName val="LEVEL_SHEET35"/>
      <sheetName val="SPT_vs_PHI35"/>
      <sheetName val="LABOUR_HISTOGRAM36"/>
      <sheetName val="Chiet_tinh_dz2235"/>
      <sheetName val="Chiet_tinh_dz3535"/>
      <sheetName val="@risk_rents_and_incentives35"/>
      <sheetName val="Car_park_lease35"/>
      <sheetName val="Net_rent_analysis35"/>
      <sheetName val="Poz-1_35"/>
      <sheetName val="Graph_Data_(DO_NOT_PRINT)35"/>
      <sheetName val="Bill_No__235"/>
      <sheetName val="CT_Thang_Mo35"/>
      <sheetName val="Lab_Cum_Hist35"/>
      <sheetName val="CT__PL34"/>
      <sheetName val="Projet,_methodes_&amp;_couts34"/>
      <sheetName val="Risques_majeurs_&amp;_Frais_Ind_34"/>
      <sheetName val="FOL_-_Bar35"/>
      <sheetName val="budget_summary_(2)34"/>
      <sheetName val="Budget_Analysis_Summary34"/>
      <sheetName val="intr_stool_brkup34"/>
      <sheetName val="Tender_Summary35"/>
      <sheetName val="Insurance_Ext35"/>
      <sheetName val="Customize_Your_Invoice35"/>
      <sheetName val="HVAC_BoQ35"/>
      <sheetName val="Body_Sheet34"/>
      <sheetName val="1_0_Executive_Summary34"/>
      <sheetName val="Rate_analysis19"/>
      <sheetName val="Top_sheet34"/>
      <sheetName val="Bill_233"/>
      <sheetName val="Ap_A32"/>
      <sheetName val="2_Div_14_32"/>
      <sheetName val="SHOPLIST_xls31"/>
      <sheetName val="beam-reinft-IIInd_floor31"/>
      <sheetName val="beam-reinft-machine_rm31"/>
      <sheetName val="Bill_132"/>
      <sheetName val="Bill_332"/>
      <sheetName val="Bill_432"/>
      <sheetName val="Bill_532"/>
      <sheetName val="Bill_632"/>
      <sheetName val="Bill_732"/>
      <sheetName val="POWER_ASSUMPTIONS31"/>
      <sheetName val="Civil_Boq30"/>
      <sheetName val="PROJECT_BRIEF32"/>
      <sheetName val="Invoice_Summary31"/>
      <sheetName val="C_(3)32"/>
      <sheetName val="Dubai_golf31"/>
      <sheetName val="Softscape_Buildup30"/>
      <sheetName val="Mat'l_Rate30"/>
      <sheetName val="WITHOUT_C&amp;I_PROFIT_(3)30"/>
      <sheetName val="Activity_List30"/>
      <sheetName val="HIRED_LABOUR_CODE28"/>
      <sheetName val="PA-_Consutant_28"/>
      <sheetName val="foot-slab_reinft28"/>
      <sheetName val="DETAILED__BOQ28"/>
      <sheetName val="M-Book_for_Conc28"/>
      <sheetName val="M-Book_for_FW28"/>
      <sheetName val="BILL_COV28"/>
      <sheetName val="Ra__stair28"/>
      <sheetName val="VALVE_CHAMBERS27"/>
      <sheetName val="Fire_Hydrants27"/>
      <sheetName val="B_GATE_VALVE27"/>
      <sheetName val="Sub_G1_Fire27"/>
      <sheetName val="Sub_G12_Fire27"/>
      <sheetName val="Eq__Mobilization25"/>
      <sheetName val="w't_table24"/>
      <sheetName val="Materials_Cost(PCC)27"/>
      <sheetName val="India_F&amp;S_Template27"/>
      <sheetName val="IO_LIST27"/>
      <sheetName val="Material_27"/>
      <sheetName val="Quote_Sheet27"/>
      <sheetName val="Day_work27"/>
      <sheetName val="bill_nb2-Plumbing_&amp;_Drainag24"/>
      <sheetName val="Pl_&amp;_Dr_B24"/>
      <sheetName val="Pl_&amp;_Dr_G24"/>
      <sheetName val="Pl_&amp;_Dr_M24"/>
      <sheetName val="Pl_&amp;_Dr_124"/>
      <sheetName val="Pl_&amp;_Dr_224"/>
      <sheetName val="Pl_&amp;_Dr_324"/>
      <sheetName val="Pl_&amp;_Dr_424"/>
      <sheetName val="Pl_&amp;_Dr_524"/>
      <sheetName val="Pl_&amp;_Dr_624"/>
      <sheetName val="Pl_&amp;_Dr_724"/>
      <sheetName val="Pl_&amp;_Dr_824"/>
      <sheetName val="Pl_&amp;_Dr_R24"/>
      <sheetName val="FF_B24"/>
      <sheetName val="FF_G24"/>
      <sheetName val="FF_M24"/>
      <sheetName val="FF_124"/>
      <sheetName val="FF_2_24"/>
      <sheetName val="FF_324"/>
      <sheetName val="FF_424"/>
      <sheetName val="FF_524"/>
      <sheetName val="FF_6_24"/>
      <sheetName val="FF_724"/>
      <sheetName val="FF_824"/>
      <sheetName val="FF_R24"/>
      <sheetName val="bill_nb3-FF24"/>
      <sheetName val="HVAC_B24"/>
      <sheetName val="HVAC_G24"/>
      <sheetName val="HVAC_M24"/>
      <sheetName val="HVAC_124"/>
      <sheetName val="HVAC_224"/>
      <sheetName val="HVAC_324"/>
      <sheetName val="HVAC_424"/>
      <sheetName val="HVAC_524"/>
      <sheetName val="HVAC_624"/>
      <sheetName val="HVAC_724"/>
      <sheetName val="HVAC_824"/>
      <sheetName val="HVAC_R24"/>
      <sheetName val="bill_nb4-HVAC24"/>
      <sheetName val="SC_B24"/>
      <sheetName val="SC_G24"/>
      <sheetName val="SC_M24"/>
      <sheetName val="SC_124"/>
      <sheetName val="SC_224"/>
      <sheetName val="SC_324"/>
      <sheetName val="SC_424"/>
      <sheetName val="SC_524"/>
      <sheetName val="SC_624"/>
      <sheetName val="SC_724"/>
      <sheetName val="SC_824"/>
      <sheetName val="SC_R24"/>
      <sheetName val="AV_B24"/>
      <sheetName val="AV_G24"/>
      <sheetName val="AV_M24"/>
      <sheetName val="AV_124"/>
      <sheetName val="AV_224"/>
      <sheetName val="AV_324"/>
      <sheetName val="AV_424"/>
      <sheetName val="AV_524"/>
      <sheetName val="AV_624"/>
      <sheetName val="AV_724"/>
      <sheetName val="AV_824"/>
      <sheetName val="EL_B24"/>
      <sheetName val="EL_M24"/>
      <sheetName val="EL_124"/>
      <sheetName val="EL_224"/>
      <sheetName val="EL_324"/>
      <sheetName val="EL_424"/>
      <sheetName val="EL_524"/>
      <sheetName val="EL_624"/>
      <sheetName val="EL_724"/>
      <sheetName val="EL_824"/>
      <sheetName val="EL_R24"/>
      <sheetName val="EL_TR24"/>
      <sheetName val="8-_EL24"/>
      <sheetName val="FA_B24"/>
      <sheetName val="FA_G24"/>
      <sheetName val="FA_M24"/>
      <sheetName val="FA_124"/>
      <sheetName val="FA_224"/>
      <sheetName val="FA_324"/>
      <sheetName val="FA_424"/>
      <sheetName val="FA_524"/>
      <sheetName val="FA_624"/>
      <sheetName val="FA_724"/>
      <sheetName val="FA_824"/>
      <sheetName val="FA_R24"/>
      <sheetName val="9-_FA24"/>
      <sheetName val="B09_125"/>
      <sheetName val="BOQ_Direct_selling_cost26"/>
      <sheetName val="CHART_OF_ACCOUNTS25"/>
      <sheetName val="Working_for_RCC26"/>
      <sheetName val="B185-B-9_125"/>
      <sheetName val="B185-B-9_225"/>
      <sheetName val="E-Bill_No_6_A-O25"/>
      <sheetName val="Div__0226"/>
      <sheetName val="Div__0326"/>
      <sheetName val="Div__0426"/>
      <sheetName val="Div__0526"/>
      <sheetName val="Div__0626"/>
      <sheetName val="Div__0726"/>
      <sheetName val="Div__0825"/>
      <sheetName val="Div__0925"/>
      <sheetName val="Div__1025"/>
      <sheetName val="Div__1125"/>
      <sheetName val="Div__1225"/>
      <sheetName val="Div_1325"/>
      <sheetName val="EXTERNAL_WORKS25"/>
      <sheetName val="PRODUCTIVITY_RATE25"/>
      <sheetName val="U_R_A_-_MASONRY25"/>
      <sheetName val="U_R_A_-_PLASTERING25"/>
      <sheetName val="U_R_A_-_TILING25"/>
      <sheetName val="U_R_A_-_GRANITE25"/>
      <sheetName val="V_C_2_-_EARTHWORK25"/>
      <sheetName val="V_C_9_-_CERAMIC25"/>
      <sheetName val="V_C_9_-_FINISHES25"/>
      <sheetName val="Division_253"/>
      <sheetName val="Division_424"/>
      <sheetName val="Division_524"/>
      <sheetName val="Division_624"/>
      <sheetName val="Division_724"/>
      <sheetName val="Division_824"/>
      <sheetName val="Division_924"/>
      <sheetName val="Division_1024"/>
      <sheetName val="Division_1224"/>
      <sheetName val="Division_1424"/>
      <sheetName val="Division_2127"/>
      <sheetName val="Division_2225"/>
      <sheetName val="Division_2324"/>
      <sheetName val="Division_2624"/>
      <sheetName val="Division_2724"/>
      <sheetName val="Division_2824"/>
      <sheetName val="Division_3124"/>
      <sheetName val="Division_3224"/>
      <sheetName val="Division_3324"/>
      <sheetName val="PMWeb_data25"/>
      <sheetName val="Elemental_Buildup24"/>
      <sheetName val="PointNo_524"/>
      <sheetName val="2_2)Revised_Cash_Flow24"/>
      <sheetName val="SS_MH25"/>
      <sheetName val="입찰내역_발주처_양식24"/>
      <sheetName val="Material_List_24"/>
      <sheetName val="LIST_DO_NOT_REMOVE23"/>
      <sheetName val="Index_List24"/>
      <sheetName val="Type_List24"/>
      <sheetName val="File_Types24"/>
      <sheetName val="Chiet_t24"/>
      <sheetName val="Staffing_and_Rates_IA24"/>
      <sheetName val="Project_Cost_Breakdown22"/>
      <sheetName val="PRECAST_lightconc-II26"/>
      <sheetName val="final_abstract26"/>
      <sheetName val="Staff_Acco_22"/>
      <sheetName val="TBAL9697_-group_wise__sdpl22"/>
      <sheetName val="Summary_of_Work22"/>
      <sheetName val="Employee_List22"/>
      <sheetName val="Рабочий_лист21"/>
      <sheetName val="B6_2_23"/>
      <sheetName val="Item-_Compact22"/>
      <sheetName val="E_&amp;_R22"/>
      <sheetName val="Annex_1_Sect_3a22"/>
      <sheetName val="Annex_1_Sect_3a_122"/>
      <sheetName val="Annex_1_Sect_3b22"/>
      <sheetName val="Annex_1_Sect_3c22"/>
      <sheetName val="HOURLY_RATES22"/>
      <sheetName val="SITE_WORK21"/>
      <sheetName val="d-safe_DELUXE21"/>
      <sheetName val="PT_141-_Site_A_Landscape21"/>
      <sheetName val="Rate_summary21"/>
      <sheetName val="RAB_AR&amp;STR21"/>
      <sheetName val="Back_up21"/>
      <sheetName val="train_cash21"/>
      <sheetName val="accom_cash21"/>
      <sheetName val="INDIGINEOUS_ITEMS_21"/>
      <sheetName val="Duct_Accesories21"/>
      <sheetName val="Mall_waterproofing21"/>
      <sheetName val="MSCP_waterproofing21"/>
      <sheetName val="????_???_??21"/>
      <sheetName val="Labour_&amp;_Plant21"/>
      <sheetName val="Ave_wtd_rates21"/>
      <sheetName val="Debits_as_on_12_04_0821"/>
      <sheetName val="STAFFSCHED_21"/>
      <sheetName val="TRIAL_BALANCE21"/>
      <sheetName val="[SHOPLIST_xls][SHOPLIST_xls]741"/>
      <sheetName val="Common_Variables21"/>
      <sheetName val="GPL_Revenu_Update21"/>
      <sheetName val="DO_NOT_TOUCH21"/>
      <sheetName val="Work_Type21"/>
      <sheetName val="PROJECT_BRIEF(EX_NEW)21"/>
      <sheetName val="AREA_OF_APPLICATION20"/>
      <sheetName val="Risk_Breakdown_Structure20"/>
      <sheetName val="Geneí¬_i20"/>
      <sheetName val="steel_total20"/>
      <sheetName val="ELE_BOQ20"/>
      <sheetName val="Z-_GENERAL_PRICE_SUMMARY17"/>
      <sheetName val="Resumo_Empreitadas17"/>
      <sheetName val="PPA_Summary17"/>
      <sheetName val="Mix_Design17"/>
      <sheetName val="%_prog_figs_-u5_and_total17"/>
      <sheetName val="Floor_Box_18"/>
      <sheetName val="Equipment_Rates16"/>
      <sheetName val="[SHOPLIST_xls]/VW16"/>
      <sheetName val="Cashflow_projection16"/>
      <sheetName val="[SHOPLIST_xls][SHOPLIST_xls]742"/>
      <sheetName val="E_H_-_H__W_P_16"/>
      <sheetName val="E__H__Treatment_for_pile_cap16"/>
      <sheetName val="[SHOPLIST_xls][SHOPLIST_xls][16"/>
      <sheetName val="Form_616"/>
      <sheetName val="Risk_Register16"/>
      <sheetName val="Revised_Front_Page16"/>
      <sheetName val="Diff_Run01&amp;Run0216"/>
      <sheetName val="CCS_Summary16"/>
      <sheetName val="1_Carillion_Staff16"/>
      <sheetName val="_2_Staff_&amp;_Gen_labour16"/>
      <sheetName val="3_Offices16"/>
      <sheetName val="4_TempServ16"/>
      <sheetName val="__5_Temp_Wks16"/>
      <sheetName val="_6_Addn_Plant16"/>
      <sheetName val="_7__Transport16"/>
      <sheetName val="_8_Testing16"/>
      <sheetName val="9__Miscellaneous16"/>
      <sheetName val="10__Design16"/>
      <sheetName val="_11_Insurances16"/>
      <sheetName val="_12_Client_Req_16"/>
      <sheetName val="Risk_List16"/>
      <sheetName val="Track_of_Changes16"/>
      <sheetName val="Bill_8_Doors_&amp;_Windows16"/>
      <sheetName val="Bill_9_Finishes_16"/>
      <sheetName val="Bill_10_Specialities16"/>
      <sheetName val="Dash_board16"/>
      <sheetName val="[SHOPLIST_xls]7016"/>
      <sheetName val="[SHOPLIST_xls]70,16"/>
      <sheetName val="Base_BM-rebar16"/>
      <sheetName val="Materials_16"/>
      <sheetName val="Site_Dev_BOQ16"/>
      <sheetName val="Data_Sheet16"/>
      <sheetName val="tender_allowances16"/>
      <sheetName val="_Summary_BKG_03416"/>
      <sheetName val="BILL_3R16"/>
      <sheetName val="Area_Breakdown_PER_LEVEL_LINK16"/>
      <sheetName val="CF_Input16"/>
      <sheetName val="DATA_INPUT16"/>
      <sheetName val="Vordruck-Nr__7_1_3_D16"/>
      <sheetName val="M&amp;A_D16"/>
      <sheetName val="M&amp;A_E16"/>
      <sheetName val="M&amp;A_G16"/>
      <sheetName val="1_2_Staff_Schedule17"/>
      <sheetName val="Bill_1016"/>
      <sheetName val="[SHOPLIST_xls]70,/0s«_iÆø_í¬_16"/>
      <sheetName val="[SHOPLIST_xls]70?,/0?s«i?Æøí¬16"/>
      <sheetName val="Labour_Costs16"/>
      <sheetName val="BLOCK-A_(MEA_SHEET)16"/>
      <sheetName val="Cost_Heading13"/>
      <sheetName val="Labour_Rate_13"/>
      <sheetName val="D_&amp;_W_sizes13"/>
      <sheetName val="SOPMA_DD13"/>
      <sheetName val="PRICE_INFO13"/>
      <sheetName val="RC_SUMMARY13"/>
      <sheetName val="LABOUR_PRODUCTIVITY-TAV13"/>
      <sheetName val="MATERIAL_PRICES13"/>
      <sheetName val="P-100_MRF_DB_R113"/>
      <sheetName val="Contract_Division14"/>
      <sheetName val="SubContract_Type14"/>
      <sheetName val="Service_Type14"/>
      <sheetName val="Attach_4-1813"/>
      <sheetName val="_SHOPLIST_xls_7013"/>
      <sheetName val="Ewaan_Show_Kitchen_(2)13"/>
      <sheetName val="Cash_Flow_Working13"/>
      <sheetName val="MN_T_B_13"/>
      <sheetName val="Data_I_(2)13"/>
      <sheetName val="rEFERENCES_13"/>
      <sheetName val="Qtys_ZamZam_(Del__before)13"/>
      <sheetName val="Qtys_Relocation_(Del_before)13"/>
      <sheetName val="_Qtys_Sub_&amp;_Tents_(Del__befor13"/>
      <sheetName val="Qtys__Signages_(Del__before)13"/>
      <sheetName val="Qtys_Temporary_Passages_(Del)13"/>
      <sheetName val="_Qtys_Ser__Rooms_(Del_before)13"/>
      <sheetName val="2F_회의실견적(5_14_일대)9"/>
      <sheetName val="_HIT-&gt;HMC_견적(3900)9"/>
      <sheetName val="Appendix_B9"/>
      <sheetName val="Div_07_Thermal_&amp;_Moisture7"/>
      <sheetName val="BOQ_(2)7"/>
      <sheetName val="LABOUR_RATE7"/>
      <sheetName val="Material_Rate7"/>
      <sheetName val="Labor_abs-PW7"/>
      <sheetName val="Labor_abs-NMR7"/>
      <sheetName val="kppl_pl7"/>
      <sheetName val="Basic_Rates7"/>
      <sheetName val="Combined_Results_7"/>
      <sheetName val="precast_RC_element7"/>
      <sheetName val="pile_Fabrication7"/>
      <sheetName val="AOP_Summary-27"/>
      <sheetName val="May_057"/>
      <sheetName val="April_057"/>
      <sheetName val="Aug_057"/>
      <sheetName val="July_057"/>
      <sheetName val="June_057"/>
      <sheetName val="Nov_057"/>
      <sheetName val="Oct_057"/>
      <sheetName val="Sep_057"/>
      <sheetName val="Data_Validation7"/>
      <sheetName val="Div26_-_Elect7"/>
      <sheetName val="CHUNG_CU_CARRILON7"/>
      <sheetName val="Balance_Sheet5"/>
      <sheetName val="2_Plex5"/>
      <sheetName val="Sheet1_(2)5"/>
      <sheetName val="4_Plex5"/>
      <sheetName val="6_Plex_5"/>
      <sheetName val="Detailed_Summary5"/>
      <sheetName val="Sheet1_(3)5"/>
      <sheetName val="Sheet1_(4)5"/>
      <sheetName val="[SHOPLIST_xls][SHOPLIST_xls]743"/>
      <sheetName val="B-3_2_EB5"/>
      <sheetName val="[SHOPLIST_xls][SHOPLIST_xls]/V5"/>
      <sheetName val="Asset_Allocation_(CR)5"/>
      <sheetName val="Project_Benchmarking5"/>
      <sheetName val="1_-_Main_Building5"/>
      <sheetName val="1_-_Summary5"/>
      <sheetName val="2_-_Landscaping_Works5"/>
      <sheetName val="2_-_Summary5"/>
      <sheetName val="4_-_Bldg_Infra5"/>
      <sheetName val="4_-_Summary5"/>
      <sheetName val="Dashboard_(1)5"/>
      <sheetName val="VO_Agreed_to_Unifier_Sum5"/>
      <sheetName val="VO_Not_yet_Agreed_to_Unifier5"/>
      <sheetName val="VO_Anticipated_to_Unifier5"/>
      <sheetName val="EW_to_Unifier5"/>
      <sheetName val="Prov_Sums5"/>
      <sheetName val="Other_Amounts5"/>
      <sheetName val="Sheet_Index5"/>
      <sheetName val="Core_Data5"/>
      <sheetName val="Estimate_for_approval4"/>
      <sheetName val="New_Rates4"/>
      <sheetName val="Labour_Rates4"/>
      <sheetName val="Status_4"/>
      <sheetName val="CLIENT_BUDGET4"/>
      <sheetName val="Reco-June_20194"/>
      <sheetName val="REMINING_PROGRESS4"/>
      <sheetName val="OS&amp;E__IT4"/>
      <sheetName val="PAID_AMOUNT4"/>
      <sheetName val="IPA_214"/>
      <sheetName val="Order_by_owner4"/>
      <sheetName val="PERLIM__Sammary4"/>
      <sheetName val="RECOVER_OF_DOUBLE_PAYMENT4"/>
      <sheetName val="rathath_al_matar4"/>
      <sheetName val="INTERNAL_LINE_4"/>
      <sheetName val="MINOVA_AL_DEYAR4"/>
      <sheetName val="BLUE_RHINE4"/>
      <sheetName val="NATIONAL_PAINT4"/>
      <sheetName val="FIRE_RATED4"/>
      <sheetName val="Summary_4"/>
      <sheetName val="B04-A_-_DIA_SUDEER4"/>
      <sheetName val="04D_-_Tanmyat4"/>
      <sheetName val="13-_B04-B_&amp;_C4"/>
      <sheetName val="_SITE_09_B04-B&amp;C-AFAQ4"/>
      <sheetName val="710"/>
      <sheetName val="711"/>
      <sheetName val="[S3"/>
      <sheetName val="720"/>
      <sheetName val="721"/>
      <sheetName val="[S8"/>
      <sheetName val="714"/>
      <sheetName val="715"/>
      <sheetName val="[S5"/>
      <sheetName val="712"/>
      <sheetName val="713"/>
      <sheetName val="[S4"/>
      <sheetName val="718"/>
      <sheetName val="719"/>
      <sheetName val="[S7"/>
      <sheetName val="716"/>
      <sheetName val="717"/>
      <sheetName val="[S6"/>
      <sheetName val="722"/>
      <sheetName val="723"/>
      <sheetName val="[S9"/>
      <sheetName val="724"/>
      <sheetName val="725"/>
      <sheetName val="[10"/>
      <sheetName val="/VWVU))tÏØ0__61"/>
      <sheetName val="/VWVU))tÏØ0__71"/>
      <sheetName val="70_x005f_x0000_,/0_x000"/>
      <sheetName val="Unit cost- Drain-Protection-1 "/>
      <sheetName val="Unit cost- Drain-Protection-2"/>
      <sheetName val="B.Room W.Done Progress"/>
      <sheetName val="SUMMARY (ROOM)"/>
      <sheetName val="W.D Prgress Public area"/>
      <sheetName val="SUMMARY Public"/>
      <sheetName val="Comparision"/>
      <sheetName val="Cost Rates"/>
      <sheetName val="LOOKUP(MM)"/>
      <sheetName val="간접비내역-1"/>
      <sheetName val="[SHOPLIST.xls]70,/0s«iÆøí¬i6"/>
      <sheetName val="[SHOPLIST.xls]/VW1"/>
      <sheetName val="[SHOPLIST.xls]70,/0s«iÆøí¬i7"/>
      <sheetName val="[SHOPLIST.xls]/VW2"/>
      <sheetName val="[SHOPLIST.xls]/VWVU))tÏØ0__31"/>
      <sheetName val="[SHOPLIST.xls]70,/0s«_iÆø_í¬_i1"/>
      <sheetName val="[SHOPLIST.xls]70?,/0?s«i?Æøí¬i1"/>
      <sheetName val="[SHOPLIST.xls]/VWVU))tÏØ0__32"/>
      <sheetName val="[SHOPLIST.xls]70,/0s«_iÆø_í¬_i2"/>
      <sheetName val="[SHOPLIST.xls]70?,/0?s«i?Æøí¬i2"/>
      <sheetName val="[SHOPLIST.xls]70,/0s«iÆøí¬i8"/>
      <sheetName val="[SHOPLIST.xls]/VW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HVAC"/>
      <sheetName val="HVAC-Qty"/>
      <sheetName val="RBD-AHU"/>
      <sheetName val="RBD ENG"/>
      <sheetName val="RBD-EX-RF-01"/>
      <sheetName val="RBD SLD.RLD"/>
      <sheetName val="RBD-VAV"/>
      <sheetName val="V.Summary"/>
      <sheetName val="[SHOPLIST.xls]_SHOPLIST_xls_839"/>
      <sheetName val="[SHOPLIST.xls]_SHOPLIST_xls_840"/>
      <sheetName val="[SHOPLIST.xls]_SHOPLIST_xls_841"/>
      <sheetName val="[SHOPLIST.xls]_SHOPLIST_xls_842"/>
      <sheetName val="[SHOPLIST.xls]_SHOPLIST_xls_843"/>
      <sheetName val="[SHOPLIST.xls]_SHOPLIST_xls_844"/>
      <sheetName val="[SHOPLIST.xls]_SHOPLIST_xls_845"/>
      <sheetName val="[SHOPLIST.xls]_SHOPLIST_xls_846"/>
      <sheetName val="[SHOPLIST.xls]_SHOPLIST_xls_847"/>
      <sheetName val="[SHOPLIST.xls]_SHOPLIST_xls_848"/>
      <sheetName val="[SHOPLIST.xls]_SHOPLIST_xls_849"/>
      <sheetName val="[SHOPLIST.xls]_SHOPLIST_xls_850"/>
      <sheetName val="[SHOPLIST.xls]_SHOPLIST_xls_851"/>
      <sheetName val="[SHOPLIST.xls]_SHOPLIST_xls_852"/>
      <sheetName val="[SHOPLIST.xls]_SHOPLIST_xls_853"/>
      <sheetName val="[SHOPLIST.xls]_SHOPLIST_xls_854"/>
      <sheetName val="[SHOPLIST.xls]_SHOPLIST_xls_855"/>
      <sheetName val="[SHOPLIST.xls]_SHOPLIST_xls_856"/>
      <sheetName val="[SHOPLIST.xls]_SHOPLIST_xls_857"/>
      <sheetName val="[SHOPLIST.xls]_SHOPLIST_xls_858"/>
      <sheetName val="[SHOPLIST.xls]_SHOPLIST_xls_859"/>
      <sheetName val="[SHOPLIST.xls]_SHOPLIST_xls_860"/>
      <sheetName val="[SHOPLIST.xls]_SHOPLIST_xls_861"/>
      <sheetName val="[SHOPLIST.xls]_SHOPLIST_xls_862"/>
      <sheetName val="[SHOPLIST.xls]_SHOPLIST_xls_863"/>
      <sheetName val="[SHOPLIST.xls]_SHOPLIST_xls_864"/>
      <sheetName val="[SHOPLIST.xls]_SHOPLIST_xls_865"/>
      <sheetName val="[SHOPLIST.xls]_SHOPLIST_xls_866"/>
      <sheetName val="[SHOPLIST.xls]_SHOPLIST_xls_867"/>
      <sheetName val="[SHOPLIST.xls]_SHOPLIST_xls_868"/>
      <sheetName val="[SHOPLIST.xls]_SHOPLIST_xls_869"/>
      <sheetName val="[SHOPLIST.xls]_SHOPLIST_xls_870"/>
      <sheetName val="[SHOPLIST.xls]_SHOPLIST_xls_871"/>
      <sheetName val="[SHOPLIST.xls]_SHOPLIST_xls_872"/>
      <sheetName val="[SHOPLIST.xls]_SHOPLIST_xls_873"/>
      <sheetName val="[SHOPLIST.xls]_SHOPLIST_xls_874"/>
      <sheetName val="[SHOPLIST.xls]_SHOPLIST_xls_875"/>
      <sheetName val="[SHOPLIST.xls]_SHOPLIST_xls_876"/>
      <sheetName val="[SHOPLIST.xls]_SHOPLIST_xls_877"/>
      <sheetName val="[SHOPLIST.xls]_SHOPLIST_xls_878"/>
      <sheetName val="[SHOPLIST.xls]_SHOPLIST_xls_879"/>
      <sheetName val="[SHOPLIST.xls]_SHOPLIST_xls_880"/>
      <sheetName val="[SHOPLIST.xls]_SHOPLIST_xls_881"/>
      <sheetName val="[SHOPLIST.xls]_SHOPLIST_xls_882"/>
      <sheetName val="[SHOPLIST.xls]_SHOPLIST_xls_883"/>
      <sheetName val="[SHOPLIST.xls]_SHOPLIST_xls_884"/>
      <sheetName val="[SHOPLIST.xls]_SHOPLIST_xls_885"/>
      <sheetName val="[SHOPLIST.xls]_SHOPLIST_xls_886"/>
      <sheetName val="[SHOPLIST.xls]_SHOPLIST_xls_887"/>
      <sheetName val="[SHOPLIST.xls]_SHOPLIST_xls_888"/>
      <sheetName val="[SHOPLIST.xls]_SHOPLIST_xls_889"/>
      <sheetName val="[SHOPLIST.xls]_SHOPLIST_xls_890"/>
      <sheetName val="[SHOPLIST.xls]_SHOPLIST_xls_891"/>
      <sheetName val="[SHOPLIST.xls]_SHOPLIST_xls_892"/>
      <sheetName val="[SHOPLIST.xls]_SHOPLIST_xls_893"/>
      <sheetName val="[SHOPLIST.xls]_SHOPLIST_xls_894"/>
      <sheetName val="[SHOPLIST.xls]_SHOPLIST_xls_895"/>
      <sheetName val="[SHOPLIST.xls]_SHOPLIST_xls_896"/>
      <sheetName val="[SHOPLIST.xls]_SHOPLIST_xls_897"/>
      <sheetName val="[SHOPLIST.xls]_SHOPLIST_xls_898"/>
      <sheetName val="[SHOPLIST.xls]_SHOPLIST_xls_899"/>
      <sheetName val="[SHOPLIST.xls]_SHOPLIST_xls_900"/>
      <sheetName val="[SHOPLIST.xls]_SHOPLIST_xls_901"/>
      <sheetName val="[SHOPLIST.xls]_SHOPLIST_xls_902"/>
      <sheetName val="[SHOPLIST.xls]_SHOPLIST_xls_903"/>
      <sheetName val="[SHOPLIST.xls]_SHOPLIST_xls_904"/>
      <sheetName val="[SHOPLIST.xls]_SHOPLIST_xls_905"/>
      <sheetName val="[SHOPLIST.xls]_SHOPLIST_xls_906"/>
      <sheetName val="[SHOPLIST.xls]_SHOPLIST_xls_907"/>
      <sheetName val="[SHOPLIST.xls]_SHOPLIST_xls_908"/>
      <sheetName val="[SHOPLIST.xls]_SHOPLIST_xls_909"/>
      <sheetName val="[SHOPLIST.xls]_SHOPLIST_xls_910"/>
      <sheetName val="[SHOPLIST.xls]_SHOPLIST_xls_911"/>
      <sheetName val="[SHOPLIST.xls]_SHOPLIST_xls_912"/>
      <sheetName val="[SHOPLIST.xls]_SHOPLIST_xls_913"/>
      <sheetName val="[SHOPLIST.xls]_SHOPLIST_xls_914"/>
      <sheetName val="[SHOPLIST.xls]_SHOPLIST_xls_915"/>
      <sheetName val="[SHOPLIST.xls]_SHOPLIST_xls_916"/>
      <sheetName val="[SHOPLIST.xls]_SHOPLIST_xls_917"/>
      <sheetName val="[SHOPLIST.xls]_SHOPLIST_xls_918"/>
      <sheetName val="[SHOPLIST.xls]_SHOPLIST_xls_919"/>
      <sheetName val="[SHOPLIST.xls]_SHOPLIST_xls_920"/>
      <sheetName val="[SHOPLIST.xls]_SHOPLIST_xls_921"/>
      <sheetName val="[SHOPLIST.xls]_SHOPLIST_xls_922"/>
      <sheetName val="[SHOPLIST.xls]_SHOPLIST_xls_923"/>
      <sheetName val="[SHOPLIST.xls]_SHOPLIST_xls_924"/>
      <sheetName val="[SHOPLIST.xls]_SHOPLIST_xls_925"/>
      <sheetName val="[SHOPLIST.xls]_SHOPLIST_xls_926"/>
      <sheetName val="[SHOPLIST.xls]_SHOPLIST_xls_927"/>
      <sheetName val="[SHOPLIST.xls]_SHOPLIST_xls_928"/>
      <sheetName val="[SHOPLIST.xls]_SHOPLIST_xls_929"/>
      <sheetName val="[SHOPLIST.xls]_SHOPLIST_xls_930"/>
      <sheetName val="[SHOPLIST.xls]_SHOPLIST_xls_931"/>
      <sheetName val="[SHOPLIST.xls]_SHOPLIST_xls_932"/>
      <sheetName val="[SHOPLIST.xls]_SHOPLIST_xls_933"/>
      <sheetName val="[SHOPLIST.xls]_SHOPLIST_xl_1048"/>
      <sheetName val="[SHOPLIST.xls]_SHOPLIST_xl_1049"/>
      <sheetName val="[SHOPLIST.xls]_SHOPLIST_xl_1050"/>
      <sheetName val="[SHOPLIST.xls]_SHOPLIST_xl_1051"/>
      <sheetName val="[SHOPLIST.xls]_SHOPLIST_xl_1052"/>
      <sheetName val="[SHOPLIST.xls]_SHOPLIST_xl_1053"/>
      <sheetName val="[SHOPLIST.xls]70___0_s__i____26"/>
      <sheetName val="[SHOPLIST.xls]_SHOPLIST_xls_934"/>
      <sheetName val="[SHOPLIST.xls]_SHOPLIST_xl_1054"/>
      <sheetName val="[SHOPLIST.xls]_SHOPLIST_xl_1055"/>
      <sheetName val="[SHOPLIST.xls]_SHOPLIST_xl_1056"/>
      <sheetName val="[SHOPLIST.xls]_SHOPLIST_xls_935"/>
      <sheetName val="[SHOPLIST.xls]_SHOPLIST_xls_936"/>
      <sheetName val="[SHOPLIST.xls]_SHOPLIST_xls_937"/>
      <sheetName val="[SHOPLIST.xls]_SHOPLIST_xls_938"/>
      <sheetName val="[SHOPLIST.xls]_SHOPLIST_xl_1057"/>
      <sheetName val="[SHOPLIST.xls]_SHOPLIST_xls_939"/>
      <sheetName val="[SHOPLIST.xls]_SHOPLIST_xls_940"/>
      <sheetName val="[SHOPLIST.xls]_SHOPLIST_xl_1058"/>
      <sheetName val="[SHOPLIST.xls]_SHOPLIST_xls_941"/>
      <sheetName val="[SHOPLIST.xls]_SHOPLIST_xl_1059"/>
      <sheetName val="[SHOPLIST.xls]_SHOPLIST_xls_942"/>
      <sheetName val="[SHOPLIST.xls]_SHOPLIST_xl_1060"/>
      <sheetName val="[SHOPLIST.xls]_SHOPLIST_xl_1061"/>
      <sheetName val="[SHOPLIST.xls]_SHOPLIST_xls_943"/>
      <sheetName val="[SHOPLIST.xls]_SHOPLIST_xls_944"/>
      <sheetName val="[SHOPLIST.xls]_SHOPLIST_xls_945"/>
      <sheetName val="[SHOPLIST.xls]_SHOPLIST_xls_946"/>
      <sheetName val="[SHOPLIST.xls]_SHOPLIST_xls_947"/>
      <sheetName val="[SHOPLIST.xls]_SHOPLIST_xls_948"/>
      <sheetName val="[SHOPLIST.xls]_SHOPLIST_xls_949"/>
      <sheetName val="[SHOPLIST.xls]_SHOPLIST_xls_950"/>
      <sheetName val="[SHOPLIST.xls]_SHOPLIST_xls_951"/>
      <sheetName val="[SHOPLIST.xls]_SHOPLIST_xls_952"/>
      <sheetName val="[SHOPLIST.xls]_SHOPLIST_xl_1062"/>
      <sheetName val="[SHOPLIST.xls]_SHOPLIST_xls_953"/>
      <sheetName val="[SHOPLIST.xls]_SHOPLIST_xl_1063"/>
      <sheetName val="[SHOPLIST.xls]_SHOPLIST_xl_1064"/>
      <sheetName val="[SHOPLIST.xls]_SHOPLIST_xls_954"/>
      <sheetName val="[SHOPLIST.xls]_SHOPLIST_xls_955"/>
      <sheetName val="[SHOPLIST.xls]_SHOPLIST_xls_956"/>
      <sheetName val="[SHOPLIST.xls]_SHOPLIST_xls_957"/>
      <sheetName val="[SHOPLIST.xls]_SHOPLIST_xls_958"/>
      <sheetName val="[SHOPLIST.xls]_SHOPLIST_xls_959"/>
      <sheetName val="[SHOPLIST.xls]_SHOPLIST_xls_960"/>
      <sheetName val="[SHOPLIST.xls]_SHOPLIST_xls_961"/>
      <sheetName val="[SHOPLIST.xls]_SHOPLIST_xls_962"/>
      <sheetName val="[SHOPLIST.xls]_SHOPLIST_xls_963"/>
      <sheetName val="[SHOPLIST.xls]_SHOPLIST_xls_964"/>
      <sheetName val="[SHOPLIST.xls]_SHOPLIST_xl_1065"/>
      <sheetName val="[SHOPLIST.xls]_SHOPLIST_xl_1066"/>
      <sheetName val="[SHOPLIST.xls]_SHOPLIST_xls_965"/>
      <sheetName val="[SHOPLIST.xls]_SHOPLIST_xls_966"/>
      <sheetName val="[SHOPLIST.xls]_SHOPLIST_xls_967"/>
      <sheetName val="[SHOPLIST.xls]_SHOPLIST_xls_968"/>
      <sheetName val="[SHOPLIST.xls]_SHOPLIST_xls_969"/>
      <sheetName val="[SHOPLIST.xls]_SHOPLIST_xls_970"/>
      <sheetName val="[SHOPLIST.xls]_SHOPLIST_xls_971"/>
      <sheetName val="[SHOPLIST.xls]_SHOPLIST_xls_972"/>
      <sheetName val="[SHOPLIST.xls]_SHOPLIST_xls_973"/>
      <sheetName val="[SHOPLIST.xls]_SHOPLIST_xls_974"/>
      <sheetName val="[SHOPLIST.xls]_SHOPLIST_xls_975"/>
      <sheetName val="[SHOPLIST.xls]_SHOPLIST_xls_976"/>
      <sheetName val="[SHOPLIST.xls]_SHOPLIST_xls_977"/>
      <sheetName val="[SHOPLIST.xls]_SHOPLIST_xl_1067"/>
      <sheetName val="[SHOPLIST.xls]_SHOPLIST_xls_978"/>
      <sheetName val="[SHOPLIST.xls]_SHOPLIST_xl_1068"/>
      <sheetName val="[SHOPLIST.xls]_SHOPLIST_xl_1069"/>
      <sheetName val="[SHOPLIST.xls]_SHOPLIST_xl_1070"/>
      <sheetName val="[SHOPLIST.xls]_SHOPLIST_xl_1071"/>
      <sheetName val="[SHOPLIST.xls]_SHOPLIST_xls_979"/>
      <sheetName val="[SHOPLIST.xls]_SHOPLIST_xl_1072"/>
      <sheetName val="[SHOPLIST.xls]_SHOPLIST_xls_980"/>
      <sheetName val="[SHOPLIST.xls]_SHOPLIST_xls_981"/>
      <sheetName val="[SHOPLIST.xls]_SHOPLIST_xls_982"/>
      <sheetName val="[SHOPLIST.xls]_SHOPLIST_xls_983"/>
      <sheetName val="[SHOPLIST.xls]_SHOPLIST_xls_984"/>
      <sheetName val="[SHOPLIST.xls]_SHOPLIST_xls_985"/>
      <sheetName val="[SHOPLIST.xls]_SHOPLIST_xls_986"/>
      <sheetName val="[SHOPLIST.xls]_SHOPLIST_xl_1073"/>
      <sheetName val="[SHOPLIST.xls]_SHOPLIST_xl_1074"/>
      <sheetName val="[SHOPLIST.xls]_SHOPLIST_xls_987"/>
      <sheetName val="[SHOPLIST.xls]_SHOPLIST_xls_988"/>
      <sheetName val="[SHOPLIST.xls]_SHOPLIST_xls_989"/>
      <sheetName val="[SHOPLIST.xls]_SHOPLIST_xls_990"/>
      <sheetName val="[SHOPLIST.xls]_SHOPLIST_xls_991"/>
      <sheetName val="[SHOPLIST.xls]_SHOPLIST_xls_992"/>
      <sheetName val="[SHOPLIST.xls]_SHOPLIST_xls_993"/>
      <sheetName val="[SHOPLIST.xls]_SHOPLIST_xls_994"/>
      <sheetName val="[SHOPLIST.xls]_SHOPLIST_xls_995"/>
      <sheetName val="[SHOPLIST.xls]_SHOPLIST_xl_1075"/>
      <sheetName val="[SHOPLIST.xls]_SHOPLIST_xls_996"/>
      <sheetName val="[SHOPLIST.xls]_SHOPLIST_xls_997"/>
      <sheetName val="[SHOPLIST.xls]_SHOPLIST_xls_998"/>
      <sheetName val="[SHOPLIST.xls]_SHOPLIST_xls_999"/>
      <sheetName val="[SHOPLIST.xls]_SHOPLIST_xl_1000"/>
      <sheetName val="[SHOPLIST.xls]_SHOPLIST_xl_1001"/>
      <sheetName val="[SHOPLIST.xls]_SHOPLIST_xl_1002"/>
      <sheetName val="[SHOPLIST.xls]_SHOPLIST_xl_1076"/>
      <sheetName val="[SHOPLIST.xls]_SHOPLIST_xl_1003"/>
      <sheetName val="[SHOPLIST.xls]_SHOPLIST_xl_1004"/>
      <sheetName val="[SHOPLIST.xls]_SHOPLIST_xl_1005"/>
      <sheetName val="[SHOPLIST.xls]_SHOPLIST_xl_1006"/>
      <sheetName val="[SHOPLIST.xls]_SHOPLIST_xl_1007"/>
      <sheetName val="[SHOPLIST.xls]_SHOPLIST_xl_1008"/>
      <sheetName val="[SHOPLIST.xls]_SHOPLIST_xl_1009"/>
      <sheetName val="[SHOPLIST.xls]_SHOPLIST_xl_1010"/>
      <sheetName val="[SHOPLIST.xls]_SHOPLIST_xl_1011"/>
      <sheetName val="[SHOPLIST.xls]_SHOPLIST_xl_1012"/>
      <sheetName val="[SHOPLIST.xls]_SHOPLIST_xl_1013"/>
      <sheetName val="[SHOPLIST.xls]_SHOPLIST_xl_1014"/>
      <sheetName val="[SHOPLIST.xls]_SHOPLIST_xl_1015"/>
      <sheetName val="[SHOPLIST.xls]_SHOPLIST_xl_1016"/>
      <sheetName val="[SHOPLIST.xls]_SHOPLIST_xl_1017"/>
      <sheetName val="[SHOPLIST.xls]_SHOPLIST_xl_1018"/>
      <sheetName val="[SHOPLIST.xls]_SHOPLIST_xl_1019"/>
      <sheetName val="[SHOPLIST.xls]_SHOPLIST_xl_1020"/>
      <sheetName val="[SHOPLIST.xls]_SHOPLIST_xl_1077"/>
      <sheetName val="[SHOPLIST.xls]_SHOPLIST_xl_1021"/>
      <sheetName val="[SHOPLIST.xls]_SHOPLIST_xl_1022"/>
      <sheetName val="[SHOPLIST.xls]_SHOPLIST_xl_1023"/>
      <sheetName val="[SHOPLIST.xls]_SHOPLIST_xl_1024"/>
      <sheetName val="[SHOPLIST.xls]_SHOPLIST_xl_1025"/>
      <sheetName val="[SHOPLIST.xls]_SHOPLIST_xl_1026"/>
      <sheetName val="[SHOPLIST.xls]_SHOPLIST_xl_1027"/>
      <sheetName val="[SHOPLIST.xls]_SHOPLIST_xl_1028"/>
      <sheetName val="[SHOPLIST.xls]_SHOPLIST_xl_1029"/>
      <sheetName val="[SHOPLIST.xls]_SHOPLIST_xl_1078"/>
      <sheetName val="[SHOPLIST.xls]_SHOPLIST_xl_1030"/>
      <sheetName val="[SHOPLIST.xls]_SHOPLIST_xl_1031"/>
      <sheetName val="[SHOPLIST.xls]_SHOPLIST_xl_1032"/>
      <sheetName val="[SHOPLIST.xls]_SHOPLIST_xl_1033"/>
      <sheetName val="[SHOPLIST.xls]_SHOPLIST_xl_1034"/>
      <sheetName val="[SHOPLIST.xls]_SHOPLIST_xl_1035"/>
      <sheetName val="[SHOPLIST.xls]_SHOPLIST_xl_1036"/>
      <sheetName val="[SHOPLIST.xls]_SHOPLIST_xl_1037"/>
      <sheetName val="[SHOPLIST.xls]_SHOPLIST_xl_1038"/>
      <sheetName val="[SHOPLIST.xls]_SHOPLIST_xl_1079"/>
      <sheetName val="[SHOPLIST.xls]_SHOPLIST_xl_1039"/>
      <sheetName val="[SHOPLIST.xls]_SHOPLIST_xl_1040"/>
      <sheetName val="[SHOPLIST.xls]_SHOPLIST_xl_1041"/>
      <sheetName val="[SHOPLIST.xls]_SHOPLIST_xl_1042"/>
      <sheetName val="[SHOPLIST.xls]_SHOPLIST_xl_1043"/>
      <sheetName val="[SHOPLIST.xls]_SHOPLIST_xl_1044"/>
      <sheetName val="[SHOPLIST.xls]_SHOPLIST_xl_1045"/>
      <sheetName val="[SHOPLIST.xls]70_x005f_x005f_x005f_x0000__8"/>
      <sheetName val="[SHOPLIST.xls]_SHOPLIST_xl_1046"/>
      <sheetName val="[SHOPLIST.xls]_SHOPLIST_xl_1047"/>
      <sheetName val="[SHOPLIST.xls]70___0_s__i____27"/>
      <sheetName val="Лист1"/>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Fiyatlar"/>
      <sheetName val="50"/>
      <sheetName val="AN"/>
      <sheetName val="Beach Villas"/>
      <sheetName val="Overwater Villas"/>
      <sheetName val="Presidential Villa"/>
      <sheetName val="Démol_"/>
      <sheetName val="_SUMMARY"/>
      <sheetName val="PREAMBLES_"/>
      <sheetName val="GENERAL_REQUIREMENT"/>
      <sheetName val="B-_SITE_WORK"/>
      <sheetName val="C__CONCRETE_WORKS_"/>
      <sheetName val="D-_MASONRY"/>
      <sheetName val="E__METAL_WORK"/>
      <sheetName val="F__WOOD_WORK_"/>
      <sheetName val="G__THERMAL_&amp;MP"/>
      <sheetName val="H__DOORS___WINDOWS"/>
      <sheetName val="J__FINISHES"/>
      <sheetName val="K_ACCESSO"/>
      <sheetName val="P_CONVEYING_SYSTEM"/>
      <sheetName val="Q_MECHANICAL"/>
      <sheetName val="R_ELECTRICAL"/>
      <sheetName val="S_External_Works"/>
      <sheetName val="T_Provisional_Sum"/>
      <sheetName val="T__MEP_Works"/>
      <sheetName val="U-DAY_WORKS_SCHEDULE"/>
      <sheetName val="Struct__Members"/>
      <sheetName val="GRAPH_DATA"/>
      <sheetName val=" N Finansal Eğri"/>
      <sheetName val="MSH51C"/>
      <sheetName val="[SHOPLIST.xls][SHOPLIST_xls]/VW"/>
      <sheetName val="hiddenSheet"/>
      <sheetName val="726"/>
      <sheetName val="70,/0s«iÆøí¬i16"/>
      <sheetName val="7011"/>
      <sheetName val="70,11"/>
      <sheetName val="/VW11"/>
      <sheetName val="/VWVU))tÏØ0__55"/>
      <sheetName val="/VWVU))tÏØ0__56"/>
      <sheetName val="[11"/>
      <sheetName val="727"/>
      <sheetName val="/VWVU))tÏØ0__57"/>
      <sheetName val="/VWVU))tÏØ0__58"/>
      <sheetName val="/VWVU))tÏØ0__59"/>
      <sheetName val="70,/0s«_iÆø_í¬_11"/>
      <sheetName val="70?,/0?s«i?Æøí¬11"/>
      <sheetName val="/VWVU))tÏØ0__60"/>
      <sheetName val="728"/>
      <sheetName val="/VWVU))tÏØ0__62"/>
      <sheetName val="/VWVU))tÏØ0__63"/>
      <sheetName val="/VWVU))tÏØ0__81"/>
      <sheetName val="/VWVU))tÏØ0__91"/>
      <sheetName val="70_1"/>
      <sheetName val="70___0_s__i_____2"/>
      <sheetName val="_VW__VU_________2"/>
      <sheetName val="_VW__VU_________3"/>
      <sheetName val="[SHOPLIST_xls]726"/>
      <sheetName val="[SHOPLIST_xls][11"/>
      <sheetName val="[SHOPLIST_xls]727"/>
      <sheetName val="[SHOPLIST_xls]728"/>
      <sheetName val="Non-Positioin Summary"/>
      <sheetName val="Detail_Page1"/>
      <sheetName val="Mnhr Book Updated 11.10.2018"/>
      <sheetName val="BT3-Package 05"/>
      <sheetName val="BOQ-Civil"/>
      <sheetName val="[SHOPLIST.xls]_VW__VU________18"/>
      <sheetName val="[SHOPLIST.xls]_VW__VU________19"/>
      <sheetName val="[SHOPLIST.xls]70_x005f_x0000___0_x_10"/>
      <sheetName val="[SHOPLIST.xls]70___0_s__i____28"/>
      <sheetName val="[SHOPLIST.xls]70___0_s__i____29"/>
      <sheetName val="Index sheet"/>
      <sheetName val="プロジェクト概要"/>
      <sheetName val="STOCKWTG"/>
      <sheetName val="POLY"/>
      <sheetName val="Advance Recovery"/>
      <sheetName val="SC Cost FEB 03"/>
      <sheetName val="DVM Sizing Calculator- 10 ips "/>
      <sheetName val="URA-C1"/>
      <sheetName val="satış planı (2)"/>
      <sheetName val="Tahsilat"/>
      <sheetName val="ملخص_المشاريع1"/>
      <sheetName val="عقود_المقاولين1"/>
      <sheetName val="اوامر_الشراء1"/>
      <sheetName val="الحركة_اليومية1"/>
      <sheetName val="محمد_عساف1"/>
      <sheetName val="كشف_الايرادات_والضرائب1"/>
      <sheetName val="حساب_البنك1"/>
      <sheetName val="كشف_الرواتب1"/>
      <sheetName val="SAF_-_عهد_-_سلامي_ابو_فخر1"/>
      <sheetName val="THA_-_عهد_-_ثابت_احمد1"/>
      <sheetName val="AAH_-_عهد_-_انس_هبو1"/>
      <sheetName val="YSA_-_عهد_-_ياسر_السبع1"/>
      <sheetName val="MKJ_-_عهد_-_محمود_قجك1"/>
      <sheetName val="MSH_-_عهد_-_محمد_الشامي1"/>
      <sheetName val="ALW_-_عهد_-_علوان_علي1"/>
      <sheetName val="AHA_-_عهد_-_احمد_الحاج1"/>
      <sheetName val="MOR_-_عهد_-_مرجان_عبدالهادي1"/>
      <sheetName val="MHA_-_عهد_-_محمد_حسون_العلي1"/>
      <sheetName val="MF_-_مكتب_رئيسي1"/>
      <sheetName val="CO_-_مقاولين_-_عقود_(2)1"/>
      <sheetName val="BUR_-_موردين_-_شركة_البروج_1"/>
      <sheetName val="CAP_-_موردين_-_عاصمة_الكهرباء1"/>
      <sheetName val="PO_-_موردين_-_اوامر_شراء1"/>
      <sheetName val="CO_-_مقاولين_-_عقود1"/>
      <sheetName val="Démol_1"/>
      <sheetName val="_SUMMARY1"/>
      <sheetName val="PREAMBLES_1"/>
      <sheetName val="GENERAL_REQUIREMENT1"/>
      <sheetName val="B-_SITE_WORK1"/>
      <sheetName val="C__CONCRETE_WORKS_1"/>
      <sheetName val="D-_MASONRY1"/>
      <sheetName val="E__METAL_WORK1"/>
      <sheetName val="F__WOOD_WORK_1"/>
      <sheetName val="G__THERMAL_&amp;MP1"/>
      <sheetName val="H__DOORS___WINDOWS1"/>
      <sheetName val="J__FINISHES1"/>
      <sheetName val="K_ACCESSO1"/>
      <sheetName val="P_CONVEYING_SYSTEM1"/>
      <sheetName val="Q_MECHANICAL1"/>
      <sheetName val="R_ELECTRICAL1"/>
      <sheetName val="S_External_Works1"/>
      <sheetName val="T_Provisional_Sum1"/>
      <sheetName val="T__MEP_Works1"/>
      <sheetName val="U-DAY_WORKS_SCHEDULE1"/>
      <sheetName val="Struct__Members1"/>
      <sheetName val="_VWVU))tÏØ0__20"/>
      <sheetName val="_SHOPLIST_xls_70,_0s«iÆøí¬i16"/>
      <sheetName val="[SHOPLIST_xls]/VWVU))tÏØ0_108"/>
      <sheetName val="[SHOPLIST_xls]/VWVU))tÏØ0_109"/>
      <sheetName val="_SHOPLIST_xls__SHOPLIST_xls_726"/>
      <sheetName val="_SHOPLIST_xls__SHOPLIST_xls_727"/>
      <sheetName val="개시대사_(2)2"/>
      <sheetName val="Ref_Arch2"/>
      <sheetName val="Div_Summary2"/>
      <sheetName val="___________16"/>
      <sheetName val="_SHOPLIST_xls_70,11"/>
      <sheetName val="_SHOPLIST_xls__VW11"/>
      <sheetName val="_SHOPLIST_xls__VWVU))tÏØ0__55"/>
      <sheetName val="_SHOPLIST_xls__VWVU))tÏØ0__56"/>
      <sheetName val="_SHOPLIST_xls__SHOPLIST_xls__11"/>
      <sheetName val="_SHOPLIST_xls__VWVU))tÏØ0__57"/>
      <sheetName val="_SHOPLIST_xls__VWVU))tÏØ0__58"/>
      <sheetName val="_SHOPLIST_xls__VWVU))tÏØ0__59"/>
      <sheetName val="_SHOPLIST_xls_70,_0s«_iÆø_í¬_11"/>
      <sheetName val="_SHOPLIST_xls_70_,_0_s«i_Æøí¬11"/>
      <sheetName val="_SHOPLIST_xls__VWVU))tÏØ0__60"/>
      <sheetName val="_SUMMARY2"/>
      <sheetName val="PREAMBLES_2"/>
      <sheetName val="GENERAL_REQUIREMENT2"/>
      <sheetName val="B-_SITE_WORK2"/>
      <sheetName val="C__CONCRETE_WORKS_2"/>
      <sheetName val="D-_MASONRY2"/>
      <sheetName val="E__METAL_WORK2"/>
      <sheetName val="F__WOOD_WORK_2"/>
      <sheetName val="G__THERMAL_&amp;MP2"/>
      <sheetName val="H__DOORS___WINDOWS2"/>
      <sheetName val="J__FINISHES2"/>
      <sheetName val="K_ACCESSO2"/>
      <sheetName val="P_CONVEYING_SYSTEM2"/>
      <sheetName val="Q_MECHANICAL2"/>
      <sheetName val="R_ELECTRICAL2"/>
      <sheetName val="S_External_Works2"/>
      <sheetName val="T_Provisional_Sum2"/>
      <sheetName val="T__MEP_Works2"/>
      <sheetName val="U-DAY_WORKS_SCHEDULE2"/>
      <sheetName val="Struct__Members2"/>
      <sheetName val="_SHOPLIST_xls__SHOPLIST_xls_728"/>
      <sheetName val="ملخص_المشاريع2"/>
      <sheetName val="عقود_المقاولين2"/>
      <sheetName val="اوامر_الشراء2"/>
      <sheetName val="الحركة_اليومية2"/>
      <sheetName val="محمد_عساف2"/>
      <sheetName val="كشف_الايرادات_والضرائب2"/>
      <sheetName val="حساب_البنك2"/>
      <sheetName val="كشف_الرواتب2"/>
      <sheetName val="SAF_-_عهد_-_سلامي_ابو_فخر2"/>
      <sheetName val="THA_-_عهد_-_ثابت_احمد2"/>
      <sheetName val="AAH_-_عهد_-_انس_هبو2"/>
      <sheetName val="YSA_-_عهد_-_ياسر_السبع2"/>
      <sheetName val="MKJ_-_عهد_-_محمود_قجك2"/>
      <sheetName val="MSH_-_عهد_-_محمد_الشامي2"/>
      <sheetName val="ALW_-_عهد_-_علوان_علي2"/>
      <sheetName val="AHA_-_عهد_-_احمد_الحاج2"/>
      <sheetName val="MOR_-_عهد_-_مرجان_عبدالهادي2"/>
      <sheetName val="MHA_-_عهد_-_محمد_حسون_العلي2"/>
      <sheetName val="MF_-_مكتب_رئيسي2"/>
      <sheetName val="CO_-_مقاولين_-_عقود_(2)2"/>
      <sheetName val="BUR_-_موردين_-_شركة_البروج_2"/>
      <sheetName val="CAP_-_موردين_-_عاصمة_الكهرباء2"/>
      <sheetName val="PO_-_موردين_-_اوامر_شراء2"/>
      <sheetName val="CO_-_مقاولين_-_عقود2"/>
      <sheetName val="[SHOPLIST_xls]/VWVU))tÏØ0_110"/>
      <sheetName val="[SHOPLIST_xls]/VWVU))tÏØ0_111"/>
      <sheetName val="[SHOPLIST_xls]/VWVU))tÏØ0_112"/>
      <sheetName val="[SHOPLIST_xls]/VWVU))tÏØ0_113"/>
      <sheetName val="Other_Cost_Norms2"/>
      <sheetName val="Div_10-Specialities_2"/>
      <sheetName val="MALE_&amp;_FEMALE_2"/>
      <sheetName val="6_2_Floor_Finishes2"/>
      <sheetName val="BUAs_and_Sales_Forecast2"/>
      <sheetName val="Lagoons_Breakdown_Prices2"/>
      <sheetName val="Cover_HW_Z2_2"/>
      <sheetName val="TOTAL_WORK2"/>
      <sheetName val="part_32"/>
      <sheetName val="pile_Length_for_Easter_fence2"/>
      <sheetName val="_Estimate__2"/>
      <sheetName val="Equip_2"/>
      <sheetName val="Data_2"/>
      <sheetName val="[SHOPLIST_xls]/VWVU))tÏØ0_114"/>
      <sheetName val="Démol_2"/>
      <sheetName val="WATER_DUCT_-_IC_212"/>
      <sheetName val="Asset_Desc2"/>
      <sheetName val="[SHOPLIST_xls]70,/0s«i_x2"/>
      <sheetName val="Account_Codes2"/>
      <sheetName val="[SHOPLIST_xls]/VWVU))tÏØ0_115"/>
      <sheetName val="[SHOPLIST_xls]/VWVU))tÏØ0_116"/>
      <sheetName val="[SHOPLIST_xls]/VWVU))tÏØ0_117"/>
      <sheetName val="[SHOPLIST_xls]/VWVU))tÏØ0_118"/>
      <sheetName val="[SHOPLIST_xls]/VWVU))tÏØ0_119"/>
      <sheetName val="[SHOPLIST_xls]/VWVU))tÏØ0_120"/>
      <sheetName val="[SHOPLIST_xls]/VWVU))tÏØ0_121"/>
      <sheetName val="[SHOPLIST_xls]/VWVU))tÏØ0_122"/>
      <sheetName val="[SHOPLIST_xls][SHOPLIST_xls]7_2"/>
      <sheetName val="[SHOPLIST_xls][SHOPLIST_xls]__2"/>
      <sheetName val="[SHOPLIST_xls][SHOPLIST_xls]__3"/>
      <sheetName val="[SHOPLIST_xls][SHOPLIST_xls]__4"/>
      <sheetName val="[SHOPLIST_xls][SHOPLIST_xls]__5"/>
      <sheetName val="[SHOPLIST_xls][SHOPLIST_xls]__6"/>
      <sheetName val="[SHOPLIST_xls][SHOPLIST_xls]__7"/>
      <sheetName val="[SHOPLIST_xls][SHOPLIST_xls]7_3"/>
      <sheetName val="[SHOPLIST_xls][SHOPLIST_xls]7_4"/>
      <sheetName val="[SHOPLIST_xls][SHOPLIST_xls]__8"/>
      <sheetName val="[SHOPLIST_xls][SHOPLIST_xls]__9"/>
      <sheetName val="[SHOPLIST_xls][SHOPLIST_xls]_10"/>
      <sheetName val="[SHOPLIST_xls][SHOPLIST_xls]7_5"/>
      <sheetName val="[SHOPLIST_xls][SHOPLIST_xls]_11"/>
      <sheetName val="[SHOPLIST_xls][SHOPLIST_xls]_12"/>
      <sheetName val="[SHOPLIST_xls][SHOPLIST_xls]7_6"/>
      <sheetName val="[SHOPLIST_xls][SHOPLIST_xls]_13"/>
      <sheetName val="[SHOPLIST_xls][SHOPLIST_xls]7_7"/>
      <sheetName val="[SHOPLIST_xls][SHOPLIST_xls]_14"/>
      <sheetName val="[SHOPLIST_xls][SHOPLIST_xls]_15"/>
      <sheetName val="_SHOPLIST_xls__VWVU))tÏØ0__62"/>
      <sheetName val="_SHOPLIST_xls__VWVU))tÏØ0__63"/>
      <sheetName val="_SHOPLIST_xls__VWVU))tÏØ0__72"/>
      <sheetName val="_SHOPLIST_xls__SHOPLIST_xls__VW"/>
      <sheetName val="_SHOPLIST_xls__VWVU))tÏØ0__81"/>
      <sheetName val="_SHOPLIST_xls__VWVU))tÏØ0__91"/>
      <sheetName val="8_0_Programme"/>
      <sheetName val="_VWVU))tÏØ0__21"/>
      <sheetName val="_SHOPLIST_xls_70,_0s«iÆøí¬i17"/>
      <sheetName val="[SHOPLIST_xls]/VWVU))tÏØ0_123"/>
      <sheetName val="[SHOPLIST_xls]/VWVU))tÏØ0_124"/>
      <sheetName val="[SHOPLIST_xls]/VWVU))tÏØ0_125"/>
      <sheetName val="[SHOPLIST_xls]/VWVU))tÏØ0_126"/>
      <sheetName val="[SHOPLIST_xls]/VWVU))tÏØ0_127"/>
      <sheetName val="[SHOPLIST_xls]/VWVU))tÏØ0_128"/>
      <sheetName val="CONSTRUCTION_COMPONENT4"/>
      <sheetName val="[SHOPLIST_xls]/VWVU))tÏØ0_129"/>
      <sheetName val="[SHOPLIST_xls]/VWVU))tÏØ0_130"/>
      <sheetName val="[SHOPLIST_xls]/VWVU))tÏØ0_131"/>
      <sheetName val="Trade_Summary4"/>
      <sheetName val="Sec__A-PQ5"/>
      <sheetName val="Preamble_B5"/>
      <sheetName val="Sec__C-Dayworks5"/>
      <sheetName val="d5_5"/>
      <sheetName val="Tender_Docs4"/>
      <sheetName val="Miral_Emails4"/>
      <sheetName val="LOAs_(061619)4"/>
      <sheetName val="Contract_Conditions_(Tender)4"/>
      <sheetName val="Contract_Qualifications4"/>
      <sheetName val="YVPI_&amp;_GII4"/>
      <sheetName val="LOA_(live_sheet)4"/>
      <sheetName val="LOA_Log_(082419)4"/>
      <sheetName val="Key_Docs_Ref_4"/>
      <sheetName val="To_Mr__Boota_(072519)4"/>
      <sheetName val="Status_Summary5"/>
      <sheetName val="Recon_Template4"/>
      <sheetName val="Quotation_FM_administration3"/>
      <sheetName val="Quotation_Visitor_and_Sec3"/>
      <sheetName val="Service_Charge3"/>
      <sheetName val="CABLES_3"/>
      <sheetName val="Quotation_Offices_108,9,10,11)3"/>
      <sheetName val="Quotation_modification3"/>
      <sheetName val="CIF_COST_ITEM4"/>
      <sheetName val="Rates_for_public_areas4"/>
      <sheetName val="DIV_01_General_Requirements3"/>
      <sheetName val="Bill_(1)_Main_Building3"/>
      <sheetName val="Bill_(2)_General_Site_&amp;_Parkin3"/>
      <sheetName val="wd_points3"/>
      <sheetName val="Bill_(3)_Guest_House3"/>
      <sheetName val="Bill_(4)_Family_Buildings3"/>
      <sheetName val="Bill_(5)_Villa_Buildings3"/>
      <sheetName val="Bill_(6)_Entrance_Building3"/>
      <sheetName val="Bill_(7)_Masjid3"/>
      <sheetName val="Bill_(8)_Auditorium3"/>
      <sheetName val="Bill_(9)_Site_Prep__&amp;_Roadway3"/>
      <sheetName val="Summary_Cost3"/>
      <sheetName val="lighting_points3"/>
      <sheetName val="ESTIMATE_(2)3"/>
      <sheetName val="COM_Summary3"/>
      <sheetName val="_SHOPLIST_xls__SHOPLIST_xls_729"/>
      <sheetName val="_SHOPLIST_xls__SHOPLIST_xls_730"/>
      <sheetName val="GENERAL_SUMMARY3"/>
      <sheetName val="SITE_WORKS3"/>
      <sheetName val="WOOD_WORK3"/>
      <sheetName val="THERMAL_&amp;_MOISTURE_3"/>
      <sheetName val="DOORS_&amp;_WINDOWS3"/>
      <sheetName val="Additional_Items3"/>
      <sheetName val="개시대사_(2)3"/>
      <sheetName val="Ref_Arch3"/>
      <sheetName val="Div_Summary3"/>
      <sheetName val="___________17"/>
      <sheetName val="_SHOPLIST_xls_70,12"/>
      <sheetName val="_SHOPLIST_xls__VW12"/>
      <sheetName val="_SHOPLIST_xls__VWVU))tÏØ0__64"/>
      <sheetName val="_SHOPLIST_xls__VWVU))tÏØ0__65"/>
      <sheetName val="_SHOPLIST_xls__SHOPLIST_xls__12"/>
      <sheetName val="_SHOPLIST_xls__VWVU))tÏØ0__66"/>
      <sheetName val="_SHOPLIST_xls__VWVU))tÏØ0__67"/>
      <sheetName val="_SHOPLIST_xls__VWVU))tÏØ0__68"/>
      <sheetName val="_SHOPLIST_xls_70,_0s«_iÆø_í¬_12"/>
      <sheetName val="_SHOPLIST_xls_70_,_0_s«i_Æøí¬12"/>
      <sheetName val="_SHOPLIST_xls__VWVU))tÏØ0__69"/>
      <sheetName val="TB_ALJADA3"/>
      <sheetName val="Plot_Area3"/>
      <sheetName val="Closing_entries3"/>
      <sheetName val="Executive_Summary3"/>
      <sheetName val="Sales_Tracking_Report_(STR)3"/>
      <sheetName val="Blocking_Tracking_Report_(BTR)3"/>
      <sheetName val="Bill_No_13"/>
      <sheetName val="[SHOPLIST_xls]70,/0s«iÆøí¬4"/>
      <sheetName val="B2-DV_No_023"/>
      <sheetName val="_SUMMARY3"/>
      <sheetName val="PREAMBLES_3"/>
      <sheetName val="GENERAL_REQUIREMENT3"/>
      <sheetName val="B-_SITE_WORK3"/>
      <sheetName val="C__CONCRETE_WORKS_3"/>
      <sheetName val="D-_MASONRY3"/>
      <sheetName val="E__METAL_WORK3"/>
      <sheetName val="F__WOOD_WORK_3"/>
      <sheetName val="G__THERMAL_&amp;MP3"/>
      <sheetName val="H__DOORS___WINDOWS3"/>
      <sheetName val="J__FINISHES3"/>
      <sheetName val="K_ACCESSO3"/>
      <sheetName val="P_CONVEYING_SYSTEM3"/>
      <sheetName val="Q_MECHANICAL3"/>
      <sheetName val="R_ELECTRICAL3"/>
      <sheetName val="S_External_Works3"/>
      <sheetName val="T_Provisional_Sum3"/>
      <sheetName val="T__MEP_Works3"/>
      <sheetName val="U-DAY_WORKS_SCHEDULE3"/>
      <sheetName val="Struct__Members3"/>
      <sheetName val="MAIN_SUMMARY3"/>
      <sheetName val="_SHOPLIST_xls__SHOPLIST_xls_731"/>
      <sheetName val="L_(4)3"/>
      <sheetName val="ملخص_المشاريع3"/>
      <sheetName val="عقود_المقاولين3"/>
      <sheetName val="اوامر_الشراء3"/>
      <sheetName val="الحركة_اليومية3"/>
      <sheetName val="محمد_عساف3"/>
      <sheetName val="كشف_الايرادات_والضرائب3"/>
      <sheetName val="حساب_البنك3"/>
      <sheetName val="كشف_الرواتب3"/>
      <sheetName val="SAF_-_عهد_-_سلامي_ابو_فخر3"/>
      <sheetName val="THA_-_عهد_-_ثابت_احمد3"/>
      <sheetName val="AAH_-_عهد_-_انس_هبو3"/>
      <sheetName val="YSA_-_عهد_-_ياسر_السبع3"/>
      <sheetName val="MKJ_-_عهد_-_محمود_قجك3"/>
      <sheetName val="MSH_-_عهد_-_محمد_الشامي3"/>
      <sheetName val="ALW_-_عهد_-_علوان_علي3"/>
      <sheetName val="AHA_-_عهد_-_احمد_الحاج3"/>
      <sheetName val="MOR_-_عهد_-_مرجان_عبدالهادي3"/>
      <sheetName val="MHA_-_عهد_-_محمد_حسون_العلي3"/>
      <sheetName val="MF_-_مكتب_رئيسي3"/>
      <sheetName val="CO_-_مقاولين_-_عقود_(2)3"/>
      <sheetName val="BUR_-_موردين_-_شركة_البروج_3"/>
      <sheetName val="CAP_-_موردين_-_عاصمة_الكهرباء3"/>
      <sheetName val="PO_-_موردين_-_اوامر_شراء3"/>
      <sheetName val="CO_-_مقاولين_-_عقود3"/>
      <sheetName val="[SHOPLIST_xls]/VWVU))tÏØ0_132"/>
      <sheetName val="[SHOPLIST_xls]/VWVU))tÏØ0_133"/>
      <sheetName val="Master_data3"/>
      <sheetName val="[SHOPLIST_xls]/VWVU))tÏØ0_134"/>
      <sheetName val="[SHOPLIST_xls]/VWVU))tÏØ0_135"/>
      <sheetName val="[SHOPLIST_xls][SH4"/>
      <sheetName val="P1926-H2B_Pkg_2A&amp;2B4"/>
      <sheetName val="P1940-H2B_Pkg_1_Guestrooms4"/>
      <sheetName val="[SHOPLIST_xls]70_4"/>
      <sheetName val="Other_Cost_Norms3"/>
      <sheetName val="Comp_equip3"/>
      <sheetName val="Basic_Rate3"/>
      <sheetName val="MASTER_RATE_ANALYSIS3"/>
      <sheetName val="P15_Cost_Implications3"/>
      <sheetName val="P15_uPVC_ducts-Rate_Summary3"/>
      <sheetName val="P13_uPVC_ducts3"/>
      <sheetName val="P13_Mass_Concrete3"/>
      <sheetName val="P13_Imported_Fill3"/>
      <sheetName val="P14_uPVC_ducts3"/>
      <sheetName val="P14_Mass_Concrete3"/>
      <sheetName val="P14_Imported_Fill3"/>
      <sheetName val="P14_Sand_bed_to_cable3"/>
      <sheetName val="P15_uPVC_ducts3"/>
      <sheetName val="Div_10-Specialities_3"/>
      <sheetName val="MALE_&amp;_FEMALE_3"/>
      <sheetName val="6_2_Floor_Finishes3"/>
      <sheetName val="BUAs_and_Sales_Forecast3"/>
      <sheetName val="Lagoons_Breakdown_Prices3"/>
      <sheetName val="Cover_HW_Z2_3"/>
      <sheetName val="TOTAL_WORK3"/>
      <sheetName val="part_33"/>
      <sheetName val="pile_Length_for_Easter_fence3"/>
      <sheetName val="_Estimate__3"/>
      <sheetName val="Equip_3"/>
      <sheetName val="Cumulative_Rail_3"/>
      <sheetName val="Data_3"/>
      <sheetName val="[SHOPLIST_xls]/VWVU))tÏØ0_136"/>
      <sheetName val="Staff_OLD_3"/>
      <sheetName val="Portfolio_List3"/>
      <sheetName val="Initial_Data3"/>
      <sheetName val="Package_Status3"/>
      <sheetName val="Appendix-A_-GRAND_SUMMARY3"/>
      <sheetName val="D9_(New_Rate)3"/>
      <sheetName val="Grand_Summary_3"/>
      <sheetName val="Bill_No_01_-_GI_3"/>
      <sheetName val="combined_3"/>
      <sheetName val="summary-Optional_3"/>
      <sheetName val="B14_02_3"/>
      <sheetName val="Prov_Sum_3"/>
      <sheetName val="Démol_3"/>
      <sheetName val="Contractor_Application3"/>
      <sheetName val="08_MEP_Summary3"/>
      <sheetName val="Addnl_works3"/>
      <sheetName val="B3__Material_on_Site-Detail3"/>
      <sheetName val="WATER_DUCT_-_IC_213"/>
      <sheetName val="Asset_Desc3"/>
      <sheetName val="[SHOPLIST_xls]70,/0s«i_x3"/>
      <sheetName val="Account_Codes3"/>
      <sheetName val="[SHOPLIST_xls]/VWVU))tÏØ0_137"/>
      <sheetName val="[SHOPLIST_xls]/VWVU))tÏØ0_138"/>
      <sheetName val="[SHOPLIST_xls]/VWVU))tÏØ0_139"/>
      <sheetName val="[SHOPLIST_xls]/VWVU))tÏØ0_140"/>
      <sheetName val="[SHOPLIST_xls]/VWVU))tÏØ0_141"/>
      <sheetName val="[SHOPLIST_xls]/VWVU))tÏØ0_142"/>
      <sheetName val="[SHOPLIST_xls]/VWVU))tÏØ0_143"/>
      <sheetName val="[SHOPLIST_xls]/VWVU))tÏØ0_144"/>
      <sheetName val="FLOOR_AND_CEILING1"/>
      <sheetName val="area_comp_2011_01_18_(2)1"/>
      <sheetName val="drop_down_lists1"/>
      <sheetName val="PH_51"/>
      <sheetName val="S-Curve_Update1"/>
      <sheetName val="[SHOPLIST_xls][SHOPLIST_xls]7_1"/>
      <sheetName val="[SHOPLIST_xls][SHOPLIST_xls]__1"/>
      <sheetName val="[SHOPLIST_xls][SHOPLIST_xls]_16"/>
      <sheetName val="[SHOPLIST_xls][SHOPLIST_xls]_17"/>
      <sheetName val="[SHOPLIST_xls][SHOPLIST_xls]_18"/>
      <sheetName val="[SHOPLIST_xls][SHOPLIST_xls]_19"/>
      <sheetName val="[SHOPLIST_xls][SHOPLIST_xls]_20"/>
      <sheetName val="[SHOPLIST_xls][SHOPLIST_xls]7_8"/>
      <sheetName val="[SHOPLIST_xls][SHOPLIST_xls]7_9"/>
      <sheetName val="[SHOPLIST_xls][SHOPLIST_xls]_21"/>
      <sheetName val="[SHOPLIST_xls][SHOPLIST_xls]_22"/>
      <sheetName val="[SHOPLIST_xls][SHOPLIST_xls]_23"/>
      <sheetName val="[SHOPLIST_xls][SHOPLIST_xls]_24"/>
      <sheetName val="[SHOPLIST_xls][SHOPLIST_xls]_25"/>
      <sheetName val="[SHOPLIST_xls][SHOPLIST_xls]_26"/>
      <sheetName val="[SHOPLIST_xls][SHOPLIST_xls]_27"/>
      <sheetName val="[SHOPLIST_xls][SHOPLIST_xls]_28"/>
      <sheetName val="[SHOPLIST_xls]70_x005f_x0000_,/0_x001"/>
      <sheetName val="_SHOPLIST_xls__VWVU))tÏØ0__70"/>
      <sheetName val="_SHOPLIST_xls__VWVU))tÏØ0__73"/>
      <sheetName val="_SHOPLIST_xls__VWVU))tÏØ0__74"/>
      <sheetName val="_SHOPLIST_xls__SHOPLIST_xls__V1"/>
      <sheetName val="_SHOPLIST_xls__VWVU))tÏØ0__82"/>
      <sheetName val="_SHOPLIST_xls__VWVU))tÏØ0__92"/>
      <sheetName val="8_0_Programme1"/>
      <sheetName val="Rate_analysis20"/>
      <sheetName val="_VWVU))tÏØ0__22"/>
      <sheetName val="_SHOPLIST_xls_70,_0s«iÆøí¬i18"/>
      <sheetName val="[SHOPLIST_xls]/VWVU))tÏØ0_145"/>
      <sheetName val="[SHOPLIST_xls]/VWVU))tÏØ0_146"/>
      <sheetName val="Summary_5"/>
      <sheetName val="B04-A_-_DIA_SUDEER5"/>
      <sheetName val="04D_-_Tanmyat5"/>
      <sheetName val="13-_B04-B_&amp;_C5"/>
      <sheetName val="_SITE_09_B04-B&amp;C-AFAQ5"/>
      <sheetName val="[SHOPLIST_xls]/VWVU))tÏØ0_147"/>
      <sheetName val="[SHOPLIST_xls]/VWVU))tÏØ0_148"/>
      <sheetName val="[SHOPLIST_xls]/VWVU))tÏØ0_149"/>
      <sheetName val="[SHOPLIST_xls]/VWVU))tÏØ0_150"/>
      <sheetName val="CONSTRUCTION_COMPONENT5"/>
      <sheetName val="Finansal_tamamlanma_Eğrisi6"/>
      <sheetName val="2_Plex6"/>
      <sheetName val="Sheet1_(2)6"/>
      <sheetName val="4_Plex6"/>
      <sheetName val="6_Plex_6"/>
      <sheetName val="Detailed_Summary6"/>
      <sheetName val="Sheet1_(3)6"/>
      <sheetName val="Sheet1_(4)6"/>
      <sheetName val="HB_CEC_schd_4_26"/>
      <sheetName val="HB_CEC_schd_4_36"/>
      <sheetName val="HB_CEC_schd_5_26"/>
      <sheetName val="HB_CEC_schd_6_26"/>
      <sheetName val="HB_CEC_schd_7_26"/>
      <sheetName val="HB_CEC_schd_9_26"/>
      <sheetName val="Doha_Farm6"/>
      <sheetName val="Dropdown_List6"/>
      <sheetName val="New_Bld6"/>
      <sheetName val="[SHOPLIST_xls]/VWVU))tÏØ0_151"/>
      <sheetName val="[SHOPLIST_xls]/VWVU))tÏØ0_152"/>
      <sheetName val="[SHOPLIST_xls]/VWVU))tÏØ0_153"/>
      <sheetName val="1_-_Main_Building6"/>
      <sheetName val="1_-_Summary6"/>
      <sheetName val="2_-_Landscaping_Works6"/>
      <sheetName val="2_-_Summary6"/>
      <sheetName val="4_-_Bldg_Infra6"/>
      <sheetName val="4_-_Summary6"/>
      <sheetName val="Trade_Summary5"/>
      <sheetName val="Sec__A-PQ6"/>
      <sheetName val="Preamble_B6"/>
      <sheetName val="Sec__C-Dayworks6"/>
      <sheetName val="d5_6"/>
      <sheetName val="Tender_Docs5"/>
      <sheetName val="Miral_Emails5"/>
      <sheetName val="LOAs_(061619)5"/>
      <sheetName val="Contract_Conditions_(Tender)5"/>
      <sheetName val="Contract_Qualifications5"/>
      <sheetName val="YVPI_&amp;_GII5"/>
      <sheetName val="LOA_(live_sheet)5"/>
      <sheetName val="LOA_Log_(082419)5"/>
      <sheetName val="Key_Docs_Ref_5"/>
      <sheetName val="To_Mr__Boota_(072519)5"/>
      <sheetName val="Status_Summary6"/>
      <sheetName val="New_Rates5"/>
      <sheetName val="Labour_Rates5"/>
      <sheetName val="Status_5"/>
      <sheetName val="CLIENT_BUDGET5"/>
      <sheetName val="Reco-June_20195"/>
      <sheetName val="REMINING_PROGRESS5"/>
      <sheetName val="OS&amp;E__IT5"/>
      <sheetName val="PAID_AMOUNT5"/>
      <sheetName val="IPA_215"/>
      <sheetName val="Order_by_owner5"/>
      <sheetName val="PERLIM__Sammary5"/>
      <sheetName val="RECOVER_OF_DOUBLE_PAYMENT5"/>
      <sheetName val="rathath_al_matar5"/>
      <sheetName val="INTERNAL_LINE_5"/>
      <sheetName val="MINOVA_AL_DEYAR5"/>
      <sheetName val="BLUE_RHINE5"/>
      <sheetName val="NATIONAL_PAINT5"/>
      <sheetName val="FIRE_RATED5"/>
      <sheetName val="Dashboard_(1)6"/>
      <sheetName val="VO_Agreed_to_Unifier_Sum6"/>
      <sheetName val="VO_Not_yet_Agreed_to_Unifier6"/>
      <sheetName val="VO_Anticipated_to_Unifier6"/>
      <sheetName val="EW_to_Unifier6"/>
      <sheetName val="Prov_Sums6"/>
      <sheetName val="Other_Amounts6"/>
      <sheetName val="Asset_Allocation_(CR)6"/>
      <sheetName val="Project_Benchmarking6"/>
      <sheetName val="Recon_Template5"/>
      <sheetName val="Estimate_for_approval5"/>
      <sheetName val="Quotation_FM_administration4"/>
      <sheetName val="Quotation_Visitor_and_Sec4"/>
      <sheetName val="Service_Charge4"/>
      <sheetName val="CABLES_4"/>
      <sheetName val="Quotation_Offices_108,9,10,11)4"/>
      <sheetName val="Quotation_modification4"/>
      <sheetName val="CIF_COST_ITEM5"/>
      <sheetName val="Rates_for_public_areas5"/>
      <sheetName val="DIV_01_General_Requirements4"/>
      <sheetName val="Bill_(1)_Main_Building4"/>
      <sheetName val="Bill_(2)_General_Site_&amp;_Parkin4"/>
      <sheetName val="wd_points4"/>
      <sheetName val="Bill_(3)_Guest_House4"/>
      <sheetName val="Bill_(4)_Family_Buildings4"/>
      <sheetName val="Bill_(5)_Villa_Buildings4"/>
      <sheetName val="Bill_(6)_Entrance_Building4"/>
      <sheetName val="Bill_(7)_Masjid4"/>
      <sheetName val="Bill_(8)_Auditorium4"/>
      <sheetName val="Bill_(9)_Site_Prep__&amp;_Roadway4"/>
      <sheetName val="Summary_Cost4"/>
      <sheetName val="lighting_points4"/>
      <sheetName val="ESTIMATE_(2)4"/>
      <sheetName val="COM_Summary4"/>
      <sheetName val="Drop_Down_Data4"/>
      <sheetName val="Rules_4"/>
      <sheetName val="Update_list4"/>
      <sheetName val="Sinh_Nam_systems4"/>
      <sheetName val="DIE_profile4"/>
      <sheetName val="Import_tax4"/>
      <sheetName val="TONG_HOP_VL-NC4"/>
      <sheetName val="TONGKE3p_4"/>
      <sheetName val="TH_VL,_NC,_DDHT_Thanhphuoc4"/>
      <sheetName val="DON_GIA4"/>
      <sheetName val="CHITIET_VL-NC4"/>
      <sheetName val="TH_kinh_phi4"/>
      <sheetName val="KLDT_DIEN4"/>
      <sheetName val="Dinh_muc_CP_KTCB_khac4"/>
      <sheetName val="_SHOPLIST_xls__SHOPLIST_xls_732"/>
      <sheetName val="_SHOPLIST_xls__SHOPLIST_xls_733"/>
      <sheetName val="quotation_4"/>
      <sheetName val="Bill_5_-_Carpark4"/>
      <sheetName val="BOQ_-_summary__34"/>
      <sheetName val="NKSC_thue4"/>
      <sheetName val="05__Data_Cash_Flow4"/>
      <sheetName val="MTO_REV_2(ARMOR)4"/>
      <sheetName val="GENERAL_SUMMARY4"/>
      <sheetName val="SITE_WORKS4"/>
      <sheetName val="WOOD_WORK4"/>
      <sheetName val="THERMAL_&amp;_MOISTURE_4"/>
      <sheetName val="DOORS_&amp;_WINDOWS4"/>
      <sheetName val="Additional_Items4"/>
      <sheetName val="개시대사_(2)4"/>
      <sheetName val="Ref_Arch4"/>
      <sheetName val="Div_Summary4"/>
      <sheetName val="___________18"/>
      <sheetName val="_SHOPLIST_xls_70,13"/>
      <sheetName val="_SHOPLIST_xls__VW13"/>
      <sheetName val="_SHOPLIST_xls__VWVU))tÏØ0__75"/>
      <sheetName val="_SHOPLIST_xls__VWVU))tÏØ0__76"/>
      <sheetName val="_SHOPLIST_xls__SHOPLIST_xls__13"/>
      <sheetName val="_SHOPLIST_xls__VWVU))tÏØ0__77"/>
      <sheetName val="_SHOPLIST_xls__VWVU))tÏØ0__78"/>
      <sheetName val="_SHOPLIST_xls__VWVU))tÏØ0__79"/>
      <sheetName val="_SHOPLIST_xls_70,_0s«_iÆø_í¬_13"/>
      <sheetName val="_SHOPLIST_xls_70_,_0_s«i_Æøí¬13"/>
      <sheetName val="_SHOPLIST_xls__VWVU))tÏØ0__80"/>
      <sheetName val="TB_ALJADA4"/>
      <sheetName val="Plot_Area4"/>
      <sheetName val="Closing_entries4"/>
      <sheetName val="Executive_Summary4"/>
      <sheetName val="Sales_Tracking_Report_(STR)4"/>
      <sheetName val="Blocking_Tracking_Report_(BTR)4"/>
      <sheetName val="Bill_No_14"/>
      <sheetName val="[SHOPLIST_xls]70,/0s«iÆøí¬5"/>
      <sheetName val="B2-DV_No_024"/>
      <sheetName val="_SUMMARY4"/>
      <sheetName val="PREAMBLES_4"/>
      <sheetName val="GENERAL_REQUIREMENT4"/>
      <sheetName val="B-_SITE_WORK4"/>
      <sheetName val="C__CONCRETE_WORKS_4"/>
      <sheetName val="D-_MASONRY4"/>
      <sheetName val="E__METAL_WORK4"/>
      <sheetName val="F__WOOD_WORK_4"/>
      <sheetName val="G__THERMAL_&amp;MP4"/>
      <sheetName val="H__DOORS___WINDOWS4"/>
      <sheetName val="J__FINISHES4"/>
      <sheetName val="K_ACCESSO4"/>
      <sheetName val="P_CONVEYING_SYSTEM4"/>
      <sheetName val="Q_MECHANICAL4"/>
      <sheetName val="R_ELECTRICAL4"/>
      <sheetName val="S_External_Works4"/>
      <sheetName val="T_Provisional_Sum4"/>
      <sheetName val="T__MEP_Works4"/>
      <sheetName val="U-DAY_WORKS_SCHEDULE4"/>
      <sheetName val="Struct__Members4"/>
      <sheetName val="MAIN_SUMMARY4"/>
      <sheetName val="L3-WBS_Mapping4"/>
      <sheetName val="BAFO_CCL_Submission4"/>
      <sheetName val="Abs_PMRL4"/>
      <sheetName val="_SHOPLIST_xls__SHOPLIST_xls_734"/>
      <sheetName val="L_(4)4"/>
      <sheetName val="ملخص_المشاريع4"/>
      <sheetName val="عقود_المقاولين4"/>
      <sheetName val="اوامر_الشراء4"/>
      <sheetName val="الحركة_اليومية4"/>
      <sheetName val="محمد_عساف4"/>
      <sheetName val="كشف_الايرادات_والضرائب4"/>
      <sheetName val="حساب_البنك4"/>
      <sheetName val="كشف_الرواتب4"/>
      <sheetName val="SAF_-_عهد_-_سلامي_ابو_فخر4"/>
      <sheetName val="THA_-_عهد_-_ثابت_احمد4"/>
      <sheetName val="AAH_-_عهد_-_انس_هبو4"/>
      <sheetName val="YSA_-_عهد_-_ياسر_السبع4"/>
      <sheetName val="MKJ_-_عهد_-_محمود_قجك4"/>
      <sheetName val="MSH_-_عهد_-_محمد_الشامي4"/>
      <sheetName val="ALW_-_عهد_-_علوان_علي4"/>
      <sheetName val="AHA_-_عهد_-_احمد_الحاج4"/>
      <sheetName val="MOR_-_عهد_-_مرجان_عبدالهادي4"/>
      <sheetName val="MHA_-_عهد_-_محمد_حسون_العلي4"/>
      <sheetName val="MF_-_مكتب_رئيسي4"/>
      <sheetName val="CO_-_مقاولين_-_عقود_(2)4"/>
      <sheetName val="BUR_-_موردين_-_شركة_البروج_4"/>
      <sheetName val="CAP_-_موردين_-_عاصمة_الكهرباء4"/>
      <sheetName val="PO_-_موردين_-_اوامر_شراء4"/>
      <sheetName val="CO_-_مقاولين_-_عقود4"/>
      <sheetName val="[SHOPLIST_xls]/VWVU))tÏØ0_154"/>
      <sheetName val="[SHOPLIST_xls]/VWVU))tÏØ0_155"/>
      <sheetName val="Master_data4"/>
      <sheetName val="[SHOPLIST_xls]/VWVU))tÏØ0_156"/>
      <sheetName val="[SHOPLIST_xls]/VWVU))tÏØ0_157"/>
      <sheetName val="[SHOPLIST_xls][SH5"/>
      <sheetName val="BOQ_1_924"/>
      <sheetName val="P1926-H2B_Pkg_2A&amp;2B5"/>
      <sheetName val="P1940-H2B_Pkg_1_Guestrooms5"/>
      <sheetName val="[SHOPLIST_xls]70_5"/>
      <sheetName val="Other_Cost_Norms4"/>
      <sheetName val="Comp_equip4"/>
      <sheetName val="Basic_Rate4"/>
      <sheetName val="MASTER_RATE_ANALYSIS4"/>
      <sheetName val="P15_Cost_Implications4"/>
      <sheetName val="P15_uPVC_ducts-Rate_Summary4"/>
      <sheetName val="P13_uPVC_ducts4"/>
      <sheetName val="P13_Mass_Concrete4"/>
      <sheetName val="P13_Imported_Fill4"/>
      <sheetName val="P14_uPVC_ducts4"/>
      <sheetName val="P14_Mass_Concrete4"/>
      <sheetName val="P14_Imported_Fill4"/>
      <sheetName val="P14_Sand_bed_to_cable4"/>
      <sheetName val="P15_uPVC_ducts4"/>
      <sheetName val="Div_10-Specialities_4"/>
      <sheetName val="MALE_&amp;_FEMALE_4"/>
      <sheetName val="6_2_Floor_Finishes4"/>
      <sheetName val="BUAs_and_Sales_Forecast4"/>
      <sheetName val="Lagoons_Breakdown_Prices4"/>
      <sheetName val="Cover_HW_Z2_4"/>
      <sheetName val="TOTAL_WORK4"/>
      <sheetName val="part_34"/>
      <sheetName val="pile_Length_for_Easter_fence4"/>
      <sheetName val="_Estimate__4"/>
      <sheetName val="Equip_4"/>
      <sheetName val="Cumulative_Rail_4"/>
      <sheetName val="Data_4"/>
      <sheetName val="[SHOPLIST_xls]/VWVU))tÏØ0_158"/>
      <sheetName val="Staff_OLD_4"/>
      <sheetName val="Portfolio_List4"/>
      <sheetName val="Initial_Data4"/>
      <sheetName val="Package_Status4"/>
      <sheetName val="Appendix-A_-GRAND_SUMMARY4"/>
      <sheetName val="D9_(New_Rate)4"/>
      <sheetName val="Grand_Summary_4"/>
      <sheetName val="Bill_No_01_-_GI_4"/>
      <sheetName val="combined_4"/>
      <sheetName val="summary-Optional_4"/>
      <sheetName val="B14_02_4"/>
      <sheetName val="Prov_Sum_4"/>
      <sheetName val="Démol_4"/>
      <sheetName val="Contractor_Application4"/>
      <sheetName val="08_MEP_Summary4"/>
      <sheetName val="Addnl_works4"/>
      <sheetName val="B3__Material_on_Site-Detail4"/>
      <sheetName val="WATER_DUCT_-_IC_214"/>
      <sheetName val="Asset_Desc4"/>
      <sheetName val="[SHOPLIST_xls]70,/0s«i_x4"/>
      <sheetName val="Account_Codes4"/>
      <sheetName val="[SHOPLIST_xls]/VWVU))tÏØ0_159"/>
      <sheetName val="[SHOPLIST_xls]/VWVU))tÏØ0_160"/>
      <sheetName val="[SHOPLIST_xls]/VWVU))tÏØ0_161"/>
      <sheetName val="[SHOPLIST_xls]/VWVU))tÏØ0_162"/>
      <sheetName val="[SHOPLIST_xls]/VWVU))tÏØ0_163"/>
      <sheetName val="[SHOPLIST_xls]/VWVU))tÏØ0_164"/>
      <sheetName val="[SHOPLIST_xls]/VWVU))tÏØ0_165"/>
      <sheetName val="[SHOPLIST_xls]/VWVU))tÏØ0_166"/>
      <sheetName val="FLOOR_AND_CEILING2"/>
      <sheetName val="area_comp_2011_01_18_(2)2"/>
      <sheetName val="drop_down_lists2"/>
      <sheetName val="PH_52"/>
      <sheetName val="S-Curve_Update2"/>
      <sheetName val="[SHOPLIST_xls][SHOPLIST_xls]744"/>
      <sheetName val="[SHOPLIST_xls][SHOPLIST_xls]_29"/>
      <sheetName val="[SHOPLIST_xls][SHOPLIST_xls]_30"/>
      <sheetName val="[SHOPLIST_xls][SHOPLIST_xls]_31"/>
      <sheetName val="[SHOPLIST_xls][SHOPLIST_xls]_32"/>
      <sheetName val="[SHOPLIST_xls][SHOPLIST_xls]_33"/>
      <sheetName val="[SHOPLIST_xls][SHOPLIST_xls]_34"/>
      <sheetName val="[SHOPLIST_xls][SHOPLIST_xls]745"/>
      <sheetName val="[SHOPLIST_xls][SHOPLIST_xls]746"/>
      <sheetName val="[SHOPLIST_xls][SHOPLIST_xls]_35"/>
      <sheetName val="[SHOPLIST_xls][SHOPLIST_xls]_36"/>
      <sheetName val="[SHOPLIST_xls][SHOPLIST_xls]_37"/>
      <sheetName val="[SHOPLIST_xls][SHOPLIST_xls]747"/>
      <sheetName val="[SHOPLIST_xls][SHOPLIST_xls]_38"/>
      <sheetName val="[SHOPLIST_xls][SHOPLIST_xls]_39"/>
      <sheetName val="[SHOPLIST_xls][SHOPLIST_xls]748"/>
      <sheetName val="[SHOPLIST_xls][SHOPLIST_xls]_40"/>
      <sheetName val="[SHOPLIST_xls][SHOPLIST_xls]749"/>
      <sheetName val="[SHOPLIST_xls][SHOPLIST_xls]_41"/>
      <sheetName val="[SHOPLIST_xls][SHOPLIST_xls]_42"/>
      <sheetName val="[SHOPLIST_xls]70_x005f_x0000_,/0_x002"/>
      <sheetName val="Detail_Page2"/>
      <sheetName val="_SHOPLIST_xls__VWVU))tÏØ0__83"/>
      <sheetName val="_SHOPLIST_xls__VWVU))tÏØ0__84"/>
      <sheetName val="_SHOPLIST_xls__VWVU))tÏØ0__85"/>
      <sheetName val="_SHOPLIST_xls__SHOPLIST_xls__V2"/>
      <sheetName val="_SHOPLIST_xls__VWVU))tÏØ0__86"/>
      <sheetName val="_SHOPLIST_xls__VWVU))tÏØ0__93"/>
      <sheetName val="8_0_Programme2"/>
      <sheetName val="Bill_3_Boutique"/>
      <sheetName val="Landscape_No_1"/>
      <sheetName val="MEP_No_3"/>
      <sheetName val="Cover_Sheet"/>
      <sheetName val="Pay_Cert"/>
      <sheetName val="Reconcilliation_Sheet"/>
      <sheetName val="EPMS-Total_"/>
      <sheetName val="EPMS_Earned_-GR"/>
      <sheetName val="EPMS_Earned_Electrical_Utilitie"/>
      <sheetName val="EPMS_-_Materials"/>
      <sheetName val="EPMS_-_Variations"/>
      <sheetName val="Variations_"/>
      <sheetName val="EPMS_-_Claims"/>
      <sheetName val="Advance_d_1"/>
      <sheetName val="Prev_Pay_Certs"/>
      <sheetName val="Monthly_Summary_01_Aug-25Sept"/>
      <sheetName val="Bond_calculation_(Verifi)"/>
      <sheetName val="IPC_10_Prog"/>
      <sheetName val="Grand_Summary"/>
      <sheetName val="Comparison_per_subzone"/>
      <sheetName val="Base_Course"/>
      <sheetName val="SoW_Assess_Blank_Form"/>
      <sheetName val="VO_Breakdown"/>
      <sheetName val="Measurement_Sheet"/>
      <sheetName val="Schedule_of_Drawings"/>
      <sheetName val="SI_Schedule"/>
      <sheetName val="ContraCharge_Schedule"/>
      <sheetName val="Item_List_OLD"/>
      <sheetName val="[SHOPLIST_xls]70___0_s__i_____4"/>
      <sheetName val="[SHOPLIST_xls][SHOPLIST_xls]_43"/>
      <sheetName val="[SHOPLIST_xls][SHOPLIST_xls]_44"/>
      <sheetName val="[SHOPLIST_xls][SHOPLIST_xls]_45"/>
      <sheetName val="[SHOPLIST_xls][SHOPLIST_xls]_46"/>
      <sheetName val="[SHOPLIST_xls][SHOPLIST_xls]_47"/>
      <sheetName val="[SHOPLIST_xls][SHOPLIST_xls]_48"/>
      <sheetName val="[SHOPLIST_xls][SHOPLIST_xls]_49"/>
      <sheetName val="[SHOPLIST_xls][SHOPLIST_xls]_50"/>
      <sheetName val="[SHOPLIST_xls][SHOPLIST_xls]_51"/>
      <sheetName val="[SHOPLIST_xls][SHOPLIST_xls]_52"/>
      <sheetName val="[SHOPLIST_xls][SHOPLIST_xls]_53"/>
      <sheetName val="[SHOPLIST_xls][SHOPLIST_xls]_54"/>
      <sheetName val="[SHOPLIST_xls][SHOPLIST_xls]_55"/>
      <sheetName val="[SHOPLIST_xls][SHOPLIST_xls]_56"/>
      <sheetName val="[SHOPLIST_xls][SHOPLIST_xls]_57"/>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SHOPLIST_xls]_76"/>
      <sheetName val="[SHOPLIST_xls][SHOPLIST_xls]_77"/>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SHOPLIST_xls][SHOPLIST_xls]_93"/>
      <sheetName val="[SHOPLIST_xls][SHOPLIST_xls]_94"/>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SHOPLIST_xls]111"/>
      <sheetName val="[SHOPLIST_xls][SHOPLIST_xls]112"/>
      <sheetName val="[SHOPLIST_xls]_SHOPLIST_xls_100"/>
      <sheetName val="[SHOPLIST_xls][SHOPLIST_xls]113"/>
      <sheetName val="[SHOPLIST_xls][SHOPLIST_xls]114"/>
      <sheetName val="[SHOPLIST_xls]/VWVU))1"/>
      <sheetName val="[SHOPLIST_xls]70_x005f_x005f_x005f_x0000__2"/>
      <sheetName val="[SHOPLIST_xls]_SHOPLIST_xls_101"/>
      <sheetName val="[SHOPLIST_xls]_SHOPLIST_xls_102"/>
      <sheetName val="[SHOPLIST_xls]_SHOPLIST_xls_103"/>
      <sheetName val="Gene��i"/>
      <sheetName val="_Structural"/>
      <sheetName val="Travel_Cranes"/>
      <sheetName val="Recap_Travel_Crane"/>
      <sheetName val="Recap_Architect"/>
      <sheetName val="Recap_External"/>
      <sheetName val="Recap_Struct"/>
      <sheetName val="Package_1"/>
      <sheetName val="Recap_Lift"/>
      <sheetName val="[SHOPLIST_xls][SHOPLIST_xls]70?"/>
      <sheetName val="Spacing_of_Delineators"/>
      <sheetName val="P-Ins_&amp;_Bonds1"/>
      <sheetName val="PC_"/>
      <sheetName val="App_-_A_"/>
      <sheetName val="App-_B_"/>
      <sheetName val="App_-_C_"/>
      <sheetName val="App_-_D_"/>
      <sheetName val="App_-_E_"/>
      <sheetName val="App_-_F"/>
      <sheetName val="App_-_G_"/>
      <sheetName val="App_-_H"/>
      <sheetName val="Concrete_Breakdown"/>
      <sheetName val="Masonry_Breakdown"/>
      <sheetName val="[SHOPLIST_xls]/VW1"/>
      <sheetName val="[SHOPLIST_xls]70,/0s«iÆøí¬i110"/>
      <sheetName val="Bill_3_Boutique1"/>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SHOPLIST_xls]123"/>
      <sheetName val="[SHOPLIST_xls][SHOPLIST_xls]124"/>
      <sheetName val="[SHOPLIST_xls][SHOPLIST_xls]125"/>
      <sheetName val="[SHOPLIST_xls][SHOPLIST_xls]126"/>
      <sheetName val="[SHOPLIST_xls][SHOPLIST_xls]127"/>
      <sheetName val="[SHOPLIST_xls][SHOPLIST_xls]128"/>
      <sheetName val="[SHOPLIST_xls]70___0_s__i_____1"/>
      <sheetName val="[SHOPLIST_xls]_VW__VU_________1"/>
      <sheetName val="[SHOPLIST_xls]_VW__VU_________4"/>
      <sheetName val="Landscape_No_11"/>
      <sheetName val="MEP_No_31"/>
      <sheetName val="BULD_31"/>
      <sheetName val="BLOCK_K1"/>
      <sheetName val="_boaboard_(1)1"/>
      <sheetName val="[SHOPLIST_xls]70_x005f_x0000___0_x0_1"/>
      <sheetName val="Cover_Sheet1"/>
      <sheetName val="Pay_Cert1"/>
      <sheetName val="Reconcilliation_Sheet1"/>
      <sheetName val="EPMS-Total_1"/>
      <sheetName val="EPMS_Earned_-GR1"/>
      <sheetName val="EPMS_Earned_Electrical_Utiliti1"/>
      <sheetName val="EPMS_-_Materials1"/>
      <sheetName val="EPMS_-_Variations1"/>
      <sheetName val="Variations_1"/>
      <sheetName val="EPMS_-_Claims1"/>
      <sheetName val="Advance_d_11"/>
      <sheetName val="Prev_Pay_Certs1"/>
      <sheetName val="Monthly_Summary_01_Aug-25Sept1"/>
      <sheetName val="Bond_calculation_(Verifi)1"/>
      <sheetName val="IPC_10_Prog1"/>
      <sheetName val="Grand_Summary1"/>
      <sheetName val="Comparison_per_subzone1"/>
      <sheetName val="Base_Course1"/>
      <sheetName val="SoW_Assess_Blank_Form1"/>
      <sheetName val="VO_Breakdown1"/>
      <sheetName val="Measurement_Sheet1"/>
      <sheetName val="Schedule_of_Drawings1"/>
      <sheetName val="SI_Schedule1"/>
      <sheetName val="ContraCharge_Schedule1"/>
      <sheetName val="Item_List_OLD1"/>
      <sheetName val="[SHOPLIST_xls]70___0_s__i_____5"/>
      <sheetName val="제출내역_(2)1"/>
      <sheetName val="[SHOPLIST_xls]70___0_s__i_____6"/>
      <sheetName val="[SHOPLIST_xls][SHOPLIST_xls]750"/>
      <sheetName val="[SHOPLIST_xls][SHOPLIST_xls]751"/>
      <sheetName val="[SHOPLIST_xls][SHOPLIST_xls]752"/>
      <sheetName val="[SHOPLIST_xls][SHOPLIST_xls]753"/>
      <sheetName val="[SHOPLIST_xls][SHOPLIST_xls]754"/>
      <sheetName val="[SHOPLIST_xls][SHOPLIST_xls]755"/>
      <sheetName val="[SHOPLIST_xls][SHOPLIST_xls]756"/>
      <sheetName val="[SHOPLIST_xls][SHOPLIST_xls]129"/>
      <sheetName val="[SHOPLIST_xls][SHOPLIST_xls]130"/>
      <sheetName val="[SHOPLIST_xls][SHOPLIST_xls]131"/>
      <sheetName val="[SHOPLIST_xls][SHOPLIST_xls]757"/>
      <sheetName val="[SHOPLIST_xls][SHOPLIST_xls]132"/>
      <sheetName val="[SHOPLIST_xls][SHOPLIST_xls]133"/>
      <sheetName val="[SHOPLIST_xls][SHOPLIST_xls]134"/>
      <sheetName val="[SHOPLIST_xls][SHOPLIST_xls]135"/>
      <sheetName val="[SHOPLIST_xls][SHOPLIST_xls]136"/>
      <sheetName val="[SHOPLIST_xls][SHOPLIST_xls]137"/>
      <sheetName val="[SHOPLIST_xls][SHOPLIST_xls]138"/>
      <sheetName val="[SHOPLIST_xls][SHOPLIST_xls]139"/>
      <sheetName val="[SHOPLIST_xls][SHOPLIST_xls]140"/>
      <sheetName val="[SHOPLIST_xls][SHOPLIST_xls]141"/>
      <sheetName val="[SHOPLIST_xls][SHOPLIST_xls]142"/>
      <sheetName val="[SHOPLIST_xls][SHOPLIST_xls]143"/>
      <sheetName val="[SHOPLIST_xls][SHOPLIST_xls]144"/>
      <sheetName val="[SHOPLIST_xls][SHOPLIST_xls]145"/>
      <sheetName val="[SHOPLIST_xls][SHOPLIST_xls]146"/>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SHOPLIST_xls][SHOPLIST_xls]159"/>
      <sheetName val="[SHOPLIST_xls][SHOPLIST_xls]160"/>
      <sheetName val="[SHOPLIST_xls][SHOPLIST_xls]161"/>
      <sheetName val="[SHOPLIST_xls][SHOPLIST_xls]162"/>
      <sheetName val="[SHOPLIST_xls][SHOPLIST_xls]163"/>
      <sheetName val="[SHOPLIST_xls][SHOPLIST_xls]164"/>
      <sheetName val="[SHOPLIST_xls][SHOPLIST_xls]165"/>
      <sheetName val="[SHOPLIST_xls][SHOPLIST_xls]166"/>
      <sheetName val="[SHOPLIST_xls][SHOPLIST_xls]167"/>
      <sheetName val="[SHOPLIST_xls][SHOPLIST_xls]168"/>
      <sheetName val="[SHOPLIST_xls][SHOPLIST_xls]169"/>
      <sheetName val="[SHOPLIST_xls][SHOPLIST_xls]170"/>
      <sheetName val="[SHOPLIST_xls][SHOPLIST_xls]171"/>
      <sheetName val="[SHOPLIST_xls][SHOPLIST_xls]172"/>
      <sheetName val="[SHOPLIST_xls][SHOPLIST_xls]173"/>
      <sheetName val="[SHOPLIST_xls][SHOPLIST_xls]174"/>
      <sheetName val="[SHOPLIST_xls][SHOPLIST_xls]175"/>
      <sheetName val="[SHOPLIST_xls][SHOPLIST_xls]176"/>
      <sheetName val="[SHOPLIST_xls][SHOPLIST_xls]177"/>
      <sheetName val="[SHOPLIST_xls][SHOPLIST_xls]178"/>
      <sheetName val="[SHOPLIST_xls][SHOPLIST_xls]179"/>
      <sheetName val="[SHOPLIST_xls][SHOPLIST_xls]180"/>
      <sheetName val="[SHOPLIST_xls][SHOPLIST_xls]181"/>
      <sheetName val="[SHOPLIST_xls][SHOPLIST_xls]182"/>
      <sheetName val="[SHOPLIST_xls][SHOPLIST_xls]183"/>
      <sheetName val="[SHOPLIST_xls][SHOPLIST_xls]184"/>
      <sheetName val="[SHOPLIST_xls][SHOPLIST_xls]185"/>
      <sheetName val="[SHOPLIST_xls][SHOPLIST_xls]186"/>
      <sheetName val="[SHOPLIST_xls][SHOPLIST_xls]187"/>
      <sheetName val="[SHOPLIST_xls][SHOPLIST_xls]188"/>
      <sheetName val="[SHOPLIST_xls][SHOPLIST_xls]189"/>
      <sheetName val="[SHOPLIST_xls][SHOPLIST_xls]190"/>
      <sheetName val="[SHOPLIST_xls][SHOPLIST_xls]191"/>
      <sheetName val="[SHOPLIST_xls][SHOPLIST_xls]192"/>
      <sheetName val="[SHOPLIST_xls][SHOPLIST_xls]193"/>
      <sheetName val="[SHOPLIST_xls][SHOPLIST_xls]194"/>
      <sheetName val="[SHOPLIST_xls][SHOPLIST_xls]195"/>
      <sheetName val="[SHOPLIST_xls][SHOPLIST_xls]196"/>
      <sheetName val="[SHOPLIST_xls][SHOPLIST_xls]197"/>
      <sheetName val="[SHOPLIST_xls][SHOPLIST_xls]198"/>
      <sheetName val="[SHOPLIST_xls][SHOPLIST_xls]199"/>
      <sheetName val="[SHOPLIST_xls][SHOPLIST_xls]200"/>
      <sheetName val="[SHOPLIST_xls][SHOPLIST_xls]201"/>
      <sheetName val="[SHOPLIST_xls][SHOPLIST_xls]202"/>
      <sheetName val="[SHOPLIST_xls][SHOPLIST_xls]203"/>
      <sheetName val="[SHOPLIST_xls][SHOPLIST_xls]204"/>
      <sheetName val="[SHOPLIST_xls][SHOPLIST_xls]205"/>
      <sheetName val="[SHOPLIST_xls][SHOPLIST_xls]206"/>
      <sheetName val="[SHOPLIST_xls][SHOPLIST_xls]207"/>
      <sheetName val="[SHOPLIST_xls][SHOPLIST_xls]208"/>
      <sheetName val="[SHOPLIST_xls][SHOPLIST_xls]209"/>
      <sheetName val="[SHOPLIST_xls][SHOPLIST_xls]210"/>
      <sheetName val="[SHOPLIST_xls][SHOPLIST_xls]211"/>
      <sheetName val="[SHOPLIST_xls][SHOPLIST_xls]212"/>
      <sheetName val="[SHOPLIST_xls][SHOPLIST_xls]213"/>
      <sheetName val="[SHOPLIST_xls][SHOPLIST_xls]214"/>
      <sheetName val="[SHOPLIST_xls][SHOPLIST_xls]215"/>
      <sheetName val="[SHOPLIST_xls][SHOPLIST_xls]216"/>
      <sheetName val="[SHOPLIST_xls][SHOPLIST_xls]217"/>
      <sheetName val="[SHOPLIST_xls][SHOPLIST_xls]218"/>
      <sheetName val="[SHOPLIST_xls][SHOPLIST_xls]219"/>
      <sheetName val="[SHOPLIST_xls][SHOPLIST_xls]220"/>
      <sheetName val="[SHOPLIST_xls][SHOPLIST_xls]221"/>
      <sheetName val="[SHOPLIST_xls][SHOPLIST_xls]222"/>
      <sheetName val="[SHOPLIST_xls][SHOPLIST_xls]223"/>
      <sheetName val="[SHOPLIST_xls][SHOPLIST_xls]224"/>
      <sheetName val="[SHOPLIST_xls][SHOPLIST_xls]225"/>
      <sheetName val="[SHOPLIST_xls][SHOPLIST_xls]226"/>
      <sheetName val="[SHOPLIST_xls]_SHOPLIST_xls_104"/>
      <sheetName val="[SHOPLIST_xls][SHOPLIST_xls]227"/>
      <sheetName val="[SHOPLIST_xls][SHOPLIST_xls]228"/>
      <sheetName val="[SHOPLIST_xls][SHOPLIST_xls]758"/>
      <sheetName val="[SHOPLIST_xls]/VWVU))2"/>
      <sheetName val="[SHOPLIST_xls]70_x005f_x005f_x005f_x0000__1"/>
      <sheetName val="[SHOPLIST_xls]_SHOPLIST_xls_105"/>
      <sheetName val="[SHOPLIST_xls]_SHOPLIST_xls_106"/>
      <sheetName val="[SHOPLIST_xls]_SHOPLIST_xls_107"/>
      <sheetName val="_Structural1"/>
      <sheetName val="Travel_Cranes1"/>
      <sheetName val="Recap_Travel_Crane1"/>
      <sheetName val="Recap_Architect1"/>
      <sheetName val="Recap_External1"/>
      <sheetName val="Recap_Struct1"/>
      <sheetName val="Package_11"/>
      <sheetName val="Recap_Lift1"/>
      <sheetName val="VESSELS_1"/>
      <sheetName val="[SHOPLIST_xls][SHOPLIST_xls]759"/>
      <sheetName val="Spacing_of_Delineators1"/>
      <sheetName val="P-Ins_&amp;_Bonds2"/>
      <sheetName val="PC_1"/>
      <sheetName val="App_-_A_1"/>
      <sheetName val="App-_B_1"/>
      <sheetName val="App_-_C_1"/>
      <sheetName val="App_-_D_1"/>
      <sheetName val="App_-_E_1"/>
      <sheetName val="App_-_F1"/>
      <sheetName val="App_-_G_1"/>
      <sheetName val="App_-_H1"/>
      <sheetName val="Concrete_Breakdown1"/>
      <sheetName val="Masonry_Breakdown1"/>
      <sheetName val="Macro custom function"/>
      <sheetName val="Inventory "/>
      <sheetName val="JAN"/>
      <sheetName val="Tender Stage"/>
      <sheetName val="Delay Clasifications"/>
      <sheetName val="PA Milestones"/>
      <sheetName val="BOQ Revenue &amp; Cost"/>
      <sheetName val="Invoice Certification"/>
      <sheetName val="Direct Labour"/>
      <sheetName val="Cap. Exp. (Depreciation)"/>
      <sheetName val="Mobaliziation &amp; Consultancy"/>
      <sheetName val="Staff Cost"/>
      <sheetName val="Running Cost"/>
      <sheetName val="Finance, BG &amp; Insurance"/>
      <sheetName val="Risk &amp; Contingency"/>
      <sheetName val="information"/>
      <sheetName val="Mp-team 1"/>
      <sheetName val="1 Summary"/>
      <sheetName val="co-no.2"/>
      <sheetName val="Lstsub"/>
      <sheetName val="Arch"/>
      <sheetName val="DB"/>
      <sheetName val="DIRLBR"/>
      <sheetName val="2.0 Cover Sum"/>
      <sheetName val="REQ_REMARKS"/>
      <sheetName val="70_x005f_x0000___0_x0_2"/>
      <sheetName val="70___0_s__i_____3"/>
      <sheetName val="[SHOPLIST.xls]7_2"/>
      <sheetName val="[SHOPLIST.xls]__2"/>
      <sheetName val="[SHOPLIST.xls]7_3"/>
      <sheetName val="[SHOPLIST.xls]__3"/>
      <sheetName val="[SHOPLIST.xls]__4"/>
      <sheetName val="[SHOPLIST.xls]__5"/>
      <sheetName val="[SHOPLIST.xls]__6"/>
      <sheetName val="[SHOPLIST.xls]__7"/>
      <sheetName val="70___0_s__i_____4"/>
      <sheetName val="[SHOPLIST.xls]7_4"/>
      <sheetName val="[SHOPLIST_xls]7_2"/>
      <sheetName val="[SHOPLIST_xls]7_3"/>
      <sheetName val="[SHOPLIST_xls]7_4"/>
      <sheetName val="[SHOPLIST_xls]7_5"/>
      <sheetName val="[SHOPLIST_xls]7_6"/>
      <sheetName val="[SHOPLIST_xls]7_7"/>
      <sheetName val="[SHOPLIST_xls]7_8"/>
      <sheetName val="[SHOPLIST.xls]__8"/>
      <sheetName val="[SHOPLIST.xls]7_5"/>
      <sheetName val="[SHOPLIST.xls]7_6"/>
      <sheetName val="[SHOPLIST.xls]__9"/>
      <sheetName val="[SHOPLIST_xls]__2"/>
      <sheetName val="[SHOPLIST_xls]__3"/>
      <sheetName val="[SHOPLIST_xls]__4"/>
      <sheetName val="[SHOPLIST_xls]7_9"/>
      <sheetName val="[SHOPLIST_xls]__5"/>
      <sheetName val="[SHOPLIST_xls]__6"/>
      <sheetName val="[SHOPLIST_xls]__7"/>
      <sheetName val="[SHOPLIST_xls]__8"/>
      <sheetName val="[SHOPLIST_xls]_10"/>
      <sheetName val="[SHOPLIST_xls]_11"/>
      <sheetName val="[SHOPLIST_xls]_12"/>
      <sheetName val="[SHOPLIST_xls]__9"/>
      <sheetName val="[SHOPLIST_xls]_13"/>
      <sheetName val="[SHOPLIST_xls]_14"/>
      <sheetName val="[SHOPLIST_xls]_15"/>
      <sheetName val="[SHOPLIST_xls]_16"/>
      <sheetName val="[SHOPLIST_xls]_17"/>
      <sheetName val="[SHOPLIST_xls]_18"/>
      <sheetName val="[SHOPLIST_xls]_19"/>
      <sheetName val="[SHOPLIST_xls]_20"/>
      <sheetName val="[SHOPLIST_xls]_21"/>
      <sheetName val="[SHOPLIST_xls]_22"/>
      <sheetName val="[SHOPLIST_xls]_23"/>
      <sheetName val="[SHOPLIST_xls]_24"/>
      <sheetName val="[SHOPLIST_xls]_25"/>
      <sheetName val="[SHOPLIST_xls]_26"/>
      <sheetName val="[SHOPLIST_xls]_27"/>
      <sheetName val="[SHOPLIST_xls]_28"/>
      <sheetName val="[SHOPLIST.xls]_10"/>
      <sheetName val="[SHOPLIST.xls]_11"/>
      <sheetName val="[SHOPLIST.xls]_12"/>
      <sheetName val="[SHOPLIST_xls]_29"/>
      <sheetName val="[SHOPLIST_xls]_30"/>
      <sheetName val="[SHOPLIST_xls]_31"/>
      <sheetName val="[SHOPLIST_xls]_32"/>
      <sheetName val="[SHOPLIST_xls]_33"/>
      <sheetName val="[SHOPLIST_xls]_34"/>
      <sheetName val="[SHOPLIST_xls]_35"/>
      <sheetName val="[SHOPLIST_xls]_36"/>
      <sheetName val="[SHOPLIST_xls]_37"/>
      <sheetName val="[SHOPLIST_xls]_38"/>
      <sheetName val="[SHOPLIST_xls]_39"/>
      <sheetName val="[SHOPLIST_xls]_40"/>
      <sheetName val="[SHOPLIST_xls]_41"/>
      <sheetName val="[SHOPLIST_xls]_42"/>
      <sheetName val="[SHOPLIST_xls]_43"/>
      <sheetName val="[SHOPLIST_xls]_44"/>
      <sheetName val="[SHOPLIST_xls]_45"/>
      <sheetName val="[SHOPLIST_xls]_46"/>
      <sheetName val="[SHOPLIST_xls]_47"/>
      <sheetName val="[SHOPLIST_xls]_48"/>
      <sheetName val="[SHOPLIST_xls]_49"/>
      <sheetName val="[SHOPLIST_xls]_50"/>
      <sheetName val="[SHOPLIST_xls]_51"/>
      <sheetName val="[SHOPLIST_xls]_52"/>
      <sheetName val="[SHOPLIST_xls]_53"/>
      <sheetName val="[SHOPLIST_xls]_54"/>
      <sheetName val="[SHOPLIST_xls]_55"/>
      <sheetName val="[SHOPLIST_xls]_56"/>
      <sheetName val="[SHOPLIST_xls]_57"/>
      <sheetName val="[SHOPLIST_xls]_58"/>
      <sheetName val="[SHOPLIST_xls]_59"/>
      <sheetName val="[SHOPLIST_xls]_60"/>
      <sheetName val="[SHOPLIST_xls]_61"/>
      <sheetName val="[SHOPLIST_xls]_62"/>
      <sheetName val="[SHOPLIST_xls]_63"/>
      <sheetName val="[SHOPLIST_xls]_64"/>
      <sheetName val="[SHOPLIST_xls]_65"/>
      <sheetName val="[SHOPLIST_xls]_66"/>
      <sheetName val="[SHOPLIST_xls]_67"/>
      <sheetName val="[SHOPLIST_xls]_68"/>
      <sheetName val="[SHOPLIST_xls]_69"/>
      <sheetName val="[SHOPLIST_xls]_70"/>
      <sheetName val="[SHOPLIST_xls]_71"/>
      <sheetName val="[SHOPLIST_xls]_72"/>
      <sheetName val="[SHOPLIST_xls]_73"/>
      <sheetName val="[SHOPLIST_xls]_74"/>
      <sheetName val="[SHOPLIST_xls]_75"/>
      <sheetName val="[SHOPLIST_xls]_76"/>
      <sheetName val="[SHOPLIST_xls]_77"/>
      <sheetName val="[SHOPLIST_xls]_78"/>
      <sheetName val="[SHOPLIST_xls]_79"/>
      <sheetName val="[SHOPLIST_xls]_80"/>
      <sheetName val="[SHOPLIST_xls]_81"/>
      <sheetName val="[SHOPLIST_xls]_82"/>
      <sheetName val="[SHOPLIST.xls]_13"/>
      <sheetName val="[SHOPLIST_xls]_83"/>
      <sheetName val="[SHOPLIST_xls]_84"/>
      <sheetName val="[SHOPLIST_xls]_85"/>
      <sheetName val="[SHOPLIST_xls]_86"/>
      <sheetName val="[SHOPLIST_xls]_87"/>
      <sheetName val="[SHOPLIST_xls]_88"/>
      <sheetName val="[SHOPLIST_xls]_89"/>
      <sheetName val="[SHOPLIST_xls]_90"/>
      <sheetName val="[SHOPLIST_xls]_91"/>
      <sheetName val="[SHOPLIST_xls]_92"/>
      <sheetName val="[SHOPLIST_xls]_93"/>
      <sheetName val="[SHOPLIST_xls]_94"/>
      <sheetName val="[SHOPLIST_xls]_95"/>
      <sheetName val="[SHOPLIST_xls]_96"/>
      <sheetName val="[SHOPLIST_xls]_97"/>
      <sheetName val="[SHOPLIST_xls]_98"/>
      <sheetName val="[SHOPLIST_xls]_99"/>
      <sheetName val="_SHOPLIST_xls_100"/>
      <sheetName val="[SHOPLIST.xls]_14"/>
      <sheetName val="[SHOPLIST.xls]_15"/>
      <sheetName val="[SHOPLIST.xls]7_7"/>
      <sheetName val="[SHOPLIST.xls]_16"/>
      <sheetName val="[SHOPLIST.xls]_17"/>
      <sheetName val="[SHOPLIST.xls]7_8"/>
      <sheetName val="70_x005f_x005f_x005f_x0000__2"/>
      <sheetName val="_SHOPLIST_xls_101"/>
      <sheetName val="_SHOPLIST_xls_102"/>
      <sheetName val="_SHOPLIST_xls_103"/>
      <sheetName val="[SHOPLIST.xls]70?"/>
      <sheetName val="/VWVU))tÏØ0__72"/>
      <sheetName val="[SH1"/>
      <sheetName val="/VWVU))tÏØ0__64"/>
      <sheetName val="/VWVU))tÏØ0__65"/>
      <sheetName val="/VWVU))tÏØ0__66"/>
      <sheetName val="[SHOPLIST.xls]7_9"/>
      <sheetName val="70___0_s__i_____5"/>
      <sheetName val="_VW__VU_________4"/>
      <sheetName val="70___0_s__i_____6"/>
      <sheetName val="70_x005f_x0000___0_x0_3"/>
      <sheetName val="70___0_s__i_____7"/>
      <sheetName val="_VW__VU_________5"/>
      <sheetName val="[SHOPLIST.xls]_18"/>
      <sheetName val="[SHOPLIST.xls]_19"/>
      <sheetName val="[SHOPLIST.xls]_20"/>
      <sheetName val="[SHOPLIST.xls]_21"/>
      <sheetName val="[SHOPLIST.xls]_22"/>
      <sheetName val="[SHOPLIST.xls]_23"/>
      <sheetName val="[SHOPLIST.xls]_24"/>
      <sheetName val="[SHOPLIST.xls]_25"/>
      <sheetName val="[SHOPLIST.xls]_26"/>
      <sheetName val="[SHOPLIST.xls]_27"/>
      <sheetName val="[SHOPLIST.xls]_28"/>
      <sheetName val="[SHOPLIST.xls]_29"/>
      <sheetName val="[SHOPLIST.xls]_30"/>
      <sheetName val="[SHOPLIST.xls]_31"/>
      <sheetName val="[SHOPLIST.xls]_32"/>
      <sheetName val="[SHOPLIST.xls]_33"/>
      <sheetName val="[SHOPLIST.xls]_34"/>
      <sheetName val="[SHOPLIST.xls]_35"/>
      <sheetName val="[SHOPLIST.xls]_36"/>
      <sheetName val="70___0_s__i_____8"/>
      <sheetName val="_VW__VU_________6"/>
      <sheetName val="70___0_s__i_____9"/>
      <sheetName val="70_x005f_x0000___0_x0_4"/>
      <sheetName val="70___0_s__i____10"/>
      <sheetName val="[SHOPLIST.xls]_37"/>
      <sheetName val="_VW__VU_________7"/>
      <sheetName val="[SHOPLIST.xls]_38"/>
      <sheetName val="[SHOPLIST.xls]_39"/>
      <sheetName val="[SHOPLIST.xls]_40"/>
      <sheetName val="[SHOPLIST.xls]_41"/>
      <sheetName val="[SHOPLIST.xls]_42"/>
      <sheetName val="[SHOPLIST.xls]_43"/>
      <sheetName val="[SHOPLIST.xls]_44"/>
      <sheetName val="[SHOPLIST.xls]_45"/>
      <sheetName val="[SHOPLIST.xls]_46"/>
      <sheetName val="[SHOPLIST.xls]_47"/>
      <sheetName val="[SHOPLIST.xls]_48"/>
      <sheetName val="[SHOPLIST.xls]_49"/>
      <sheetName val="[SHOPLIST.xls]_50"/>
      <sheetName val="[SHOPLIST.xls]_51"/>
      <sheetName val="[SHOPLIST.xls]_52"/>
      <sheetName val="[SHOPLIST.xls]_53"/>
      <sheetName val="[SHOPLIST.xls]_54"/>
      <sheetName val="[SHOPLIST.xls]_55"/>
      <sheetName val="[SHOPLIST.xls]_56"/>
      <sheetName val="[SHOPLIST.xls]_57"/>
      <sheetName val="_SHOPLIST_xls_104"/>
      <sheetName val="_SHOPLIST_xls_105"/>
      <sheetName val="_SHOPLIST_xls_106"/>
      <sheetName val="_SHOPLIST_xls_107"/>
      <sheetName val="_SHOPLIST_xls_108"/>
      <sheetName val="_SHOPLIST_xls_109"/>
      <sheetName val="_SHOPLIST_xls_110"/>
      <sheetName val="_SHOPLIST_xls_111"/>
      <sheetName val="_SHOPLIST_xls_112"/>
      <sheetName val="_SHOPLIST_xls_113"/>
      <sheetName val="_SHOPLIST_xls_114"/>
      <sheetName val="_SHOPLIST_xls_115"/>
      <sheetName val="_SHOPLIST_xls_116"/>
      <sheetName val="_SHOPLIST_xls_117"/>
      <sheetName val="_SHOPLIST_xls_118"/>
      <sheetName val="_SHOPLIST_xls_119"/>
      <sheetName val="_SHOPLIST_xls_120"/>
      <sheetName val="_SHOPLIST_xls_121"/>
      <sheetName val="_SHOPLIST_xls_122"/>
      <sheetName val="_SHOPLIST_xls_123"/>
      <sheetName val="_SHOPLIST_xls_124"/>
      <sheetName val="_SHOPLIST_xls_125"/>
      <sheetName val="_SHOPLIST_xls_126"/>
      <sheetName val="_SHOPLIST_xls_127"/>
      <sheetName val="_SHOPLIST_xls_128"/>
      <sheetName val="_SHOPLIST_xls_129"/>
      <sheetName val="_SHOPLIST_xls_130"/>
      <sheetName val="_SHOPLIST_xls_131"/>
      <sheetName val="_SHOPLIST_xls_132"/>
      <sheetName val="_SHOPLIST_xls_133"/>
      <sheetName val="_SHOPLIST_xls_134"/>
      <sheetName val="_SHOPLIST_xls_135"/>
      <sheetName val="_SHOPLIST_xls_136"/>
      <sheetName val="_SHOPLIST_xls_137"/>
      <sheetName val="_SHOPLIST_xls_138"/>
      <sheetName val="_SHOPLIST_xls_139"/>
      <sheetName val="_SHOPLIST_xls_140"/>
      <sheetName val="_SHOPLIST_xls_141"/>
      <sheetName val="_SHOPLIST_xls_142"/>
      <sheetName val="_SHOPLIST_xls_143"/>
      <sheetName val="_SHOPLIST_xls_144"/>
      <sheetName val="_SHOPLIST_xls_145"/>
      <sheetName val="_SHOPLIST_xls_146"/>
      <sheetName val="_SHOPLIST_xls_147"/>
      <sheetName val="_SHOPLIST_xls_148"/>
      <sheetName val="_SHOPLIST_xls_149"/>
      <sheetName val="_SHOPLIST_xls_150"/>
      <sheetName val="_SHOPLIST_xls_151"/>
      <sheetName val="_SHOPLIST_xls_152"/>
      <sheetName val="_SHOPLIST_xls_153"/>
      <sheetName val="_SHOPLIST_xls_154"/>
      <sheetName val="_SHOPLIST_xls_155"/>
      <sheetName val="_SHOPLIST_xls_156"/>
      <sheetName val="_SHOPLIST_xls_157"/>
      <sheetName val="_SHOPLIST_xls_158"/>
      <sheetName val="_SHOPLIST_xls_159"/>
      <sheetName val="[SHOPLIST.xls]_58"/>
      <sheetName val="[SHOPLIST.xls]_59"/>
      <sheetName val="70___0_s__i____11"/>
      <sheetName val="_VW__VU_________8"/>
      <sheetName val="70___0_s__i____12"/>
      <sheetName val="70_x005f_x0000___0_x0_5"/>
      <sheetName val="70___0_s__i____13"/>
      <sheetName val="[SHOPLIST.xls]_60"/>
      <sheetName val="_VW__VU_________9"/>
      <sheetName val="_SHOPLIST_xls_160"/>
      <sheetName val="_SHOPLIST_xls_161"/>
      <sheetName val="[SHOPLIST.xls]_61"/>
      <sheetName val="[SHOPLIST.xls]_62"/>
      <sheetName val="_SHOPLIST_xls_162"/>
      <sheetName val="_SHOPLIST_xls_163"/>
      <sheetName val="[SHOPLIST.xls]_63"/>
      <sheetName val="[SHOPLIST.xls]_64"/>
      <sheetName val="[SHOPLIST.xls]_65"/>
      <sheetName val="_SHOPLIST_xls_164"/>
      <sheetName val="_SHOPLIST_xls_165"/>
      <sheetName val="[SHOPLIST.xls]_66"/>
      <sheetName val="[SHOPLIST.xls]_67"/>
      <sheetName val="[SHOPLIST.xls]_68"/>
      <sheetName val="[SHOPLIST.xls]_69"/>
      <sheetName val="[SHOPLIST.xls]_70"/>
      <sheetName val="[SHOPLIST.xls]_71"/>
      <sheetName val="[SHOPLIST.xls]_72"/>
      <sheetName val="[SHOPLIST.xls]_73"/>
      <sheetName val="_SHOPLIST_xls_166"/>
      <sheetName val="_SHOPLIST_xls_167"/>
      <sheetName val="_SHOPLIST_xls_168"/>
      <sheetName val="_SHOPLIST_xls_169"/>
      <sheetName val="_SHOPLIST_xls_170"/>
      <sheetName val="_SHOPLIST_xls_171"/>
      <sheetName val="_SHOPLIST_xls_172"/>
      <sheetName val="_SHOPLIST_xls_173"/>
      <sheetName val="_SHOPLIST_xls_174"/>
      <sheetName val="_SHOPLIST_xls_175"/>
      <sheetName val="_SHOPLIST_xls_176"/>
      <sheetName val="[SHOPLIST.xls]_74"/>
      <sheetName val="[SHOPLIST.xls]_75"/>
      <sheetName val="[SHOPLIST.xls]_76"/>
      <sheetName val="[SHOPLIST.xls]_77"/>
      <sheetName val="_SHOPLIST_xls_177"/>
      <sheetName val="_SHOPLIST_xls_178"/>
      <sheetName val="_SHOPLIST_xls_179"/>
      <sheetName val="_SHOPLIST_xls_180"/>
      <sheetName val="_SHOPLIST_xls_181"/>
      <sheetName val="_SHOPLIST_xls_182"/>
      <sheetName val="_SHOPLIST_xls_183"/>
      <sheetName val="_SHOPLIST_xls_184"/>
      <sheetName val="_SHOPLIST_xls_185"/>
      <sheetName val="_SHOPLIST_xls_186"/>
      <sheetName val="_SHOPLIST_xls_187"/>
      <sheetName val="_SHOPLIST_xls_188"/>
      <sheetName val="[SHOPLIST.xls]_78"/>
      <sheetName val="[SHOPLIST.xls]_79"/>
      <sheetName val="_SHOPLIST_xls_189"/>
      <sheetName val="_SHOPLIST_xls_190"/>
      <sheetName val="_SHOPLIST_xls_191"/>
      <sheetName val="_SHOPLIST_xls_192"/>
      <sheetName val="_SHOPLIST_xls_193"/>
      <sheetName val="_SHOPLIST_xls_194"/>
      <sheetName val="_SHOPLIST_xls_195"/>
      <sheetName val="_SHOPLIST_xls_196"/>
      <sheetName val="_SHOPLIST_xls_197"/>
      <sheetName val="_SHOPLIST_xls_198"/>
      <sheetName val="_SHOPLIST_xls_199"/>
      <sheetName val="_SHOPLIST_xls_200"/>
      <sheetName val="_SHOPLIST_xls_201"/>
      <sheetName val="[SHOPLIST.xls]_80"/>
      <sheetName val="_SHOPLIST_xls_202"/>
      <sheetName val="_SHOPLIST_xls_203"/>
      <sheetName val="_SHOPLIST_xls_204"/>
      <sheetName val="_SHOPLIST_xls_205"/>
      <sheetName val="_SHOPLIST_xls_206"/>
      <sheetName val="_SHOPLIST_xls_207"/>
      <sheetName val="_SHOPLIST_xls_208"/>
      <sheetName val="_SHOPLIST_xls_209"/>
      <sheetName val="_SHOPLIST_xls_210"/>
      <sheetName val="_SHOPLIST_xls_211"/>
      <sheetName val="_SHOPLIST_xls_212"/>
      <sheetName val="_SHOPLIST_xls_213"/>
      <sheetName val="_SHOPLIST_xls_214"/>
      <sheetName val="_SHOPLIST_xls_215"/>
      <sheetName val="_SHOPLIST_xls_216"/>
      <sheetName val="_SHOPLIST_xls_217"/>
      <sheetName val="_SHOPLIST_xls_218"/>
      <sheetName val="_SHOPLIST_xls_219"/>
      <sheetName val="_SHOPLIST_xls_220"/>
      <sheetName val="_SHOPLIST_xls_221"/>
      <sheetName val="_SHOPLIST_xls_222"/>
      <sheetName val="_SHOPLIST_xls_223"/>
      <sheetName val="_SHOPLIST_xls_224"/>
      <sheetName val="_SHOPLIST_xls_225"/>
      <sheetName val="_SHOPLIST_xls_226"/>
      <sheetName val="_SHOPLIST_xls_227"/>
      <sheetName val="_SHOPLIST_xls_228"/>
      <sheetName val="_SHOPLIST_xls_229"/>
      <sheetName val="_SHOPLIST_xls_230"/>
      <sheetName val="_SHOPLIST_xls_231"/>
      <sheetName val="_SHOPLIST_xls_232"/>
      <sheetName val="_SHOPLIST_xls_233"/>
      <sheetName val="_SHOPLIST_xls_234"/>
      <sheetName val="_SHOPLIST_xls_235"/>
      <sheetName val="_SHOPLIST_xls_236"/>
      <sheetName val="_SHOPLIST_xls_237"/>
      <sheetName val="_SHOPLIST_xls_238"/>
      <sheetName val="_SHOPLIST_xls_239"/>
      <sheetName val="_SHOPLIST_xls_240"/>
      <sheetName val="_SHOPLIST_xls_241"/>
      <sheetName val="_SHOPLIST_xls_242"/>
      <sheetName val="_SHOPLIST_xls_243"/>
      <sheetName val="_SHOPLIST_xls_244"/>
      <sheetName val="_SHOPLIST_xls_245"/>
      <sheetName val="_SHOPLIST_xls_246"/>
      <sheetName val="_SHOPLIST_xls_247"/>
      <sheetName val="_SHOPLIST_xls_248"/>
      <sheetName val="_SHOPLIST_xls_249"/>
      <sheetName val="_SHOPLIST_xls_250"/>
      <sheetName val="_SHOPLIST_xls_251"/>
      <sheetName val="_SHOPLIST_xls_252"/>
      <sheetName val="_SHOPLIST_xls_253"/>
      <sheetName val="_SHOPLIST_xls_254"/>
      <sheetName val="_SHOPLIST_xls_255"/>
      <sheetName val="_SHOPLIST_xls_256"/>
      <sheetName val="_SHOPLIST_xls_257"/>
      <sheetName val="_SHOPLIST_xls_258"/>
      <sheetName val="_SHOPLIST_xls_259"/>
      <sheetName val="_SHOPLIST_xls_260"/>
      <sheetName val="_SHOPLIST_xls_261"/>
      <sheetName val="_SHOPLIST_xls_262"/>
      <sheetName val="_SHOPLIST_xls_263"/>
      <sheetName val="_SHOPLIST_xls_264"/>
      <sheetName val="_SHOPLIST_xls_265"/>
      <sheetName val="_SHOPLIST_xls_266"/>
      <sheetName val="_SHOPLIST_xls_267"/>
      <sheetName val="70_x005f_x005f_x005f_x0000__3"/>
      <sheetName val="[SHOPLIST.xls]_81"/>
      <sheetName val="[SHOPLIST.xls]_82"/>
      <sheetName val="[SHOPLIST.xls]_83"/>
      <sheetName val="[SHOPLIST.xls]_84"/>
      <sheetName val="[SHOPLIST.xls]_85"/>
      <sheetName val="[SHOPLIST.xls]_86"/>
      <sheetName val="[SHOPLIST.xls]_87"/>
      <sheetName val="[SHOPLIST.xls]_88"/>
      <sheetName val="[SHOPLIST.xls]_89"/>
      <sheetName val="[SHOPLIST.xls]_90"/>
      <sheetName val="[SHOPLIST.xls]_91"/>
      <sheetName val="[SHOPLIST.xls]_92"/>
      <sheetName val="[SHOPLIST.xls]_93"/>
      <sheetName val="[SHOPLIST.xls]_94"/>
      <sheetName val="[SHOPLIST.xls]_95"/>
      <sheetName val="70___0_s__i____14"/>
      <sheetName val="_VW__VU________10"/>
      <sheetName val="70___0_s__i____15"/>
      <sheetName val="70_x005f_x0000___0_x0_6"/>
      <sheetName val="70___0_s__i____16"/>
      <sheetName val="[SHOPLIST.xls]_96"/>
      <sheetName val="_VW__VU________11"/>
      <sheetName val="_SHOPLIST_xls_268"/>
      <sheetName val="_SHOPLIST_xls_269"/>
      <sheetName val="[SHOPLIST.xls]_97"/>
      <sheetName val="[SHOPLIST.xls]_98"/>
      <sheetName val="_SHOPLIST_xls_270"/>
      <sheetName val="_SHOPLIST_xls_271"/>
      <sheetName val="[SHOPLIST.xls]_99"/>
      <sheetName val="_SHOPLIST_xls_272"/>
      <sheetName val="_SHOPLIST_xls_273"/>
      <sheetName val="_SHOPLIST_xls_274"/>
      <sheetName val="_SHOPLIST_xls_275"/>
      <sheetName val="_SHOPLIST_xls_276"/>
      <sheetName val="_SHOPLIST_xls_277"/>
      <sheetName val="_SHOPLIST_xls_278"/>
      <sheetName val="_SHOPLIST_xls_279"/>
      <sheetName val="_SHOPLIST_xls_280"/>
      <sheetName val="_SHOPLIST_xls_281"/>
      <sheetName val="_SHOPLIST_xls_282"/>
      <sheetName val="_SHOPLIST_xls_283"/>
      <sheetName val="_SHOPLIST_xls_284"/>
      <sheetName val="_SHOPLIST_xls_285"/>
      <sheetName val="_SHOPLIST_xls_286"/>
      <sheetName val="_SHOPLIST_xls_287"/>
      <sheetName val="_SHOPLIST_xls_288"/>
      <sheetName val="_SHOPLIST_xls_289"/>
      <sheetName val="_SHOPLIST_xls_290"/>
      <sheetName val="_SHOPLIST_xls_291"/>
      <sheetName val="_SHOPLIST_xls_292"/>
      <sheetName val="_SHOPLIST_xls_293"/>
      <sheetName val="_SHOPLIST_xls_294"/>
      <sheetName val="_SHOPLIST_xls_295"/>
      <sheetName val="_SHOPLIST_xls_296"/>
      <sheetName val="_SHOPLIST_xls_297"/>
      <sheetName val="_SHOPLIST_xls_298"/>
      <sheetName val="_SHOPLIST_xls_299"/>
      <sheetName val="_SHOPLIST_xls_300"/>
      <sheetName val="_SHOPLIST_xls_301"/>
      <sheetName val="_SHOPLIST_xls_302"/>
      <sheetName val="_SHOPLIST_xls_303"/>
      <sheetName val="_SHOPLIST_xls_304"/>
      <sheetName val="_SHOPLIST_xls_305"/>
      <sheetName val="_SHOPLIST_xls_306"/>
      <sheetName val="_SHOPLIST_xls_307"/>
      <sheetName val="_SHOPLIST_xls_308"/>
      <sheetName val="_SHOPLIST_xls_309"/>
      <sheetName val="_SHOPLIST_xls_310"/>
      <sheetName val="_SHOPLIST_xls_311"/>
      <sheetName val="_SHOPLIST_xls_312"/>
      <sheetName val="_SHOPLIST_xls_313"/>
      <sheetName val="_SHOPLIST_xls_314"/>
      <sheetName val="_SHOPLIST_xls_315"/>
      <sheetName val="_SHOPLIST_xls_316"/>
      <sheetName val="_SHOPLIST_xls_317"/>
      <sheetName val="_SHOPLIST_xls_318"/>
      <sheetName val="_SHOPLIST_xls_319"/>
      <sheetName val="_SHOPLIST_xls_320"/>
      <sheetName val="_SHOPLIST_xls_321"/>
      <sheetName val="_SHOPLIST_xls_322"/>
      <sheetName val="_SHOPLIST_xls_323"/>
      <sheetName val="_SHOPLIST_xls_324"/>
      <sheetName val="_SHOPLIST_xls_325"/>
      <sheetName val="_SHOPLIST_xls_326"/>
      <sheetName val="_SHOPLIST_xls_327"/>
      <sheetName val="_SHOPLIST_xls_328"/>
      <sheetName val="_SHOPLIST_xls_329"/>
      <sheetName val="_SHOPLIST_xls_330"/>
      <sheetName val="_SHOPLIST_xls_331"/>
      <sheetName val="_SHOPLIST_xls_332"/>
      <sheetName val="_SHOPLIST_xls_333"/>
      <sheetName val="_SHOPLIST_xls_334"/>
      <sheetName val="_SHOPLIST_xls_335"/>
      <sheetName val="_SHOPLIST_xls_336"/>
      <sheetName val="_SHOPLIST_xls_337"/>
      <sheetName val="_SHOPLIST_xls_338"/>
      <sheetName val="_SHOPLIST_xls_339"/>
      <sheetName val="_SHOPLIST_xls_340"/>
      <sheetName val="_SHOPLIST_xls_341"/>
      <sheetName val="_SHOPLIST_xls_342"/>
      <sheetName val="_SHOPLIST_xls_343"/>
      <sheetName val="_SHOPLIST_xls_344"/>
      <sheetName val="_SHOPLIST_xls_345"/>
      <sheetName val="_SHOPLIST_xls_346"/>
      <sheetName val="_SHOPLIST_xls_347"/>
      <sheetName val="_SHOPLIST_xls_348"/>
      <sheetName val="_SHOPLIST_xls_349"/>
      <sheetName val="_SHOPLIST_xls_350"/>
      <sheetName val="_SHOPLIST_xls_351"/>
      <sheetName val="_SHOPLIST_xls_352"/>
      <sheetName val="_SHOPLIST_xls_353"/>
      <sheetName val="_SHOPLIST_xls_354"/>
      <sheetName val="_SHOPLIST_xls_355"/>
      <sheetName val="_SHOPLIST_xls_356"/>
      <sheetName val="_SHOPLIST_xls_357"/>
      <sheetName val="_SHOPLIST_xls_358"/>
      <sheetName val="_SHOPLIST_xls_359"/>
      <sheetName val="_SHOPLIST_xls_360"/>
      <sheetName val="_SHOPLIST_xls_361"/>
      <sheetName val="_SHOPLIST_xls_362"/>
      <sheetName val="_SHOPLIST_xls_363"/>
      <sheetName val="_SHOPLIST_xls_364"/>
      <sheetName val="_SHOPLIST_xls_365"/>
      <sheetName val="_SHOPLIST_xls_366"/>
      <sheetName val="_SHOPLIST_xls_367"/>
      <sheetName val="_SHOPLIST_xls_368"/>
      <sheetName val="_SHOPLIST_xls_369"/>
      <sheetName val="_SHOPLIST_xls_370"/>
      <sheetName val="_SHOPLIST_xls_371"/>
      <sheetName val="_SHOPLIST_xls_372"/>
      <sheetName val="_SHOPLIST_xls_373"/>
      <sheetName val="_SHOPLIST_xls_374"/>
      <sheetName val="_SHOPLIST_xls_375"/>
      <sheetName val="_SHOPLIST_xls_376"/>
      <sheetName val="_SHOPLIST_xls_377"/>
      <sheetName val="_SHOPLIST_xls_378"/>
      <sheetName val="_SHOPLIST_xls_379"/>
      <sheetName val="_SHOPLIST_xls_380"/>
      <sheetName val="_SHOPLIST_xls_381"/>
      <sheetName val="_SHOPLIST_xls_382"/>
      <sheetName val="_SHOPLIST_xls_383"/>
      <sheetName val="_SHOPLIST_xls_384"/>
      <sheetName val="_SHOPLIST_xls_385"/>
      <sheetName val="_SHOPLIST_xls_386"/>
      <sheetName val="_SHOPLIST_xls_387"/>
      <sheetName val="_SHOPLIST_xls_388"/>
      <sheetName val="_SHOPLIST_xls_389"/>
      <sheetName val="_SHOPLIST_xls_390"/>
      <sheetName val="_SHOPLIST_xls_391"/>
      <sheetName val="_SHOPLIST_xls_392"/>
      <sheetName val="70_x005f_x005f_x005f_x0000__4"/>
      <sheetName val="_SHOPLIST_xls_393"/>
      <sheetName val="_SHOPLIST_xls_394"/>
      <sheetName val="_SHOPLIST_xls_395"/>
      <sheetName val="_SHOPLIST_xls_396"/>
      <sheetName val="_SHOPLIST_xls_397"/>
      <sheetName val="_SHOPLIST_xls_398"/>
      <sheetName val="_SHOPLIST_xls_399"/>
      <sheetName val="_SHOPLIST_xls_400"/>
      <sheetName val="_SHOPLIST_xls_401"/>
      <sheetName val="_SHOPLIST_xls_402"/>
      <sheetName val="_SHOPLIST_xls_403"/>
      <sheetName val="_SHOPLIST_xls_404"/>
      <sheetName val="_SHOPLIST_xls_405"/>
      <sheetName val="_SHOPLIST_xls_406"/>
      <sheetName val="_SHOPLIST_xls_407"/>
      <sheetName val="70___0_s__i____17"/>
      <sheetName val="_VW__VU________12"/>
      <sheetName val="70___0_s__i____18"/>
      <sheetName val="70_x005f_x0000___0_x0_7"/>
      <sheetName val="70___0_s__i____19"/>
      <sheetName val="_SHOPLIST_xls_408"/>
      <sheetName val="_VW__VU________13"/>
      <sheetName val="_SHOPLIST_xls_409"/>
      <sheetName val="_SHOPLIST_xls_410"/>
      <sheetName val="_SHOPLIST_xls_411"/>
      <sheetName val="_SHOPLIST_xls_412"/>
      <sheetName val="_SHOPLIST_xls_413"/>
      <sheetName val="_SHOPLIST_xls_414"/>
      <sheetName val="_SHOPLIST_xls_415"/>
      <sheetName val="_SHOPLIST_xls_416"/>
      <sheetName val="_SHOPLIST_xls_417"/>
      <sheetName val="_SHOPLIST_xls_418"/>
      <sheetName val="_SHOPLIST_xls_419"/>
      <sheetName val="_SHOPLIST_xls_420"/>
      <sheetName val="_SHOPLIST_xls_421"/>
      <sheetName val="_SHOPLIST_xls_422"/>
      <sheetName val="_SHOPLIST_xls_423"/>
      <sheetName val="_SHOPLIST_xls_424"/>
      <sheetName val="_SHOPLIST_xls_425"/>
      <sheetName val="_SHOPLIST_xls_426"/>
      <sheetName val="_SHOPLIST_xls_427"/>
      <sheetName val="_SHOPLIST_xls_428"/>
      <sheetName val="_SHOPLIST_xls_429"/>
      <sheetName val="_SHOPLIST_xls_430"/>
      <sheetName val="_SHOPLIST_xls_431"/>
      <sheetName val="_SHOPLIST_xls_432"/>
      <sheetName val="_SHOPLIST_xls_433"/>
      <sheetName val="_SHOPLIST_xls_434"/>
      <sheetName val="_SHOPLIST_xls_435"/>
      <sheetName val="_SHOPLIST_xls_436"/>
      <sheetName val="_SHOPLIST_xls_437"/>
      <sheetName val="_SHOPLIST_xls_438"/>
      <sheetName val="_SHOPLIST_xls_439"/>
      <sheetName val="_SHOPLIST_xls_440"/>
      <sheetName val="_SHOPLIST_xls_441"/>
      <sheetName val="_SHOPLIST_xls_442"/>
      <sheetName val="_SHOPLIST_xls_443"/>
      <sheetName val="_SHOPLIST_xls_444"/>
      <sheetName val="_SHOPLIST_xls_445"/>
      <sheetName val="_SHOPLIST_xls_446"/>
      <sheetName val="_SHOPLIST_xls_447"/>
      <sheetName val="_SHOPLIST_xls_448"/>
      <sheetName val="_SHOPLIST_xls_449"/>
      <sheetName val="_SHOPLIST_xls_450"/>
      <sheetName val="_SHOPLIST_xls_451"/>
      <sheetName val="_SHOPLIST_xls_452"/>
      <sheetName val="_SHOPLIST_xls_453"/>
      <sheetName val="_SHOPLIST_xls_454"/>
      <sheetName val="_SHOPLIST_xls_455"/>
      <sheetName val="_SHOPLIST_xls_456"/>
      <sheetName val="_SHOPLIST_xls_457"/>
      <sheetName val="_SHOPLIST_xls_458"/>
      <sheetName val="_SHOPLIST_xls_459"/>
      <sheetName val="_SHOPLIST_xls_460"/>
      <sheetName val="_SHOPLIST_xls_461"/>
      <sheetName val="_SHOPLIST_xls_462"/>
      <sheetName val="_SHOPLIST_xls_463"/>
      <sheetName val="_SHOPLIST_xls_464"/>
      <sheetName val="_SHOPLIST_xls_465"/>
      <sheetName val="_SHOPLIST_xls_466"/>
      <sheetName val="_SHOPLIST_xls_467"/>
      <sheetName val="_SHOPLIST_xls_468"/>
      <sheetName val="_SHOPLIST_xls_469"/>
      <sheetName val="_SHOPLIST_xls_470"/>
      <sheetName val="_SHOPLIST_xls_471"/>
      <sheetName val="_SHOPLIST_xls_472"/>
      <sheetName val="_SHOPLIST_xls_473"/>
      <sheetName val="_SHOPLIST_xls_474"/>
      <sheetName val="_SHOPLIST_xls_475"/>
      <sheetName val="_SHOPLIST_xls_476"/>
      <sheetName val="_SHOPLIST_xls_477"/>
      <sheetName val="_SHOPLIST_xls_478"/>
      <sheetName val="_SHOPLIST_xls_479"/>
      <sheetName val="_SHOPLIST_xls_480"/>
      <sheetName val="_SHOPLIST_xls_481"/>
      <sheetName val="_SHOPLIST_xls_482"/>
      <sheetName val="_SHOPLIST_xls_483"/>
      <sheetName val="_SHOPLIST_xls_484"/>
      <sheetName val="_SHOPLIST_xls_485"/>
      <sheetName val="_SHOPLIST_xls_486"/>
      <sheetName val="_SHOPLIST_xls_487"/>
      <sheetName val="_SHOPLIST_xls_488"/>
      <sheetName val="_SHOPLIST_xls_489"/>
      <sheetName val="_SHOPLIST_xls_490"/>
      <sheetName val="_SHOPLIST_xls_491"/>
      <sheetName val="_SHOPLIST_xls_492"/>
      <sheetName val="_SHOPLIST_xls_493"/>
      <sheetName val="_SHOPLIST_xls_494"/>
      <sheetName val="_SHOPLIST_xls_495"/>
      <sheetName val="_SHOPLIST_xls_496"/>
      <sheetName val="_SHOPLIST_xls_497"/>
      <sheetName val="_SHOPLIST_xls_498"/>
      <sheetName val="_SHOPLIST_xls_499"/>
      <sheetName val="_SHOPLIST_xls_500"/>
      <sheetName val="_SHOPLIST_xls_501"/>
      <sheetName val="_SHOPLIST_xls_502"/>
      <sheetName val="_SHOPLIST_xls_503"/>
      <sheetName val="_SHOPLIST_xls_504"/>
      <sheetName val="_SHOPLIST_xls_505"/>
      <sheetName val="_SHOPLIST_xls_506"/>
      <sheetName val="_SHOPLIST_xls_507"/>
      <sheetName val="_SHOPLIST_xls_508"/>
      <sheetName val="_SHOPLIST_xls_509"/>
      <sheetName val="_SHOPLIST_xls_510"/>
      <sheetName val="_SHOPLIST_xls_511"/>
      <sheetName val="_SHOPLIST_xls_512"/>
      <sheetName val="_SHOPLIST_xls_513"/>
      <sheetName val="_SHOPLIST_xls_514"/>
      <sheetName val="_SHOPLIST_xls_515"/>
      <sheetName val="_SHOPLIST_xls_516"/>
      <sheetName val="_SHOPLIST_xls_517"/>
      <sheetName val="_SHOPLIST_xls_518"/>
      <sheetName val="_SHOPLIST_xls_519"/>
      <sheetName val="_SHOPLIST_xls_520"/>
      <sheetName val="_SHOPLIST_xls_521"/>
      <sheetName val="_SHOPLIST_xls_522"/>
      <sheetName val="_SHOPLIST_xls_523"/>
      <sheetName val="_SHOPLIST_xls_524"/>
      <sheetName val="_SHOPLIST_xls_525"/>
      <sheetName val="_SHOPLIST_xls_526"/>
      <sheetName val="_SHOPLIST_xls_527"/>
      <sheetName val="_SHOPLIST_xls_528"/>
      <sheetName val="_SHOPLIST_xls_529"/>
      <sheetName val="_SHOPLIST_xls_530"/>
      <sheetName val="_SHOPLIST_xls_531"/>
      <sheetName val="_SHOPLIST_xls_532"/>
      <sheetName val="_SHOPLIST_xls_533"/>
      <sheetName val="_SHOPLIST_xls_534"/>
      <sheetName val="_SHOPLIST_xls_535"/>
      <sheetName val="_SHOPLIST_xls_536"/>
      <sheetName val="70_x005f_x005f_x005f_x0000__5"/>
      <sheetName val="_SHOPLIST_xls_537"/>
      <sheetName val="_SHOPLIST_xls_538"/>
      <sheetName val="_SHOPLIST_xls_539"/>
      <sheetName val="_SHOPLIST_xls_540"/>
      <sheetName val="_SHOPLIST_xls_541"/>
      <sheetName val="_SHOPLIST_xls_542"/>
      <sheetName val="_SHOPLIST_xls_543"/>
      <sheetName val="_SHOPLIST_xls_544"/>
      <sheetName val="_SHOPLIST_xls_545"/>
      <sheetName val="_SHOPLIST_xls_546"/>
      <sheetName val="_SHOPLIST_xls_547"/>
      <sheetName val="_SHOPLIST_xls_548"/>
      <sheetName val="_SHOPLIST_xls_549"/>
      <sheetName val="_SHOPLIST_xls_550"/>
      <sheetName val="_SHOPLIST_xls_551"/>
      <sheetName val="_SHOPLIST_xls_552"/>
      <sheetName val="_SHOPLIST_xls_553"/>
      <sheetName val="_SHOPLIST_xls_554"/>
      <sheetName val="_SHOPLIST_xls_555"/>
      <sheetName val="_SHOPLIST_xls_556"/>
      <sheetName val="_SHOPLIST_xls_557"/>
      <sheetName val="_SHOPLIST_xls_558"/>
      <sheetName val="_SHOPLIST_xls_559"/>
      <sheetName val="_SHOPLIST_xls_560"/>
      <sheetName val="_SHOPLIST_xls_561"/>
      <sheetName val="_SHOPLIST_xls_562"/>
      <sheetName val="_SHOPLIST_xls_563"/>
      <sheetName val="_SHOPLIST_xls_564"/>
      <sheetName val="_SHOPLIST_xls_565"/>
      <sheetName val="_SHOPLIST_xls_566"/>
      <sheetName val="_SHOPLIST_xls_567"/>
      <sheetName val="_SHOPLIST_xls_568"/>
      <sheetName val="_SHOPLIST_xls_569"/>
      <sheetName val="_SHOPLIST_xls_570"/>
      <sheetName val="_SHOPLIST_xls_571"/>
      <sheetName val="_SHOPLIST_xls_572"/>
      <sheetName val="_SHOPLIST_xls_573"/>
      <sheetName val="_SHOPLIST_xls_574"/>
      <sheetName val="_SHOPLIST_xls_575"/>
      <sheetName val="_SHOPLIST_xls_576"/>
      <sheetName val="_SHOPLIST_xls_577"/>
      <sheetName val="_SHOPLIST_xls_578"/>
      <sheetName val="_SHOPLIST_xls_579"/>
      <sheetName val="_SHOPLIST_xls_580"/>
      <sheetName val="_SHOPLIST_xls_581"/>
      <sheetName val="_SHOPLIST_xls_582"/>
      <sheetName val="70___0_s__i____20"/>
      <sheetName val="_VW__VU________14"/>
      <sheetName val="70___0_s__i____21"/>
      <sheetName val="70_x005f_x0000___0_x0_8"/>
      <sheetName val="70___0_s__i____22"/>
      <sheetName val="_SHOPLIST_xls_583"/>
      <sheetName val="_VW__VU________15"/>
      <sheetName val="_SHOPLIST_xls_584"/>
      <sheetName val="_SHOPLIST_xls_585"/>
      <sheetName val="_SHOPLIST_xls_586"/>
      <sheetName val="_SHOPLIST_xls_587"/>
      <sheetName val="_SHOPLIST_xls_588"/>
      <sheetName val="_SHOPLIST_xls_589"/>
      <sheetName val="_SHOPLIST_xls_590"/>
      <sheetName val="_SHOPLIST_xls_591"/>
      <sheetName val="_SHOPLIST_xls_592"/>
      <sheetName val="_SHOPLIST_xls_593"/>
      <sheetName val="_SHOPLIST_xls_594"/>
      <sheetName val="_SHOPLIST_xls_595"/>
      <sheetName val="_SHOPLIST_xls_596"/>
      <sheetName val="_SHOPLIST_xls_597"/>
      <sheetName val="_SHOPLIST_xls_598"/>
      <sheetName val="_SHOPLIST_xls_599"/>
      <sheetName val="_SHOPLIST_xls_600"/>
      <sheetName val="_SHOPLIST_xls_601"/>
      <sheetName val="_SHOPLIST_xls_602"/>
      <sheetName val="_SHOPLIST_xls_603"/>
      <sheetName val="_SHOPLIST_xls_604"/>
      <sheetName val="_SHOPLIST_xls_605"/>
      <sheetName val="_SHOPLIST_xls_606"/>
      <sheetName val="_SHOPLIST_xls_607"/>
      <sheetName val="_SHOPLIST_xls_608"/>
      <sheetName val="_SHOPLIST_xls_609"/>
      <sheetName val="_SHOPLIST_xls_610"/>
      <sheetName val="_SHOPLIST_xls_611"/>
      <sheetName val="_SHOPLIST_xls_612"/>
      <sheetName val="_SHOPLIST_xls_613"/>
      <sheetName val="_SHOPLIST_xls_614"/>
      <sheetName val="_SHOPLIST_xls_615"/>
      <sheetName val="_SHOPLIST_xls_616"/>
      <sheetName val="_SHOPLIST_xls_617"/>
      <sheetName val="_SHOPLIST_xls_618"/>
      <sheetName val="_SHOPLIST_xls_619"/>
      <sheetName val="_SHOPLIST_xls_620"/>
      <sheetName val="_SHOPLIST_xls_621"/>
      <sheetName val="_SHOPLIST_xls_622"/>
      <sheetName val="_SHOPLIST_xls_623"/>
      <sheetName val="_SHOPLIST_xls_624"/>
      <sheetName val="_SHOPLIST_xls_625"/>
      <sheetName val="_SHOPLIST_xls_626"/>
      <sheetName val="_SHOPLIST_xls_627"/>
      <sheetName val="_SHOPLIST_xls_628"/>
      <sheetName val="_SHOPLIST_xls_629"/>
      <sheetName val="_SHOPLIST_xls_630"/>
      <sheetName val="_SHOPLIST_xls_631"/>
      <sheetName val="_SHOPLIST_xls_632"/>
      <sheetName val="_SHOPLIST_xls_633"/>
      <sheetName val="_SHOPLIST_xls_634"/>
      <sheetName val="_SHOPLIST_xls_635"/>
      <sheetName val="_SHOPLIST_xls_636"/>
      <sheetName val="_SHOPLIST_xls_637"/>
      <sheetName val="_SHOPLIST_xls_638"/>
      <sheetName val="_SHOPLIST_xls_639"/>
      <sheetName val="_SHOPLIST_xls_640"/>
      <sheetName val="_SHOPLIST_xls_641"/>
      <sheetName val="_SHOPLIST_xls_642"/>
      <sheetName val="_SHOPLIST_xls_643"/>
      <sheetName val="_SHOPLIST_xls_644"/>
      <sheetName val="_SHOPLIST_xls_645"/>
      <sheetName val="_SHOPLIST_xls_646"/>
      <sheetName val="_SHOPLIST_xls_647"/>
      <sheetName val="_SHOPLIST_xls_648"/>
      <sheetName val="_SHOPLIST_xls_649"/>
      <sheetName val="_SHOPLIST_xls_650"/>
      <sheetName val="_SHOPLIST_xls_651"/>
      <sheetName val="_SHOPLIST_xls_652"/>
      <sheetName val="_SHOPLIST_xls_653"/>
      <sheetName val="_SHOPLIST_xls_654"/>
      <sheetName val="_SHOPLIST_xls_655"/>
      <sheetName val="_SHOPLIST_xls_656"/>
      <sheetName val="_SHOPLIST_xls_657"/>
      <sheetName val="_SHOPLIST_xls_658"/>
      <sheetName val="_SHOPLIST_xls_659"/>
      <sheetName val="_SHOPLIST_xls_660"/>
      <sheetName val="_SHOPLIST_xls_661"/>
      <sheetName val="_SHOPLIST_xls_662"/>
      <sheetName val="_SHOPLIST_xls_663"/>
      <sheetName val="_SHOPLIST_xls_664"/>
      <sheetName val="_SHOPLIST_xls_665"/>
      <sheetName val="_SHOPLIST_xls_666"/>
      <sheetName val="_SHOPLIST_xls_667"/>
      <sheetName val="_SHOPLIST_xls_668"/>
      <sheetName val="_SHOPLIST_xls_669"/>
      <sheetName val="_SHOPLIST_xls_670"/>
      <sheetName val="_SHOPLIST_xls_671"/>
      <sheetName val="_SHOPLIST_xls_672"/>
      <sheetName val="_SHOPLIST_xls_673"/>
      <sheetName val="_SHOPLIST_xls_674"/>
      <sheetName val="_SHOPLIST_xls_675"/>
      <sheetName val="_SHOPLIST_xls_676"/>
      <sheetName val="_SHOPLIST_xls_677"/>
      <sheetName val="_SHOPLIST_xls_678"/>
      <sheetName val="_SHOPLIST_xls_679"/>
      <sheetName val="_SHOPLIST_xls_680"/>
      <sheetName val="_SHOPLIST_xls_681"/>
      <sheetName val="_SHOPLIST_xls_682"/>
      <sheetName val="_SHOPLIST_xls_683"/>
      <sheetName val="_SHOPLIST_xls_684"/>
      <sheetName val="_SHOPLIST_xls_685"/>
      <sheetName val="_SHOPLIST_xls_686"/>
      <sheetName val="_SHOPLIST_xls_687"/>
      <sheetName val="_SHOPLIST_xls_688"/>
      <sheetName val="_SHOPLIST_xls_689"/>
      <sheetName val="_SHOPLIST_xls_690"/>
      <sheetName val="_SHOPLIST_xls_691"/>
      <sheetName val="_SHOPLIST_xls_692"/>
      <sheetName val="_SHOPLIST_xls_693"/>
      <sheetName val="_SHOPLIST_xls_694"/>
      <sheetName val="70_x005f_x005f_x005f_x0000__6"/>
      <sheetName val="_SHOPLIST_xls_695"/>
      <sheetName val="_SHOPLIST_xls_696"/>
      <sheetName val="_SHOPLIST_xls_697"/>
      <sheetName val="_SHOPLIST_xls_698"/>
      <sheetName val="_SHOPLIST_xls_699"/>
      <sheetName val="_SHOPLIST_xls_700"/>
      <sheetName val="_SHOPLIST_xls_710"/>
      <sheetName val="_SHOPLIST_xls_711"/>
      <sheetName val="_SHOPLIST_xls_712"/>
      <sheetName val="_SHOPLIST_xls_713"/>
      <sheetName val="_SHOPLIST_xls_714"/>
      <sheetName val="_SHOPLIST_xls_715"/>
      <sheetName val="_SHOPLIST_xls_716"/>
      <sheetName val="_SHOPLIST_xls_717"/>
      <sheetName val="_SHOPLIST_xls_718"/>
      <sheetName val="_SHOPLIST_xls_719"/>
      <sheetName val="_SHOPLIST_xls_720"/>
      <sheetName val="_SHOPLIST_xls_721"/>
      <sheetName val="_SHOPLIST_xls_722"/>
      <sheetName val="_SHOPLIST_xls_723"/>
      <sheetName val="_SHOPLIST_xls_724"/>
      <sheetName val="_SHOPLIST_xls_725"/>
      <sheetName val="_SHOPLIST_xls_726"/>
      <sheetName val="70___0_s__i____23"/>
      <sheetName val="_VW__VU________16"/>
      <sheetName val="70___0_s__i____24"/>
      <sheetName val="70_x005f_x0000___0_x0_9"/>
      <sheetName val="70___0_s__i____25"/>
      <sheetName val="_SHOPLIST_xls_727"/>
      <sheetName val="_VW__VU________17"/>
      <sheetName val="_SHOPLIST_xls_728"/>
      <sheetName val="_SHOPLIST_xls_729"/>
      <sheetName val="_SHOPLIST_xls_730"/>
      <sheetName val="_SHOPLIST_xls_731"/>
      <sheetName val="_SHOPLIST_xls_732"/>
      <sheetName val="_SHOPLIST_xls_733"/>
      <sheetName val="_SHOPLIST_xls_734"/>
      <sheetName val="_SHOPLIST_xls_735"/>
      <sheetName val="_SHOPLIST_xls_736"/>
      <sheetName val="_SHOPLIST_xls_737"/>
      <sheetName val="_SHOPLIST_xls_738"/>
      <sheetName val="_SHOPLIST_xls_739"/>
      <sheetName val="_SHOPLIST_xls_740"/>
      <sheetName val="_SHOPLIST_xls_741"/>
      <sheetName val="_SHOPLIST_xls_742"/>
      <sheetName val="_SHOPLIST_xls_743"/>
      <sheetName val="_SHOPLIST_xls_744"/>
      <sheetName val="_SHOPLIST_xls_745"/>
      <sheetName val="_SHOPLIST_xls_746"/>
      <sheetName val="_SHOPLIST_xls_747"/>
      <sheetName val="_SHOPLIST_xls_748"/>
      <sheetName val="_SHOPLIST_xls_749"/>
      <sheetName val="_SHOPLIST_xls_750"/>
      <sheetName val="_SHOPLIST_xls_751"/>
      <sheetName val="_SHOPLIST_xls_752"/>
      <sheetName val="_SHOPLIST_xls_753"/>
      <sheetName val="_SHOPLIST_xls_754"/>
      <sheetName val="_SHOPLIST_xls_755"/>
      <sheetName val="_SHOPLIST_xls_756"/>
      <sheetName val="_SHOPLIST_xls_757"/>
      <sheetName val="_SHOPLIST_xls_758"/>
      <sheetName val="_SHOPLIST_xls_759"/>
      <sheetName val="_SHOPLIST_xls_760"/>
      <sheetName val="_SHOPLIST_xls_761"/>
      <sheetName val="_SHOPLIST_xls_762"/>
      <sheetName val="_SHOPLIST_xls_763"/>
      <sheetName val="_SHOPLIST_xls_764"/>
      <sheetName val="_SHOPLIST_xls_765"/>
      <sheetName val="_SHOPLIST_xls_766"/>
      <sheetName val="_SHOPLIST_xls_767"/>
      <sheetName val="_SHOPLIST_xls_768"/>
      <sheetName val="_SHOPLIST_xls_769"/>
      <sheetName val="_SHOPLIST_xls_770"/>
      <sheetName val="_SHOPLIST_xls_771"/>
      <sheetName val="_SHOPLIST_xls_772"/>
      <sheetName val="_SHOPLIST_xls_773"/>
      <sheetName val="_SHOPLIST_xls_774"/>
      <sheetName val="_SHOPLIST_xls_775"/>
      <sheetName val="_SHOPLIST_xls_776"/>
      <sheetName val="_SHOPLIST_xls_777"/>
      <sheetName val="_SHOPLIST_xls_778"/>
      <sheetName val="_SHOPLIST_xls_779"/>
      <sheetName val="_SHOPLIST_xls_780"/>
      <sheetName val="_SHOPLIST_xls_781"/>
      <sheetName val="_SHOPLIST_xls_782"/>
      <sheetName val="_SHOPLIST_xls_783"/>
      <sheetName val="_SHOPLIST_xls_784"/>
      <sheetName val="_SHOPLIST_xls_785"/>
      <sheetName val="_SHOPLIST_xls_786"/>
      <sheetName val="_SHOPLIST_xls_787"/>
      <sheetName val="_SHOPLIST_xls_788"/>
      <sheetName val="_SHOPLIST_xls_789"/>
      <sheetName val="_SHOPLIST_xls_790"/>
      <sheetName val="_SHOPLIST_xls_791"/>
      <sheetName val="_SHOPLIST_xls_792"/>
      <sheetName val="_SHOPLIST_xls_793"/>
      <sheetName val="_SHOPLIST_xls_794"/>
      <sheetName val="_SHOPLIST_xls_795"/>
      <sheetName val="_SHOPLIST_xls_796"/>
      <sheetName val="_SHOPLIST_xls_797"/>
      <sheetName val="_SHOPLIST_xls_798"/>
      <sheetName val="_SHOPLIST_xls_799"/>
      <sheetName val="_SHOPLIST_xls_800"/>
      <sheetName val="_SHOPLIST_xls_801"/>
      <sheetName val="_SHOPLIST_xls_802"/>
      <sheetName val="_SHOPLIST_xls_803"/>
      <sheetName val="_SHOPLIST_xls_804"/>
      <sheetName val="_SHOPLIST_xls_805"/>
      <sheetName val="_SHOPLIST_xls_806"/>
      <sheetName val="_SHOPLIST_xls_807"/>
      <sheetName val="_SHOPLIST_xls_808"/>
      <sheetName val="_SHOPLIST_xls_809"/>
      <sheetName val="_SHOPLIST_xls_810"/>
      <sheetName val="_SHOPLIST_xls_811"/>
      <sheetName val="_SHOPLIST_xls_812"/>
      <sheetName val="_SHOPLIST_xls_813"/>
      <sheetName val="_SHOPLIST_xls_814"/>
      <sheetName val="_SHOPLIST_xls_815"/>
      <sheetName val="_SHOPLIST_xls_816"/>
      <sheetName val="_SHOPLIST_xls_817"/>
      <sheetName val="_SHOPLIST_xls_818"/>
      <sheetName val="_SHOPLIST_xls_819"/>
      <sheetName val="_SHOPLIST_xls_820"/>
      <sheetName val="_SHOPLIST_xls_821"/>
      <sheetName val="_SHOPLIST_xls_822"/>
      <sheetName val="_SHOPLIST_xls_823"/>
      <sheetName val="_SHOPLIST_xls_824"/>
      <sheetName val="_SHOPLIST_xls_825"/>
      <sheetName val="_SHOPLIST_xls_826"/>
      <sheetName val="_SHOPLIST_xls_827"/>
      <sheetName val="_SHOPLIST_xls_828"/>
      <sheetName val="_SHOPLIST_xls_829"/>
      <sheetName val="_SHOPLIST_xls_830"/>
      <sheetName val="_SHOPLIST_xls_831"/>
      <sheetName val="_SHOPLIST_xls_832"/>
      <sheetName val="_SHOPLIST_xls_833"/>
      <sheetName val="_SHOPLIST_xls_834"/>
      <sheetName val="_SHOPLIST_xls_835"/>
      <sheetName val="_SHOPLIST_xls_836"/>
      <sheetName val="_SHOPLIST_xls_837"/>
      <sheetName val="_SHOPLIST_xls_838"/>
      <sheetName val="70_x005f_x005f_x005f_x0000__7"/>
      <sheetName val="70,/0s«iÆøí¬i17"/>
      <sheetName val="[SHOPLIST_xls]729"/>
      <sheetName val="7012"/>
      <sheetName val="70,12"/>
      <sheetName val="[SHOPLIST_xls]730"/>
      <sheetName val="/VW12"/>
      <sheetName val="[SHOPLIST_xls][12"/>
      <sheetName val="/VWVU))tÏØ0__67"/>
      <sheetName val="70,/0s«_iÆø_í¬_12"/>
      <sheetName val="70?,/0?s«i?Æøí¬12"/>
      <sheetName val="/VWVU))tÏØ0__68"/>
      <sheetName val="[SHOPLIST_xls]731"/>
      <sheetName val="/VWVU))tÏØ0__69"/>
      <sheetName val="/VWVU))tÏØ0__70"/>
      <sheetName val="[SHOPLIST_xls]/V1"/>
      <sheetName val="/VWVU))tÏØ0__82"/>
      <sheetName val="/VWVU))tÏØ0__92"/>
      <sheetName val="/VWVU))tÏØ0__73"/>
      <sheetName val="/VWVU))tÏØ0__74"/>
      <sheetName val="/VWVU))tÏØ0__75"/>
      <sheetName val="70,/0s«iÆøí¬1"/>
      <sheetName val="70,/0s«iÆøí¬i18"/>
      <sheetName val="[SHOPLIST_xls]732"/>
      <sheetName val="7013"/>
      <sheetName val="70,13"/>
      <sheetName val="[SHOPLIST_xls]733"/>
      <sheetName val="/VW13"/>
      <sheetName val="/VWVU))tÏØ0__76"/>
      <sheetName val="/VWVU))tÏØ0__77"/>
      <sheetName val="[SHOPLIST_xls][13"/>
      <sheetName val="/VWVU))tÏØ0__78"/>
      <sheetName val="/VWVU))tÏØ0__79"/>
      <sheetName val="/VWVU))tÏØ0__80"/>
      <sheetName val="70,/0s«_iÆø_í¬_13"/>
      <sheetName val="70?,/0?s«i?Æøí¬13"/>
      <sheetName val="/VWVU))tÏØ0__83"/>
      <sheetName val="[SHOPLIST_xls]734"/>
      <sheetName val="/VWVU))tÏØ0__84"/>
      <sheetName val="/VWVU))tÏØ0__85"/>
      <sheetName val="/VWVU))tÏØ0__86"/>
      <sheetName val="[SHOPLIST_xls]/V2"/>
      <sheetName val="/VWVU))tÏØ0__87"/>
      <sheetName val="/VWVU))tÏØ0__93"/>
      <sheetName val="[SH2"/>
      <sheetName val="70_2"/>
      <sheetName val="/VWVU))tÏØ0__88"/>
      <sheetName val="/VWVU))tÏØ0__89"/>
      <sheetName val="/VWVU))tÏØ0__90"/>
      <sheetName val="70,/0s«iÆøí¬2"/>
      <sheetName val="70,/0s«iÆøí¬i19"/>
      <sheetName val="[SHOPLIST_xls]735"/>
      <sheetName val="7014"/>
      <sheetName val="70,14"/>
      <sheetName val="[SHOPLIST_xls]736"/>
      <sheetName val="/VW14"/>
      <sheetName val="/VWVU))tÏØ0__94"/>
      <sheetName val="/VWVU))tÏØ0__95"/>
      <sheetName val="[SHOPLIST_xls][14"/>
      <sheetName val="/VWVU))tÏØ0__96"/>
      <sheetName val="/VWVU))tÏØ0__97"/>
      <sheetName val="/VWVU))tÏØ0__98"/>
      <sheetName val="70,/0s«_iÆø_í¬_14"/>
      <sheetName val="70?,/0?s«i?Æøí¬14"/>
      <sheetName val="/VWVU))tÏØ0__99"/>
      <sheetName val="[SHOPLIST_xls]737"/>
      <sheetName val="/VWVU))tÏØ0_100"/>
      <sheetName val="/VWVU))tÏØ0_101"/>
      <sheetName val="/VWVU))tÏØ0_102"/>
      <sheetName val="[SHOPLIST_xls]/V3"/>
      <sheetName val="/VWVU))tÏØ0_103"/>
      <sheetName val="/VWVU))tÏØ0_104"/>
      <sheetName val="[SH3"/>
      <sheetName val="70_3"/>
      <sheetName val="/VWVU))tÏØ0_105"/>
      <sheetName val="/VWVU))tÏØ0_106"/>
      <sheetName val="/VWVU))tÏØ0_107"/>
      <sheetName val="70,/0s«iÆøí¬3"/>
      <sheetName val="G29A"/>
      <sheetName val="PRO_DCI"/>
      <sheetName val="Cover_Page3"/>
      <sheetName val="Approved_INR_Claimed_Log_(2)3"/>
      <sheetName val="INR_Data3"/>
      <sheetName val="Dec_OCR3"/>
      <sheetName val="OCR_(APR3"/>
      <sheetName val="Survey_3"/>
      <sheetName val="INR_Summary_Sheet3"/>
      <sheetName val="ITR_Form_(Rev0)3"/>
      <sheetName val="ITR_Form_(SS)3"/>
      <sheetName val="ITR_Form_(Rev1)3"/>
      <sheetName val="Method_Statements3"/>
      <sheetName val="SI_223"/>
      <sheetName val="TO_List3"/>
      <sheetName val="CCTV_DATA3"/>
      <sheetName val="FAL_intern3"/>
      <sheetName val="Fdata"/>
      <sheetName val="Drop_down2"/>
      <sheetName val="Joseph_Record3"/>
      <sheetName val="[SHOPLIST_xls]_VW__VU_________5"/>
      <sheetName val="[SHOPLIST_xls]70_x005f_x0000___0_x0_3"/>
      <sheetName val="[SHOPLIST_xls]70___0_s__i_____7"/>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_SHOPLIST_xls_116"/>
      <sheetName val="[SHOPLIST_xls]_SHOPLIST_xls_117"/>
      <sheetName val="[SHOPLIST_xls]_SHOPLIST_xls_118"/>
      <sheetName val="[SHOPLIST_xls]_SHOPLIST_xls_119"/>
      <sheetName val="[SHOPLIST_xls]_SHOPLIST_xls_120"/>
      <sheetName val="[SHOPLIST_xls]_SHOPLIST_xls_121"/>
      <sheetName val="[SHOPLIST_xls]_SHOPLIST_xls_122"/>
      <sheetName val="[SHOPLIST_xls]_SHOPLIST_xls_123"/>
      <sheetName val="[SHOPLIST_xls]_SHOPLIST_xls_124"/>
      <sheetName val="[SHOPLIST_xls]_SHOPLIST_xls_125"/>
      <sheetName val="[SHOPLIST_xls]_SHOPLIST_xls_126"/>
      <sheetName val="[SHOPLIST_xls]_SHOPLIST_xls_127"/>
      <sheetName val="[SHOPLIST_xls]_SHOPLIST_xls_128"/>
      <sheetName val="[SHOPLIST_xls]_SHOPLIST_xls_129"/>
      <sheetName val="[SHOPLIST_xls]_SHOPLIST_xls_130"/>
      <sheetName val="[SHOPLIST_xls]_SHOPLIST_xls_131"/>
      <sheetName val="[SHOPLIST_xls]_SHOPLIST_xls_132"/>
      <sheetName val="[SHOPLIST_xls]_SHOPLIST_xls_133"/>
      <sheetName val="[SHOPLIST_xls]_SHOPLIST_xls_134"/>
      <sheetName val="[SHOPLIST_xls]_SHOPLIST_xls_135"/>
      <sheetName val="[SHOPLIST_xls]_SHOPLIST_xls_136"/>
      <sheetName val="[SHOPLIST_xls]_SHOPLIST_xls_137"/>
      <sheetName val="[SHOPLIST_xls]_SHOPLIST_xls_138"/>
      <sheetName val="[SHOPLIST_xls]_SHOPLIST_xls_139"/>
      <sheetName val="[SHOPLIST_xls]_SHOPLIST_xls_140"/>
      <sheetName val="[SHOPLIST_xls]_SHOPLIST_xls_141"/>
      <sheetName val="[SHOPLIST_xls]_SHOPLIST_xls_142"/>
      <sheetName val="[SHOPLIST_xls]_SHOPLIST_xls_143"/>
      <sheetName val="[SHOPLIST_xls]_SHOPLIST_xls_144"/>
      <sheetName val="[SHOPLIST_xls]_SHOPLIST_xls_145"/>
      <sheetName val="[SHOPLIST_xls]_SHOPLIST_xls_146"/>
      <sheetName val="[SHOPLIST_xls]_SHOPLIST_xls_147"/>
      <sheetName val="[SHOPLIST_xls]_SHOPLIST_xls_148"/>
      <sheetName val="[SHOPLIST_xls]_SHOPLIST_xls_149"/>
      <sheetName val="[SHOPLIST_xls]_SHOPLIST_xls_150"/>
      <sheetName val="[SHOPLIST_xls]_SHOPLIST_xls_151"/>
      <sheetName val="[SHOPLIST_xls]_SHOPLIST_xls_152"/>
      <sheetName val="[SHOPLIST_xls]_SHOPLIST_xls_153"/>
      <sheetName val="[SHOPLIST_xls]_SHOPLIST_xls_154"/>
      <sheetName val="[SHOPLIST_xls]_SHOPLIST_xls_155"/>
      <sheetName val="[SHOPLIST_xls]_SHOPLIST_xls_156"/>
      <sheetName val="[SHOPLIST_xls]_SHOPLIST_xls_157"/>
      <sheetName val="[SHOPLIST_xls]_SHOPLIST_xls_158"/>
      <sheetName val="[SHOPLIST_xls]_SHOPLIST_xls_159"/>
      <sheetName val="[SHOPLIST_xls]_SHOPLIST_xls_160"/>
      <sheetName val="[SHOPLIST_xls]_SHOPLIST_xls_161"/>
      <sheetName val="[SHOPLIST_xls]_SHOPLIST_xls_162"/>
      <sheetName val="[SHOPLIST_xls]_SHOPLIST_xls_163"/>
      <sheetName val="[SHOPLIST_xls]_SHOPLIST_xls_164"/>
      <sheetName val="[SHOPLIST_xls]_SHOPLIST_xls_165"/>
      <sheetName val="[SHOPLIST_xls]_SHOPLIST_xls_166"/>
      <sheetName val="[SHOPLIST_xls]_SHOPLIST_xls_167"/>
      <sheetName val="[SHOPLIST_xls]_SHOPLIST_xls_168"/>
      <sheetName val="[SHOPLIST_xls]_SHOPLIST_xls_169"/>
      <sheetName val="[SHOPLIST_xls]_SHOPLIST_xls_170"/>
      <sheetName val="[SHOPLIST_xls]_SHOPLIST_xls_171"/>
      <sheetName val="[SHOPLIST_xls]_SHOPLIST_xls_172"/>
      <sheetName val="[SHOPLIST_xls]_SHOPLIST_xls_173"/>
      <sheetName val="[SHOPLIST_xls]_SHOPLIST_xls_174"/>
      <sheetName val="[SHOPLIST_xls]_SHOPLIST_xls_175"/>
      <sheetName val="[SHOPLIST_xls]_SHOPLIST_xls_176"/>
      <sheetName val="[SHOPLIST_xls]_SHOPLIST_xls_177"/>
      <sheetName val="[SHOPLIST_xls]_SHOPLIST_xls_178"/>
      <sheetName val="[SHOPLIST_xls]_SHOPLIST_xls_179"/>
      <sheetName val="[SHOPLIST_xls]_SHOPLIST_xls_180"/>
      <sheetName val="[SHOPLIST_xls]_SHOPLIST_xls_181"/>
      <sheetName val="[SHOPLIST_xls]_SHOPLIST_xls_182"/>
      <sheetName val="[SHOPLIST_xls]_SHOPLIST_xls_183"/>
      <sheetName val="[SHOPLIST_xls]_SHOPLIST_xls_184"/>
      <sheetName val="[SHOPLIST_xls]_SHOPLIST_xls_185"/>
      <sheetName val="[SHOPLIST_xls]_SHOPLIST_xls_186"/>
      <sheetName val="[SHOPLIST_xls]_SHOPLIST_xls_187"/>
      <sheetName val="[SHOPLIST_xls]_SHOPLIST_xls_188"/>
      <sheetName val="[SHOPLIST_xls]_SHOPLIST_xls_189"/>
      <sheetName val="[SHOPLIST_xls]_SHOPLIST_xls_190"/>
      <sheetName val="[SHOPLIST_xls]_SHOPLIST_xls_191"/>
      <sheetName val="[SHOPLIST_xls]_SHOPLIST_xls_192"/>
      <sheetName val="[SHOPLIST_xls]_SHOPLIST_xls_193"/>
      <sheetName val="[SHOPLIST_xls]_SHOPLIST_xls_194"/>
      <sheetName val="[SHOPLIST_xls]_SHOPLIST_xls_195"/>
      <sheetName val="[SHOPLIST_xls]_SHOPLIST_xls_196"/>
      <sheetName val="[SHOPLIST_xls]_SHOPLIST_xls_197"/>
      <sheetName val="[SHOPLIST_xls]_SHOPLIST_xls_198"/>
      <sheetName val="[SHOPLIST_xls]_SHOPLIST_xls_199"/>
      <sheetName val="[SHOPLIST_xls]_SHOPLIST_xls_200"/>
      <sheetName val="[SHOPLIST_xls]_SHOPLIST_xls_201"/>
      <sheetName val="[SHOPLIST_xls]_SHOPLIST_xls_202"/>
      <sheetName val="[SHOPLIST_xls]_SHOPLIST_xls_203"/>
      <sheetName val="[SHOPLIST_xls]_SHOPLIST_xls_204"/>
      <sheetName val="[SHOPLIST_xls]_SHOPLIST_xls_205"/>
      <sheetName val="[SHOPLIST_xls]_SHOPLIST_xls_206"/>
      <sheetName val="[SHOPLIST_xls]_SHOPLIST_xls_207"/>
      <sheetName val="[SHOPLIST_xls]_SHOPLIST_xls_208"/>
      <sheetName val="[SHOPLIST_xls]_SHOPLIST_xls_209"/>
      <sheetName val="Fee Rate Summary"/>
      <sheetName val="NPV"/>
      <sheetName val="P Staff fac"/>
      <sheetName val="foot-slab_reinø"/>
      <sheetName val="Internal"/>
      <sheetName val="Summary year Plan"/>
      <sheetName val="RateAnalysis"/>
      <sheetName val="maingirder"/>
      <sheetName val="basic-data"/>
      <sheetName val="Enquire"/>
      <sheetName val="ROY"/>
      <sheetName val="12"/>
      <sheetName val="BS "/>
      <sheetName val="Accounts"/>
      <sheetName val="footing for SP"/>
      <sheetName val="M-480"/>
      <sheetName val="M-519"/>
      <sheetName val="Rate_analysis21"/>
      <sheetName val="_VWVU))tÏØ0__23"/>
      <sheetName val="_SHOPLIST_xls_7014"/>
      <sheetName val="_SHOPLIST_xls_70,_0s«iÆøí¬i19"/>
      <sheetName val="[SHOPLIST_xls]/VWVU))tÏØ0_167"/>
      <sheetName val="[SHOPLIST_xls]/VWVU))tÏØ0_168"/>
      <sheetName val="Summary_6"/>
      <sheetName val="B04-A_-_DIA_SUDEER6"/>
      <sheetName val="04D_-_Tanmyat6"/>
      <sheetName val="13-_B04-B_&amp;_C6"/>
      <sheetName val="_SITE_09_B04-B&amp;C-AFAQ6"/>
      <sheetName val="[SHOPLIST_xls]/VWVU))tÏØ0_169"/>
      <sheetName val="[SHOPLIST_xls]/VWVU))tÏØ0_170"/>
      <sheetName val="[SHOPLIST_xls]/VWVU))tÏØ0_171"/>
      <sheetName val="[SHOPLIST_xls]/VWVU))tÏØ0_172"/>
      <sheetName val="CONSTRUCTION_COMPONENT6"/>
      <sheetName val="Finansal_tamamlanma_Eğrisi7"/>
      <sheetName val="2_Plex7"/>
      <sheetName val="Sheet1_(2)7"/>
      <sheetName val="4_Plex7"/>
      <sheetName val="6_Plex_7"/>
      <sheetName val="Detailed_Summary7"/>
      <sheetName val="Sheet1_(3)7"/>
      <sheetName val="Sheet1_(4)7"/>
      <sheetName val="May_058"/>
      <sheetName val="April_058"/>
      <sheetName val="Aug_058"/>
      <sheetName val="July_058"/>
      <sheetName val="June_058"/>
      <sheetName val="Nov_058"/>
      <sheetName val="Oct_058"/>
      <sheetName val="Sep_058"/>
      <sheetName val="HB_CEC_schd_4_27"/>
      <sheetName val="HB_CEC_schd_4_37"/>
      <sheetName val="HB_CEC_schd_5_27"/>
      <sheetName val="HB_CEC_schd_6_27"/>
      <sheetName val="HB_CEC_schd_7_27"/>
      <sheetName val="HB_CEC_schd_9_27"/>
      <sheetName val="Doha_Farm7"/>
      <sheetName val="Dropdown_List7"/>
      <sheetName val="New_Bld7"/>
      <sheetName val="B-3_2_EB6"/>
      <sheetName val="[SHOPLIST_xls]/VWVU))tÏØ0_173"/>
      <sheetName val="[SHOPLIST_xls]/VWVU))tÏØ0_174"/>
      <sheetName val="[SHOPLIST_xls]/VWVU))tÏØ0_175"/>
      <sheetName val="1_-_Main_Building7"/>
      <sheetName val="1_-_Summary7"/>
      <sheetName val="2_-_Landscaping_Works7"/>
      <sheetName val="2_-_Summary7"/>
      <sheetName val="4_-_Bldg_Infra7"/>
      <sheetName val="4_-_Summary7"/>
      <sheetName val="Trade_Summary6"/>
      <sheetName val="Sheet_Index6"/>
      <sheetName val="Sec__A-PQ7"/>
      <sheetName val="Preamble_B7"/>
      <sheetName val="Sec__C-Dayworks7"/>
      <sheetName val="d5_7"/>
      <sheetName val="AOP_Summary-28"/>
      <sheetName val="Tender_Docs6"/>
      <sheetName val="Miral_Emails6"/>
      <sheetName val="LOAs_(061619)6"/>
      <sheetName val="Contract_Conditions_(Tender)6"/>
      <sheetName val="Contract_Qualifications6"/>
      <sheetName val="YVPI_&amp;_GII6"/>
      <sheetName val="LOA_(live_sheet)6"/>
      <sheetName val="LOA_Log_(082419)6"/>
      <sheetName val="Key_Docs_Ref_6"/>
      <sheetName val="To_Mr__Boota_(072519)6"/>
      <sheetName val="Balance_Sheet6"/>
      <sheetName val="Status_Summary7"/>
      <sheetName val="New_Rates6"/>
      <sheetName val="Labour_Rates6"/>
      <sheetName val="Status_6"/>
      <sheetName val="CLIENT_BUDGET6"/>
      <sheetName val="Reco-June_20196"/>
      <sheetName val="REMINING_PROGRESS6"/>
      <sheetName val="OS&amp;E__IT6"/>
      <sheetName val="PAID_AMOUNT6"/>
      <sheetName val="IPA_216"/>
      <sheetName val="Order_by_owner6"/>
      <sheetName val="PERLIM__Sammary6"/>
      <sheetName val="RECOVER_OF_DOUBLE_PAYMENT6"/>
      <sheetName val="rathath_al_matar6"/>
      <sheetName val="INTERNAL_LINE_6"/>
      <sheetName val="MINOVA_AL_DEYAR6"/>
      <sheetName val="BLUE_RHINE6"/>
      <sheetName val="NATIONAL_PAINT6"/>
      <sheetName val="FIRE_RATED6"/>
      <sheetName val="Dashboard_(1)7"/>
      <sheetName val="VO_Agreed_to_Unifier_Sum7"/>
      <sheetName val="VO_Not_yet_Agreed_to_Unifier7"/>
      <sheetName val="VO_Anticipated_to_Unifier7"/>
      <sheetName val="EW_to_Unifier7"/>
      <sheetName val="Prov_Sums7"/>
      <sheetName val="Other_Amounts7"/>
      <sheetName val="Asset_Allocation_(CR)7"/>
      <sheetName val="Project_Benchmarking7"/>
      <sheetName val="Recon_Template6"/>
      <sheetName val="Estimate_for_approval6"/>
      <sheetName val="Quotation_FM_administration5"/>
      <sheetName val="Quotation_Visitor_and_Sec5"/>
      <sheetName val="Service_Charge5"/>
      <sheetName val="CABLES_5"/>
      <sheetName val="Quotation_Offices_108,9,10,11)5"/>
      <sheetName val="Quotation_modification5"/>
      <sheetName val="CIF_COST_ITEM6"/>
      <sheetName val="Rates_for_public_areas6"/>
      <sheetName val="DIV_01_General_Requirements5"/>
      <sheetName val="Bill_(1)_Main_Building5"/>
      <sheetName val="Bill_(2)_General_Site_&amp;_Parkin5"/>
      <sheetName val="wd_points5"/>
      <sheetName val="Bill_(3)_Guest_House5"/>
      <sheetName val="Bill_(4)_Family_Buildings5"/>
      <sheetName val="Bill_(5)_Villa_Buildings5"/>
      <sheetName val="Bill_(6)_Entrance_Building5"/>
      <sheetName val="Bill_(7)_Masjid5"/>
      <sheetName val="Bill_(8)_Auditorium5"/>
      <sheetName val="Bill_(9)_Site_Prep__&amp;_Roadway5"/>
      <sheetName val="Summary_Cost5"/>
      <sheetName val="lighting_points5"/>
      <sheetName val="ESTIMATE_(2)5"/>
      <sheetName val="COM_Summary5"/>
      <sheetName val="Drop_Down_Data5"/>
      <sheetName val="Rules_5"/>
      <sheetName val="Update_list5"/>
      <sheetName val="Sinh_Nam_systems5"/>
      <sheetName val="DIE_profile5"/>
      <sheetName val="Import_tax5"/>
      <sheetName val="TONG_HOP_VL-NC5"/>
      <sheetName val="TONGKE3p_5"/>
      <sheetName val="TH_VL,_NC,_DDHT_Thanhphuoc5"/>
      <sheetName val="DON_GIA5"/>
      <sheetName val="CHITIET_VL-NC5"/>
      <sheetName val="TH_kinh_phi5"/>
      <sheetName val="KLDT_DIEN5"/>
      <sheetName val="Dinh_muc_CP_KTCB_khac5"/>
      <sheetName val="_SHOPLIST_xls__SHOPLIST_xls_735"/>
      <sheetName val="_SHOPLIST_xls__SHOPLIST_xls_736"/>
      <sheetName val="quotation_5"/>
      <sheetName val="Bill_5_-_Carpark5"/>
      <sheetName val="BOQ_-_summary__35"/>
      <sheetName val="NKSC_thue5"/>
      <sheetName val="05__Data_Cash_Flow5"/>
      <sheetName val="MTO_REV_2(ARMOR)5"/>
      <sheetName val="GENERAL_SUMMARY5"/>
      <sheetName val="SITE_WORKS5"/>
      <sheetName val="WOOD_WORK5"/>
      <sheetName val="THERMAL_&amp;_MOISTURE_5"/>
      <sheetName val="DOORS_&amp;_WINDOWS5"/>
      <sheetName val="Additional_Items5"/>
      <sheetName val="개시대사_(2)5"/>
      <sheetName val="Ref_Arch5"/>
      <sheetName val="Div_Summary5"/>
      <sheetName val="___________19"/>
      <sheetName val="_SHOPLIST_xls_70,14"/>
      <sheetName val="_SHOPLIST_xls__VW14"/>
      <sheetName val="_SHOPLIST_xls__VWVU))tÏØ0__87"/>
      <sheetName val="_SHOPLIST_xls__VWVU))tÏØ0__88"/>
      <sheetName val="_SHOPLIST_xls__SHOPLIST_xls__14"/>
      <sheetName val="_SHOPLIST_xls__VWVU))tÏØ0__89"/>
      <sheetName val="_SHOPLIST_xls__VWVU))tÏØ0__90"/>
      <sheetName val="_SHOPLIST_xls__VWVU))tÏØ0__94"/>
      <sheetName val="_SHOPLIST_xls_70,_0s«_iÆø_í¬_14"/>
      <sheetName val="_SHOPLIST_xls_70_,_0_s«i_Æøí¬14"/>
      <sheetName val="_SHOPLIST_xls__VWVU))tÏØ0__95"/>
      <sheetName val="TB_ALJADA5"/>
      <sheetName val="Plot_Area5"/>
      <sheetName val="Closing_entries5"/>
      <sheetName val="Executive_Summary5"/>
      <sheetName val="Sales_Tracking_Report_(STR)5"/>
      <sheetName val="Blocking_Tracking_Report_(BTR)5"/>
      <sheetName val="Bill_No_15"/>
      <sheetName val="[SHOPLIST_xls]70,/0s«iÆøí¬6"/>
      <sheetName val="B2-DV_No_025"/>
      <sheetName val="_SUMMARY5"/>
      <sheetName val="PREAMBLES_5"/>
      <sheetName val="GENERAL_REQUIREMENT5"/>
      <sheetName val="B-_SITE_WORK5"/>
      <sheetName val="C__CONCRETE_WORKS_5"/>
      <sheetName val="D-_MASONRY5"/>
      <sheetName val="E__METAL_WORK5"/>
      <sheetName val="F__WOOD_WORK_5"/>
      <sheetName val="G__THERMAL_&amp;MP5"/>
      <sheetName val="H__DOORS___WINDOWS5"/>
      <sheetName val="J__FINISHES5"/>
      <sheetName val="K_ACCESSO5"/>
      <sheetName val="P_CONVEYING_SYSTEM5"/>
      <sheetName val="Q_MECHANICAL5"/>
      <sheetName val="R_ELECTRICAL5"/>
      <sheetName val="S_External_Works5"/>
      <sheetName val="T_Provisional_Sum5"/>
      <sheetName val="T__MEP_Works5"/>
      <sheetName val="U-DAY_WORKS_SCHEDULE5"/>
      <sheetName val="Struct__Members5"/>
      <sheetName val="MAIN_SUMMARY5"/>
      <sheetName val="L3-WBS_Mapping5"/>
      <sheetName val="BAFO_CCL_Submission5"/>
      <sheetName val="Core_Data6"/>
      <sheetName val="Abs_PMRL5"/>
      <sheetName val="_SHOPLIST_xls__SHOPLIST_xls_737"/>
      <sheetName val="L_(4)5"/>
      <sheetName val="ملخص_المشاريع5"/>
      <sheetName val="عقود_المقاولين5"/>
      <sheetName val="اوامر_الشراء5"/>
      <sheetName val="الحركة_اليومية5"/>
      <sheetName val="محمد_عساف5"/>
      <sheetName val="كشف_الايرادات_والضرائب5"/>
      <sheetName val="حساب_البنك5"/>
      <sheetName val="كشف_الرواتب5"/>
      <sheetName val="SAF_-_عهد_-_سلامي_ابو_فخر5"/>
      <sheetName val="THA_-_عهد_-_ثابت_احمد5"/>
      <sheetName val="AAH_-_عهد_-_انس_هبو5"/>
      <sheetName val="YSA_-_عهد_-_ياسر_السبع5"/>
      <sheetName val="MKJ_-_عهد_-_محمود_قجك5"/>
      <sheetName val="MSH_-_عهد_-_محمد_الشامي5"/>
      <sheetName val="ALW_-_عهد_-_علوان_علي5"/>
      <sheetName val="AHA_-_عهد_-_احمد_الحاج5"/>
      <sheetName val="MOR_-_عهد_-_مرجان_عبدالهادي5"/>
      <sheetName val="MHA_-_عهد_-_محمد_حسون_العلي5"/>
      <sheetName val="MF_-_مكتب_رئيسي5"/>
      <sheetName val="CO_-_مقاولين_-_عقود_(2)5"/>
      <sheetName val="BUR_-_موردين_-_شركة_البروج_5"/>
      <sheetName val="CAP_-_موردين_-_عاصمة_الكهرباء5"/>
      <sheetName val="PO_-_موردين_-_اوامر_شراء5"/>
      <sheetName val="CO_-_مقاولين_-_عقود5"/>
      <sheetName val="[SHOPLIST_xls]/VWVU))tÏØ0_176"/>
      <sheetName val="[SHOPLIST_xls]/VWVU))tÏØ0_177"/>
      <sheetName val="Master_data5"/>
      <sheetName val="[SHOPLIST_xls]/VWVU))tÏØ0_178"/>
      <sheetName val="[SHOPLIST_xls]/VWVU))tÏØ0_179"/>
      <sheetName val="[SHOPLIST_xls][SH6"/>
      <sheetName val="BOQ_1_925"/>
      <sheetName val="P1926-H2B_Pkg_2A&amp;2B6"/>
      <sheetName val="P1940-H2B_Pkg_1_Guestrooms6"/>
      <sheetName val="[SHOPLIST_xls]70_6"/>
      <sheetName val="Other_Cost_Norms5"/>
      <sheetName val="Comp_equip5"/>
      <sheetName val="Basic_Rate5"/>
      <sheetName val="MASTER_RATE_ANALYSIS5"/>
      <sheetName val="P15_Cost_Implications5"/>
      <sheetName val="P15_uPVC_ducts-Rate_Summary5"/>
      <sheetName val="P13_uPVC_ducts5"/>
      <sheetName val="P13_Mass_Concrete5"/>
      <sheetName val="P13_Imported_Fill5"/>
      <sheetName val="P14_uPVC_ducts5"/>
      <sheetName val="P14_Mass_Concrete5"/>
      <sheetName val="P14_Imported_Fill5"/>
      <sheetName val="P14_Sand_bed_to_cable5"/>
      <sheetName val="P15_uPVC_ducts5"/>
      <sheetName val="Div_10-Specialities_5"/>
      <sheetName val="MALE_&amp;_FEMALE_5"/>
      <sheetName val="6_2_Floor_Finishes5"/>
      <sheetName val="BUAs_and_Sales_Forecast5"/>
      <sheetName val="Lagoons_Breakdown_Prices5"/>
      <sheetName val="Cover_HW_Z2_5"/>
      <sheetName val="TOTAL_WORK5"/>
      <sheetName val="part_35"/>
      <sheetName val="pile_Length_for_Easter_fence5"/>
      <sheetName val="_Estimate__5"/>
      <sheetName val="Equip_5"/>
      <sheetName val="Cumulative_Rail_5"/>
      <sheetName val="Data_5"/>
      <sheetName val="[SHOPLIST_xls]/VWVU))tÏØ0_180"/>
      <sheetName val="Staff_OLD_5"/>
      <sheetName val="Portfolio_List5"/>
      <sheetName val="Initial_Data5"/>
      <sheetName val="Package_Status5"/>
      <sheetName val="Appendix-A_-GRAND_SUMMARY5"/>
      <sheetName val="D9_(New_Rate)5"/>
      <sheetName val="Grand_Summary_5"/>
      <sheetName val="Bill_No_01_-_GI_5"/>
      <sheetName val="combined_5"/>
      <sheetName val="summary-Optional_5"/>
      <sheetName val="B14_02_5"/>
      <sheetName val="Prov_Sum_5"/>
      <sheetName val="Démol_5"/>
      <sheetName val="Contractor_Application5"/>
      <sheetName val="08_MEP_Summary5"/>
      <sheetName val="Addnl_works5"/>
      <sheetName val="B3__Material_on_Site-Detail5"/>
      <sheetName val="WATER_DUCT_-_IC_215"/>
      <sheetName val="Asset_Desc5"/>
      <sheetName val="[SHOPLIST_xls]70,/0s«i_x5"/>
      <sheetName val="Account_Codes5"/>
      <sheetName val="[SHOPLIST_xls]/VWVU))tÏØ0_181"/>
      <sheetName val="[SHOPLIST_xls]/VWVU))tÏØ0_182"/>
      <sheetName val="[SHOPLIST_xls]/VWVU))tÏØ0_183"/>
      <sheetName val="[SHOPLIST_xls]/VWVU))tÏØ0_184"/>
      <sheetName val="[SHOPLIST_xls]/VWVU))tÏØ0_185"/>
      <sheetName val="[SHOPLIST_xls]/VWVU))tÏØ0_186"/>
      <sheetName val="[SHOPLIST_xls]/VWVU))tÏØ0_187"/>
      <sheetName val="[SHOPLIST_xls]/VWVU))tÏØ0_188"/>
      <sheetName val="FLOOR_AND_CEILING3"/>
      <sheetName val="area_comp_2011_01_18_(2)3"/>
      <sheetName val="drop_down_lists3"/>
      <sheetName val="PH_53"/>
      <sheetName val="S-Curve_Update3"/>
      <sheetName val="[SHOPLIST_xls]70_x005f_x0000_,/0_x003"/>
      <sheetName val="Detail_Page3"/>
      <sheetName val="_SHOPLIST_xls__VWVU))tÏØ0__96"/>
      <sheetName val="_SHOPLIST_xls__VWVU))tÏØ0__97"/>
      <sheetName val="_SHOPLIST_xls__VWVU))tÏØ0__98"/>
      <sheetName val="_SHOPLIST_xls__SHOPLIST_xls__V3"/>
      <sheetName val="_SHOPLIST_xls__VWVU))tÏØ0__99"/>
      <sheetName val="_SHOPLIST_xls__VWVU))tÏØ0_100"/>
      <sheetName val="8_0_Programme3"/>
      <sheetName val="SUBS_SUM"/>
      <sheetName val="tower_and_monopoles_"/>
      <sheetName val="ASD_Sum_of_Parts"/>
      <sheetName val="Administrative_Prices"/>
      <sheetName val="11B_"/>
      <sheetName val="EATON_SUMMARY1"/>
      <sheetName val="Outline_Cost_-_Five_star_Hotel1"/>
      <sheetName val="Field_Values"/>
      <sheetName val="CFForecast_detail"/>
      <sheetName val="Mat_Cost"/>
      <sheetName val="ACAD_Finishes"/>
      <sheetName val="Site_Details"/>
      <sheetName val="Site_Area_Statement"/>
      <sheetName val="GM_&amp;_TA"/>
      <sheetName val="10__&amp;_11__Rate_Code_&amp;_BQ"/>
      <sheetName val="key_dates"/>
      <sheetName val="Basement_Budget"/>
      <sheetName val="[SHOPLIST_xls][SHOPLIST_xls]760"/>
      <sheetName val="[SHOPLIST_xls][SHOPLIST_xls]761"/>
      <sheetName val="[SHOPLIST_xls][SHOPLIST_xls]762"/>
      <sheetName val="[SHOPLIST_xls][SHOPLIST_xls]763"/>
      <sheetName val="[SHOPLIST_xls][SHOPLIST_xls]764"/>
      <sheetName val="[SHOPLIST_xls][SHOPLIST_xls]765"/>
      <sheetName val="[SHOPLIST_xls][SHOPLIST_xls]766"/>
      <sheetName val="[SHOPLIST_xls][SHOPLIST_xls]767"/>
      <sheetName val="[SHOPLIST_xls][SHOPLIST_xls]768"/>
      <sheetName val="[SHOPLIST_xls][SHOPLIST_xls]229"/>
      <sheetName val="[SHOPLIST_xls][SHOPLIST_xls]230"/>
      <sheetName val="[SHOPLIST_xls][SHOPLIST_xls]231"/>
      <sheetName val="[SHOPLIST_xls][SHOPLIST_xls]232"/>
      <sheetName val="[SHOPLIST_xls]70___0_s__i_____8"/>
      <sheetName val="[SHOPLIST_xls]_VW__VU_________6"/>
      <sheetName val="[SHOPLIST_xls]_VW__VU_________7"/>
      <sheetName val="[SHOPLIST_xls]70___0_s__i_____9"/>
      <sheetName val="[SHOPLIST_xls]70_x005f_x0000___0_x0_4"/>
      <sheetName val="[SHOPLIST_xls][SHOPLIST_xls]233"/>
      <sheetName val="[SHOPLIST_xls]70___0_s__i____10"/>
      <sheetName val="[SHOPLIST_xls]_SHOPLIST_xls_210"/>
      <sheetName val="[SHOPLIST_xls]_SHOPLIST_xls_211"/>
      <sheetName val="[SHOPLIST_xls][SHOPLIST_xls]234"/>
      <sheetName val="[SHOPLIST_xls][SHOPLIST_xls]235"/>
      <sheetName val="[SHOPLIST_xls]_SHOPLIST_xls_212"/>
      <sheetName val="[SHOPLIST_xls]_SHOPLIST_xls_213"/>
      <sheetName val="[SHOPLIST_xls]_SHOPLIST_xls_214"/>
      <sheetName val="[SHOPLIST_xls]_SHOPLIST_xls_215"/>
      <sheetName val="[SHOPLIST_xls]_SHOPLIST_xls_216"/>
      <sheetName val="[SHOPLIST_xls]_SHOPLIST_xls_217"/>
      <sheetName val="[SHOPLIST_xls]_SHOPLIST_xls_218"/>
      <sheetName val="[SHOPLIST_xls]_SHOPLIST_xls_219"/>
      <sheetName val="[SHOPLIST_xls]_SHOPLIST_xls_220"/>
      <sheetName val="[SHOPLIST_xls]_SHOPLIST_xls_221"/>
      <sheetName val="[SHOPLIST_xls]_SHOPLIST_xls_222"/>
      <sheetName val="[SHOPLIST_xls]_SHOPLIST_xls_223"/>
      <sheetName val="[SHOPLIST_xls]_SHOPLIST_xls_224"/>
      <sheetName val="[SHOPLIST_xls]_SHOPLIST_xls_225"/>
      <sheetName val="[SHOPLIST_xls]_SHOPLIST_xls_226"/>
      <sheetName val="[SHOPLIST_xls]_SHOPLIST_xls_227"/>
      <sheetName val="[SHOPLIST_xls]_SHOPLIST_xls_228"/>
      <sheetName val="[SHOPLIST_xls]_SHOPLIST_xls_229"/>
      <sheetName val="[SHOPLIST_xls]_SHOPLIST_xls_230"/>
      <sheetName val="[SHOPLIST_xls]_SHOPLIST_xls_231"/>
      <sheetName val="[SHOPLIST_xls]_SHOPLIST_xls_232"/>
      <sheetName val="[SHOPLIST_xls]_SHOPLIST_xls_233"/>
      <sheetName val="[SHOPLIST_xls]_SHOPLIST_xls_234"/>
      <sheetName val="[SHOPLIST_xls]_SHOPLIST_xls_235"/>
      <sheetName val="[SHOPLIST_xls]_SHOPLIST_xls_236"/>
      <sheetName val="[SHOPLIST_xls]_SHOPLIST_xls_237"/>
      <sheetName val="[SHOPLIST_xls]_SHOPLIST_xls_238"/>
      <sheetName val="[SHOPLIST_xls]_SHOPLIST_xls_239"/>
      <sheetName val="[SHOPLIST_xls]_SHOPLIST_xls_240"/>
      <sheetName val="[SHOPLIST_xls]_SHOPLIST_xls_241"/>
      <sheetName val="[SHOPLIST_xls]_SHOPLIST_xls_242"/>
      <sheetName val="[SHOPLIST_xls]_SHOPLIST_xls_243"/>
      <sheetName val="[SHOPLIST_xls]_SHOPLIST_xls_244"/>
      <sheetName val="[SHOPLIST_xls]_SHOPLIST_xls_245"/>
      <sheetName val="[SHOPLIST_xls]_SHOPLIST_xls_246"/>
      <sheetName val="[SHOPLIST_xls]_SHOPLIST_xls_247"/>
      <sheetName val="[SHOPLIST_xls]_SHOPLIST_xls_248"/>
      <sheetName val="[SHOPLIST_xls]_SHOPLIST_xls_249"/>
      <sheetName val="[SHOPLIST_xls]_SHOPLIST_xls_250"/>
      <sheetName val="[SHOPLIST_xls][SHOPLIST_xls]236"/>
      <sheetName val="[SHOPLIST_xls]_SHOPLIST_xls_251"/>
      <sheetName val="[SHOPLIST_xls]_SHOPLIST_xls_252"/>
      <sheetName val="[SHOPLIST_xls]_SHOPLIST_xls_253"/>
      <sheetName val="[SHOPLIST_xls]_SHOPLIST_xls_254"/>
      <sheetName val="[SHOPLIST_xls]_SHOPLIST_xls_255"/>
      <sheetName val="[SHOPLIST_xls]_SHOPLIST_xls_256"/>
      <sheetName val="[SHOPLIST_xls]_SHOPLIST_xls_257"/>
      <sheetName val="[SHOPLIST_xls]_SHOPLIST_xls_258"/>
      <sheetName val="[SHOPLIST_xls]_SHOPLIST_xls_259"/>
      <sheetName val="[SHOPLIST_xls]_SHOPLIST_xls_260"/>
      <sheetName val="[SHOPLIST_xls]_SHOPLIST_xls_261"/>
      <sheetName val="[SHOPLIST_xls]_SHOPLIST_xls_262"/>
      <sheetName val="[SHOPLIST_xls]_SHOPLIST_xls_263"/>
      <sheetName val="[SHOPLIST_xls]_SHOPLIST_xls_264"/>
      <sheetName val="[SHOPLIST_xls]_SHOPLIST_xls_265"/>
      <sheetName val="[SHOPLIST_xls]_SHOPLIST_xls_266"/>
      <sheetName val="[SHOPLIST_xls]_SHOPLIST_xls_267"/>
      <sheetName val="[SHOPLIST_xls]_SHOPLIST_xls_268"/>
      <sheetName val="[SHOPLIST_xls]_SHOPLIST_xls_269"/>
      <sheetName val="[SHOPLIST_xls]_SHOPLIST_xls_270"/>
      <sheetName val="[SHOPLIST_xls]_SHOPLIST_xls_271"/>
      <sheetName val="[SHOPLIST_xls]_SHOPLIST_xls_272"/>
      <sheetName val="[SHOPLIST_xls]_SHOPLIST_xls_273"/>
      <sheetName val="[SHOPLIST_xls]_SHOPLIST_xls_274"/>
      <sheetName val="[SHOPLIST_xls]_SHOPLIST_xls_275"/>
      <sheetName val="[SHOPLIST_xls]_SHOPLIST_xls_276"/>
      <sheetName val="[SHOPLIST_xls]_SHOPLIST_xls_277"/>
      <sheetName val="[SHOPLIST_xls]_SHOPLIST_xls_278"/>
      <sheetName val="[SHOPLIST_xls]_SHOPLIST_xls_279"/>
      <sheetName val="[SHOPLIST_xls]_SHOPLIST_xls_280"/>
      <sheetName val="[SHOPLIST_xls]_SHOPLIST_xls_281"/>
      <sheetName val="[SHOPLIST_xls]_SHOPLIST_xls_282"/>
      <sheetName val="[SHOPLIST_xls]_SHOPLIST_xls_283"/>
      <sheetName val="[SHOPLIST_xls]_SHOPLIST_xls_284"/>
      <sheetName val="[SHOPLIST_xls]_SHOPLIST_xls_285"/>
      <sheetName val="[SHOPLIST_xls]_SHOPLIST_xls_286"/>
      <sheetName val="[SHOPLIST_xls]_SHOPLIST_xls_287"/>
      <sheetName val="[SHOPLIST_xls]_SHOPLIST_xls_288"/>
      <sheetName val="[SHOPLIST_xls]_SHOPLIST_xls_289"/>
      <sheetName val="[SHOPLIST_xls]_SHOPLIST_xls_290"/>
      <sheetName val="[SHOPLIST_xls]_SHOPLIST_xls_291"/>
      <sheetName val="[SHOPLIST_xls]_SHOPLIST_xls_292"/>
      <sheetName val="[SHOPLIST_xls]_SHOPLIST_xls_293"/>
      <sheetName val="[SHOPLIST_xls]_SHOPLIST_xls_294"/>
      <sheetName val="[SHOPLIST_xls]_SHOPLIST_xls_295"/>
      <sheetName val="[SHOPLIST_xls]_SHOPLIST_xls_296"/>
      <sheetName val="[SHOPLIST_xls]_SHOPLIST_xls_297"/>
      <sheetName val="[SHOPLIST_xls]_SHOPLIST_xls_298"/>
      <sheetName val="[SHOPLIST_xls]_SHOPLIST_xls_299"/>
      <sheetName val="[SHOPLIST_xls]_SHOPLIST_xls_300"/>
      <sheetName val="[SHOPLIST_xls]_SHOPLIST_xls_301"/>
      <sheetName val="[SHOPLIST_xls]_SHOPLIST_xls_302"/>
      <sheetName val="[SHOPLIST_xls]_SHOPLIST_xls_303"/>
      <sheetName val="[SHOPLIST_xls]_SHOPLIST_xls_304"/>
      <sheetName val="[SHOPLIST_xls]_SHOPLIST_xls_305"/>
      <sheetName val="[SHOPLIST_xls]_SHOPLIST_xls_306"/>
      <sheetName val="[SHOPLIST_xls]_SHOPLIST_xls_307"/>
      <sheetName val="[SHOPLIST_xls]_SHOPLIST_xls_308"/>
      <sheetName val="[SHOPLIST_xls]_SHOPLIST_xls_309"/>
      <sheetName val="[SHOPLIST_xls]_SHOPLIST_xls_310"/>
      <sheetName val="[SHOPLIST_xls]_SHOPLIST_xls_311"/>
      <sheetName val="[SHOPLIST_xls]_SHOPLIST_xls_312"/>
      <sheetName val="[SHOPLIST_xls]_SHOPLIST_xls_313"/>
      <sheetName val="[SHOPLIST_xls]_SHOPLIST_xls_314"/>
      <sheetName val="[SHOPLIST_xls]_SHOPLIST_xls_315"/>
      <sheetName val="[SHOPLIST_xls]_SHOPLIST_xls_316"/>
      <sheetName val="[SHOPLIST_xls]_SHOPLIST_xls_317"/>
      <sheetName val="[SHOPLIST_xls][SHOPLIST_xls]237"/>
      <sheetName val="[SHOPLIST_xls][SHOPLIST_xls]238"/>
      <sheetName val="[SHOPLIST_xls]_SHOPLIST_xls_320"/>
      <sheetName val="[SHOPLIST_xls]_SHOPLIST_xls_321"/>
      <sheetName val="[SHOPLIST_xls]_SHOPLIST_xls_322"/>
      <sheetName val="[SHOPLIST_xls]_SHOPLIST_xls_323"/>
      <sheetName val="[SHOPLIST_xls]_SHOPLIST_xls_324"/>
      <sheetName val="[SHOPLIST_xls]_SHOPLIST_xls_325"/>
      <sheetName val="[SHOPLIST_xls]_SHOPLIST_xls_326"/>
      <sheetName val="[SHOPLIST_xls]_SHOPLIST_xls_327"/>
      <sheetName val="[SHOPLIST_xls]_SHOPLIST_xls_328"/>
      <sheetName val="[SHOPLIST_xls]_SHOPLIST_xls_329"/>
      <sheetName val="[SHOPLIST_xls]_SHOPLIST_xls_330"/>
      <sheetName val="[SHOPLIST_xls]_SHOPLIST_xls_331"/>
      <sheetName val="[SHOPLIST_xls]_SHOPLIST_xls_332"/>
      <sheetName val="[SHOPLIST_xls]_SHOPLIST_xls_333"/>
      <sheetName val="[SHOPLIST_xls]_SHOPLIST_xls_334"/>
      <sheetName val="[SHOPLIST_xls]_SHOPLIST_xls_335"/>
      <sheetName val="[SHOPLIST_xls]_SHOPLIST_xls_336"/>
      <sheetName val="[SHOPLIST_xls]_SHOPLIST_xls_337"/>
      <sheetName val="[SHOPLIST_xls]_SHOPLIST_xls_338"/>
      <sheetName val="[SHOPLIST_xls]_SHOPLIST_xls_339"/>
      <sheetName val="[SHOPLIST_xls]_SHOPLIST_xls_340"/>
      <sheetName val="[SHOPLIST_xls]_SHOPLIST_xls_341"/>
      <sheetName val="[SHOPLIST_xls]_SHOPLIST_xls_342"/>
      <sheetName val="[SHOPLIST_xls]_SHOPLIST_xls_343"/>
      <sheetName val="[SHOPLIST_xls]_SHOPLIST_xls_344"/>
      <sheetName val="[SHOPLIST_xls]_SHOPLIST_xls_345"/>
      <sheetName val="[SHOPLIST_xls]_SHOPLIST_xls_346"/>
      <sheetName val="[SHOPLIST_xls]_SHOPLIST_xls_347"/>
      <sheetName val="[SHOPLIST_xls]_SHOPLIST_xls_348"/>
      <sheetName val="[SHOPLIST_xls]_SHOPLIST_xls_349"/>
      <sheetName val="[SHOPLIST_xls]70___0_s__i____11"/>
      <sheetName val="[SHOPLIST_xls]_VW__VU_________8"/>
      <sheetName val="[SHOPLIST_xls]_VW__VU_________9"/>
      <sheetName val="[SHOPLIST_xls]70___0_s__i____12"/>
      <sheetName val="[SHOPLIST_xls]70_x005f_x0000___0_x0_5"/>
      <sheetName val="[SHOPLIST_xls]_SHOPLIST_xls_350"/>
      <sheetName val="[SHOPLIST_xls]70___0_s__i____13"/>
      <sheetName val="[SHOPLIST_xls]_SHOPLIST_xls_351"/>
      <sheetName val="[SHOPLIST_xls]_SHOPLIST_xls_352"/>
      <sheetName val="[SHOPLIST_xls]_SHOPLIST_xls_353"/>
      <sheetName val="[SHOPLIST_xls]_SHOPLIST_xls_354"/>
      <sheetName val="[SHOPLIST_xls]_SHOPLIST_xls_355"/>
      <sheetName val="[SHOPLIST_xls]_SHOPLIST_xls_356"/>
      <sheetName val="[SHOPLIST_xls]_SHOPLIST_xls_357"/>
      <sheetName val="[SHOPLIST_xls]_SHOPLIST_xls_358"/>
      <sheetName val="[SHOPLIST_xls]_SHOPLIST_xls_359"/>
      <sheetName val="[SHOPLIST_xls]_SHOPLIST_xls_360"/>
      <sheetName val="[SHOPLIST_xls]_SHOPLIST_xls_361"/>
      <sheetName val="[SHOPLIST_xls]_SHOPLIST_xls_362"/>
      <sheetName val="[SHOPLIST_xls]_SHOPLIST_xls_363"/>
      <sheetName val="[SHOPLIST_xls]_SHOPLIST_xls_364"/>
      <sheetName val="[SHOPLIST_xls]_SHOPLIST_xls_365"/>
      <sheetName val="[SHOPLIST_xls]_SHOPLIST_xls_366"/>
      <sheetName val="[SHOPLIST_xls]_SHOPLIST_xls_367"/>
      <sheetName val="[SHOPLIST_xls]_SHOPLIST_xls_368"/>
      <sheetName val="[SHOPLIST_xls]_SHOPLIST_xls_369"/>
      <sheetName val="[SHOPLIST_xls]_SHOPLIST_xls_370"/>
      <sheetName val="[SHOPLIST_xls]_SHOPLIST_xls_371"/>
      <sheetName val="[SHOPLIST_xls]_SHOPLIST_xls_372"/>
      <sheetName val="[SHOPLIST_xls]_SHOPLIST_xls_373"/>
      <sheetName val="[SHOPLIST_xls]_SHOPLIST_xls_374"/>
      <sheetName val="[SHOPLIST_xls]_SHOPLIST_xls_375"/>
      <sheetName val="[SHOPLIST_xls]_SHOPLIST_xls_376"/>
      <sheetName val="[SHOPLIST_xls]_SHOPLIST_xls_377"/>
      <sheetName val="[SHOPLIST_xls]_SHOPLIST_xls_378"/>
      <sheetName val="[SHOPLIST_xls]_SHOPLIST_xls_379"/>
      <sheetName val="[SHOPLIST_xls]_SHOPLIST_xls_380"/>
      <sheetName val="[SHOPLIST_xls]_SHOPLIST_xls_381"/>
      <sheetName val="[SHOPLIST_xls]_SHOPLIST_xls_382"/>
      <sheetName val="[SHOPLIST_xls]_SHOPLIST_xls_383"/>
      <sheetName val="[SHOPLIST_xls]_SHOPLIST_xls_384"/>
      <sheetName val="[SHOPLIST_xls]_SHOPLIST_xls_385"/>
      <sheetName val="[SHOPLIST_xls]_SHOPLIST_xls_386"/>
      <sheetName val="[SHOPLIST_xls]_SHOPLIST_xls_387"/>
      <sheetName val="[SHOPLIST_xls]_SHOPLIST_xls_388"/>
      <sheetName val="[SHOPLIST_xls]_SHOPLIST_xls_389"/>
      <sheetName val="[SHOPLIST_xls]_SHOPLIST_xls_390"/>
      <sheetName val="[SHOPLIST_xls]_SHOPLIST_xls_391"/>
      <sheetName val="[SHOPLIST_xls]_SHOPLIST_xls_392"/>
      <sheetName val="[SHOPLIST_xls]_SHOPLIST_xls_393"/>
      <sheetName val="[SHOPLIST_xls]_SHOPLIST_xls_394"/>
      <sheetName val="[SHOPLIST_xls]_SHOPLIST_xls_395"/>
      <sheetName val="[SHOPLIST_xls]_SHOPLIST_xls_396"/>
      <sheetName val="[SHOPLIST_xls]_SHOPLIST_xls_397"/>
      <sheetName val="[SHOPLIST_xls]_SHOPLIST_xls_398"/>
      <sheetName val="[SHOPLIST_xls]_SHOPLIST_xls_399"/>
      <sheetName val="[SHOPLIST_xls]_SHOPLIST_xls_400"/>
      <sheetName val="[SHOPLIST_xls]_SHOPLIST_xls_401"/>
      <sheetName val="[SHOPLIST_xls]_SHOPLIST_xls_402"/>
      <sheetName val="[SHOPLIST_xls]_SHOPLIST_xls_403"/>
      <sheetName val="[SHOPLIST_xls]_SHOPLIST_xls_404"/>
      <sheetName val="[SHOPLIST_xls]_SHOPLIST_xls_405"/>
      <sheetName val="[SHOPLIST_xls]_SHOPLIST_xls_406"/>
      <sheetName val="[SHOPLIST_xls]_SHOPLIST_xls_407"/>
      <sheetName val="[SHOPLIST_xls]_SHOPLIST_xls_408"/>
      <sheetName val="[SHOPLIST_xls]_SHOPLIST_xls_409"/>
      <sheetName val="[SHOPLIST_xls]_SHOPLIST_xls_410"/>
      <sheetName val="[SHOPLIST_xls]_SHOPLIST_xls_411"/>
      <sheetName val="[SHOPLIST_xls]_SHOPLIST_xls_412"/>
      <sheetName val="[SHOPLIST_xls]_SHOPLIST_xls_413"/>
      <sheetName val="[SHOPLIST_xls]_SHOPLIST_xls_414"/>
      <sheetName val="[SHOPLIST_xls]_SHOPLIST_xls_415"/>
      <sheetName val="[SHOPLIST_xls]_SHOPLIST_xls_416"/>
      <sheetName val="[SHOPLIST_xls]_SHOPLIST_xls_417"/>
      <sheetName val="[SHOPLIST_xls]_SHOPLIST_xls_418"/>
      <sheetName val="[SHOPLIST_xls]_SHOPLIST_xls_419"/>
      <sheetName val="[SHOPLIST_xls]_SHOPLIST_xls_420"/>
      <sheetName val="[SHOPLIST_xls]_SHOPLIST_xls_421"/>
      <sheetName val="[SHOPLIST_xls]_SHOPLIST_xls_422"/>
      <sheetName val="[SHOPLIST_xls]_SHOPLIST_xls_423"/>
      <sheetName val="[SHOPLIST_xls]_SHOPLIST_xls_424"/>
      <sheetName val="[SHOPLIST_xls]_SHOPLIST_xls_425"/>
      <sheetName val="[SHOPLIST_xls]_SHOPLIST_xls_426"/>
      <sheetName val="[SHOPLIST_xls]_SHOPLIST_xls_427"/>
      <sheetName val="[SHOPLIST_xls]_SHOPLIST_xls_428"/>
      <sheetName val="[SHOPLIST_xls]_SHOPLIST_xls_429"/>
      <sheetName val="[SHOPLIST_xls]_SHOPLIST_xls_430"/>
      <sheetName val="[SHOPLIST_xls]_SHOPLIST_xls_431"/>
      <sheetName val="[SHOPLIST_xls]_SHOPLIST_xls_432"/>
      <sheetName val="[SHOPLIST_xls]_SHOPLIST_xls_433"/>
      <sheetName val="[SHOPLIST_xls]_SHOPLIST_xls_434"/>
      <sheetName val="[SHOPLIST_xls]_SHOPLIST_xls_435"/>
      <sheetName val="[SHOPLIST_xls]_SHOPLIST_xls_436"/>
      <sheetName val="[SHOPLIST_xls]_SHOPLIST_xls_437"/>
      <sheetName val="[SHOPLIST_xls]_SHOPLIST_xls_438"/>
      <sheetName val="[SHOPLIST_xls]_SHOPLIST_xls_439"/>
      <sheetName val="[SHOPLIST_xls]_SHOPLIST_xls_440"/>
      <sheetName val="[SHOPLIST_xls]_SHOPLIST_xls_441"/>
      <sheetName val="[SHOPLIST_xls]_SHOPLIST_xls_442"/>
      <sheetName val="[SHOPLIST_xls]_SHOPLIST_xls_443"/>
      <sheetName val="[SHOPLIST_xls]_SHOPLIST_xls_444"/>
      <sheetName val="[SHOPLIST_xls]_SHOPLIST_xls_445"/>
      <sheetName val="[SHOPLIST_xls]_SHOPLIST_xls_446"/>
      <sheetName val="[SHOPLIST_xls]_SHOPLIST_xls_447"/>
      <sheetName val="[SHOPLIST_xls]_SHOPLIST_xls_448"/>
      <sheetName val="[SHOPLIST_xls]_SHOPLIST_xls_449"/>
      <sheetName val="[SHOPLIST_xls]_SHOPLIST_xls_450"/>
      <sheetName val="[SHOPLIST_xls]_SHOPLIST_xls_451"/>
      <sheetName val="[SHOPLIST_xls]_SHOPLIST_xls_452"/>
      <sheetName val="[SHOPLIST_xls]_SHOPLIST_xls_453"/>
      <sheetName val="[SHOPLIST_xls]_SHOPLIST_xls_454"/>
      <sheetName val="[SHOPLIST_xls]_SHOPLIST_xls_455"/>
      <sheetName val="[SHOPLIST_xls]_SHOPLIST_xls_456"/>
      <sheetName val="[SHOPLIST_xls]_SHOPLIST_xls_457"/>
      <sheetName val="[SHOPLIST_xls]_SHOPLIST_xls_458"/>
      <sheetName val="[SHOPLIST_xls]_SHOPLIST_xls_459"/>
      <sheetName val="[SHOPLIST_xls]_SHOPLIST_xls_460"/>
      <sheetName val="[SHOPLIST_xls]_SHOPLIST_xls_461"/>
      <sheetName val="[SHOPLIST_xls]70_x005f_x005f_x005f_x0000__4"/>
      <sheetName val="[SHOPLIST_xls]_SHOPLIST_xls_462"/>
      <sheetName val="[SHOPLIST_xls]_SHOPLIST_xls_463"/>
      <sheetName val="[SHOPLIST_xls]70_x005f_x005f_x005f_x0000__3"/>
      <sheetName val="[SHOPLIST_xls]_SHOPLIST_xls_318"/>
      <sheetName val="[SHOPLIST_xls]_SHOPLIST_xls_319"/>
      <sheetName val="Income_Statement"/>
      <sheetName val="Data_Works"/>
      <sheetName val="Control_Panel"/>
      <sheetName val="Sheet"/>
      <sheetName val="14267"/>
      <sheetName val="shuttering"/>
      <sheetName val="CFS3"/>
      <sheetName val="Structured Cabling"/>
      <sheetName val="IS"/>
      <sheetName val="Configurations"/>
      <sheetName val="Technical"/>
      <sheetName val="BUR"/>
      <sheetName val="FSA"/>
      <sheetName val="Services_InitialEst_UtilityServ"/>
      <sheetName val="Currency Rate"/>
      <sheetName val="contents "/>
      <sheetName val="Div.8 - Opening"/>
      <sheetName val="Div .9- Finishes"/>
      <sheetName val="Total "/>
      <sheetName val="Projects Name"/>
      <sheetName val="B_Room_W_Done_Progress"/>
      <sheetName val="SUMMARY_(ROOM)"/>
      <sheetName val="W_D_Prgress_Public_area"/>
      <sheetName val="SUMMARY_Public"/>
      <sheetName val="Cover_Page4"/>
      <sheetName val="Approved_INR_Claimed_Log_(2)4"/>
      <sheetName val="INR_Data4"/>
      <sheetName val="Dec_OCR4"/>
      <sheetName val="OCR_(APR4"/>
      <sheetName val="Survey_4"/>
      <sheetName val="INR_Summary_Sheet4"/>
      <sheetName val="ITR_Form_(Rev0)4"/>
      <sheetName val="ITR_Form_(SS)4"/>
      <sheetName val="ITR_Form_(Rev1)4"/>
      <sheetName val="Method_Statements4"/>
      <sheetName val="SI_224"/>
      <sheetName val="TO_List4"/>
      <sheetName val="CCTV_DATA4"/>
      <sheetName val="FAL_intern4"/>
      <sheetName val="B_Room_W_Done_Progress1"/>
      <sheetName val="SUMMARY_(ROOM)1"/>
      <sheetName val="W_D_Prgress_Public_area1"/>
      <sheetName val="SUMMARY_Public1"/>
      <sheetName val="Tender_Stage"/>
      <sheetName val="Delay_Clasifications"/>
      <sheetName val="PA_Milestones"/>
      <sheetName val="[SHOPLIST.xls]_VW__VU________20"/>
      <sheetName val="[SHOPLIST.xls]_VW__VU________21"/>
      <sheetName val="[SHOPLIST.xls]70_x005f_x0000___0_x_11"/>
      <sheetName val="[SHOPLIST.xls]70___0_s__i____30"/>
      <sheetName val="[SHOPLIST.xls]70___0_s__i____31"/>
      <sheetName val="[SHOPLIST.xls]70_x005f_x005f_x005f_x0000__9"/>
      <sheetName val="5.1-AB"/>
      <sheetName val="[SHOPLIST.xls]70_x005f_x005f_x005f_x0000_10"/>
      <sheetName val="[SHOPLIST.xls]70___0_s__i____32"/>
      <sheetName val="[SHOPLIST.xls]_VW__VU________22"/>
      <sheetName val="[SHOPLIST.xls]_VW__VU________23"/>
      <sheetName val="[SHOPLIST.xls]70_x005f_x0000___0_x_12"/>
      <sheetName val="[SHOPLIST.xls]70___0_s__i____33"/>
      <sheetName val="[SHOPLIST.xls]70___0_s__i____34"/>
      <sheetName val="[SHOPLIST.xls]70___0_s__i____35"/>
      <sheetName val="[SHOPLIST.xls]70_x005f_x005f_x005f_x0000_11"/>
      <sheetName val="cables"/>
      <sheetName val="[SHOPLIST.xls]_SHOPLIST_xl_1193"/>
      <sheetName val="[SHOPLIST.xls]_SHOPLIST_xl_1194"/>
      <sheetName val="[SHOPLIST.xls]_SHOPLIST_xl_1195"/>
      <sheetName val="[SHOPLIST.xls]_SHOPLIST_xl_1196"/>
      <sheetName val="[SHOPLIST.xls]_SHOPLIST_xl_1197"/>
      <sheetName val="[SHOPLIST.xls]_SHOPLIST_xl_1198"/>
      <sheetName val="[SHOPLIST.xls]_SHOPLIST_xl_1199"/>
      <sheetName val="[SHOPLIST.xls]_SHOPLIST_xl_1200"/>
      <sheetName val="[SHOPLIST.xls]_SHOPLIST_xl_1201"/>
      <sheetName val="[SHOPLIST.xls]_SHOPLIST_xl_1202"/>
      <sheetName val="[SHOPLIST.xls]_SHOPLIST_xl_1203"/>
      <sheetName val="[SHOPLIST.xls]_SHOPLIST_xl_1204"/>
      <sheetName val="[SHOPLIST.xls]_SHOPLIST_xl_1205"/>
      <sheetName val="[SHOPLIST.xls]_SHOPLIST_xl_1206"/>
      <sheetName val="[SHOPLIST.xls]_SHOPLIST_xl_1207"/>
      <sheetName val="[SHOPLIST.xls]_SHOPLIST_xl_1208"/>
      <sheetName val="[SHOPLIST.xls]_SHOPLIST_xl_1209"/>
      <sheetName val="[SHOPLIST.xls]_SHOPLIST_xl_1210"/>
      <sheetName val="[SHOPLIST.xls]_SHOPLIST_xl_1211"/>
      <sheetName val="[SHOPLIST.xls]_SHOPLIST_xl_1212"/>
      <sheetName val="[SHOPLIST.xls]_SHOPLIST_xl_1213"/>
      <sheetName val="[SHOPLIST.xls]_SHOPLIST_xl_1214"/>
      <sheetName val="[SHOPLIST.xls]_SHOPLIST_xl_1215"/>
      <sheetName val="[SHOPLIST.xls]_SHOPLIST_xl_1216"/>
      <sheetName val="[SHOPLIST.xls]_SHOPLIST_xl_1217"/>
      <sheetName val="[SHOPLIST.xls]_SHOPLIST_xl_1218"/>
      <sheetName val="[SHOPLIST.xls]_SHOPLIST_xl_1219"/>
      <sheetName val="[SHOPLIST.xls]_SHOPLIST_xl_1220"/>
      <sheetName val="[SHOPLIST.xls]_SHOPLIST_xl_1221"/>
      <sheetName val="[SHOPLIST.xls]_SHOPLIST_xl_1222"/>
      <sheetName val="[SHOPLIST.xls]_VW__VU________24"/>
      <sheetName val="[SHOPLIST.xls]_VW__VU________25"/>
      <sheetName val="[SHOPLIST.xls]70_x005f_x0000___0_x_13"/>
      <sheetName val="[SHOPLIST.xls]70___0_s__i____36"/>
      <sheetName val="[SHOPLIST.xls]70___0_s__i____37"/>
      <sheetName val="[SHOPLIST.xls]_SHOPLIST_xl_1223"/>
      <sheetName val="[SHOPLIST.xls]_SHOPLIST_xl_1224"/>
      <sheetName val="[SHOPLIST.xls]_SHOPLIST_xl_1225"/>
      <sheetName val="[SHOPLIST.xls]_SHOPLIST_xl_1226"/>
      <sheetName val="[SHOPLIST.xls]_SHOPLIST_xl_1227"/>
      <sheetName val="[SHOPLIST.xls]_SHOPLIST_xl_1228"/>
      <sheetName val="[SHOPLIST.xls]_SHOPLIST_xl_1229"/>
      <sheetName val="[SHOPLIST.xls]_SHOPLIST_xl_1230"/>
      <sheetName val="[SHOPLIST.xls]_SHOPLIST_xl_1231"/>
      <sheetName val="[SHOPLIST.xls]_SHOPLIST_xl_1232"/>
      <sheetName val="[SHOPLIST.xls]_SHOPLIST_xl_1233"/>
      <sheetName val="[SHOPLIST.xls]_SHOPLIST_xl_1234"/>
      <sheetName val="[SHOPLIST.xls]_SHOPLIST_xl_1235"/>
      <sheetName val="[SHOPLIST.xls]_SHOPLIST_xl_1236"/>
      <sheetName val="[SHOPLIST.xls]_SHOPLIST_xl_1237"/>
      <sheetName val="[SHOPLIST.xls]_SHOPLIST_xl_1238"/>
      <sheetName val="[SHOPLIST.xls]_SHOPLIST_xl_1239"/>
      <sheetName val="[SHOPLIST.xls]_SHOPLIST_xl_1240"/>
      <sheetName val="[SHOPLIST.xls]_SHOPLIST_xl_1241"/>
      <sheetName val="[SHOPLIST.xls]_SHOPLIST_xl_1242"/>
      <sheetName val="[SHOPLIST.xls]_SHOPLIST_xl_1243"/>
      <sheetName val="[SHOPLIST.xls]_SHOPLIST_xl_1244"/>
      <sheetName val="[SHOPLIST.xls]_SHOPLIST_xl_1245"/>
      <sheetName val="[SHOPLIST.xls]_SHOPLIST_xl_1246"/>
      <sheetName val="[SHOPLIST.xls]_SHOPLIST_xl_1247"/>
      <sheetName val="[SHOPLIST.xls]_SHOPLIST_xl_1248"/>
      <sheetName val="[SHOPLIST.xls]_SHOPLIST_xl_1249"/>
      <sheetName val="[SHOPLIST.xls]_SHOPLIST_xl_1250"/>
      <sheetName val="[SHOPLIST.xls]_SHOPLIST_xl_1251"/>
      <sheetName val="[SHOPLIST.xls]_SHOPLIST_xl_1252"/>
      <sheetName val="[SHOPLIST.xls]_SHOPLIST_xl_1253"/>
      <sheetName val="[SHOPLIST.xls]_SHOPLIST_xl_1254"/>
      <sheetName val="[SHOPLIST.xls]_SHOPLIST_xl_1255"/>
      <sheetName val="[SHOPLIST.xls]_SHOPLIST_xl_1256"/>
      <sheetName val="[SHOPLIST.xls]_SHOPLIST_xl_1257"/>
      <sheetName val="[SHOPLIST.xls]_SHOPLIST_xl_1258"/>
      <sheetName val="[SHOPLIST.xls]_SHOPLIST_xl_1259"/>
      <sheetName val="[SHOPLIST.xls]_SHOPLIST_xl_1260"/>
      <sheetName val="[SHOPLIST.xls]_SHOPLIST_xl_1261"/>
      <sheetName val="[SHOPLIST.xls]_SHOPLIST_xl_1262"/>
      <sheetName val="[SHOPLIST.xls]_SHOPLIST_xl_1263"/>
      <sheetName val="[SHOPLIST.xls]_SHOPLIST_xl_1264"/>
      <sheetName val="[SHOPLIST.xls]_SHOPLIST_xl_1265"/>
      <sheetName val="[SHOPLIST.xls]_SHOPLIST_xl_1266"/>
      <sheetName val="[SHOPLIST.xls]_SHOPLIST_xl_1267"/>
      <sheetName val="[SHOPLIST.xls]_SHOPLIST_xl_1268"/>
      <sheetName val="[SHOPLIST.xls]_SHOPLIST_xl_1269"/>
      <sheetName val="[SHOPLIST.xls]_SHOPLIST_xl_1270"/>
      <sheetName val="[SHOPLIST.xls]_SHOPLIST_xl_1271"/>
      <sheetName val="[SHOPLIST.xls]_SHOPLIST_xl_1272"/>
      <sheetName val="[SHOPLIST.xls]_SHOPLIST_xl_1273"/>
      <sheetName val="[SHOPLIST.xls]_SHOPLIST_xl_1274"/>
      <sheetName val="[SHOPLIST.xls]_SHOPLIST_xl_1275"/>
      <sheetName val="[SHOPLIST.xls]_SHOPLIST_xl_1276"/>
      <sheetName val="[SHOPLIST.xls]_SHOPLIST_xl_1277"/>
      <sheetName val="[SHOPLIST.xls]_SHOPLIST_xl_1278"/>
      <sheetName val="[SHOPLIST.xls]_SHOPLIST_xl_1279"/>
      <sheetName val="[SHOPLIST.xls]_SHOPLIST_xl_1280"/>
      <sheetName val="[SHOPLIST.xls]_SHOPLIST_xl_1281"/>
      <sheetName val="[SHOPLIST.xls]_SHOPLIST_xl_1282"/>
      <sheetName val="[SHOPLIST.xls]_SHOPLIST_xl_1283"/>
      <sheetName val="[SHOPLIST.xls]_SHOPLIST_xl_1284"/>
      <sheetName val="[SHOPLIST.xls]_SHOPLIST_xl_1285"/>
      <sheetName val="[SHOPLIST.xls]_SHOPLIST_xl_1286"/>
      <sheetName val="[SHOPLIST.xls]_SHOPLIST_xl_1287"/>
      <sheetName val="[SHOPLIST.xls]_SHOPLIST_xl_1288"/>
      <sheetName val="[SHOPLIST.xls]_SHOPLIST_xl_1289"/>
      <sheetName val="[SHOPLIST.xls]_SHOPLIST_xl_1290"/>
      <sheetName val="[SHOPLIST.xls]_SHOPLIST_xl_1291"/>
      <sheetName val="[SHOPLIST.xls]_SHOPLIST_xl_1292"/>
      <sheetName val="[SHOPLIST.xls]_SHOPLIST_xl_1293"/>
      <sheetName val="[SHOPLIST.xls]_SHOPLIST_xl_1294"/>
      <sheetName val="[SHOPLIST.xls]_SHOPLIST_xl_1295"/>
      <sheetName val="[SHOPLIST.xls]_SHOPLIST_xl_1296"/>
      <sheetName val="[SHOPLIST.xls]_SHOPLIST_xl_1297"/>
      <sheetName val="[SHOPLIST.xls]_SHOPLIST_xl_1298"/>
      <sheetName val="[SHOPLIST.xls]_SHOPLIST_xl_1299"/>
      <sheetName val="[SHOPLIST.xls]_SHOPLIST_xl_1300"/>
      <sheetName val="[SHOPLIST.xls]_SHOPLIST_xl_1301"/>
      <sheetName val="[SHOPLIST.xls]_SHOPLIST_xl_1302"/>
      <sheetName val="[SHOPLIST.xls]_SHOPLIST_xl_1303"/>
      <sheetName val="[SHOPLIST.xls]_SHOPLIST_xl_1304"/>
      <sheetName val="[SHOPLIST.xls]_SHOPLIST_xl_1305"/>
      <sheetName val="[SHOPLIST.xls]_SHOPLIST_xl_1306"/>
      <sheetName val="[SHOPLIST.xls]_SHOPLIST_xl_1307"/>
      <sheetName val="[SHOPLIST.xls]_SHOPLIST_xl_1308"/>
      <sheetName val="[SHOPLIST.xls]_SHOPLIST_xl_1309"/>
      <sheetName val="[SHOPLIST.xls]_SHOPLIST_xl_1310"/>
      <sheetName val="[SHOPLIST.xls]_SHOPLIST_xl_1311"/>
      <sheetName val="[SHOPLIST.xls]_SHOPLIST_xl_1312"/>
      <sheetName val="[SHOPLIST.xls]_SHOPLIST_xl_1313"/>
      <sheetName val="[SHOPLIST.xls]70_x005f_x005f_x005f_x0000_13"/>
      <sheetName val="[SHOPLIST.xls]_SHOPLIST_xl_1314"/>
      <sheetName val="[SHOPLIST.xls]_SHOPLIST_xl_1080"/>
      <sheetName val="[SHOPLIST.xls]_SHOPLIST_xl_1081"/>
      <sheetName val="[SHOPLIST.xls]_SHOPLIST_xl_1082"/>
      <sheetName val="[SHOPLIST.xls]_SHOPLIST_xl_1083"/>
      <sheetName val="[SHOPLIST.xls]_SHOPLIST_xl_1084"/>
      <sheetName val="[SHOPLIST.xls]_SHOPLIST_xl_1085"/>
      <sheetName val="[SHOPLIST.xls]_SHOPLIST_xl_1086"/>
      <sheetName val="[SHOPLIST.xls]_SHOPLIST_xl_1087"/>
      <sheetName val="[SHOPLIST.xls]_SHOPLIST_xl_1088"/>
      <sheetName val="[SHOPLIST.xls]_SHOPLIST_xl_1089"/>
      <sheetName val="[SHOPLIST.xls]_SHOPLIST_xl_1090"/>
      <sheetName val="[SHOPLIST.xls]_SHOPLIST_xl_1091"/>
      <sheetName val="[SHOPLIST.xls]_SHOPLIST_xl_1092"/>
      <sheetName val="[SHOPLIST.xls]_SHOPLIST_xl_1093"/>
      <sheetName val="[SHOPLIST.xls]_SHOPLIST_xl_1094"/>
      <sheetName val="[SHOPLIST.xls]_SHOPLIST_xl_1095"/>
      <sheetName val="[SHOPLIST.xls]_SHOPLIST_xl_1096"/>
      <sheetName val="[SHOPLIST.xls]_SHOPLIST_xl_1097"/>
      <sheetName val="[SHOPLIST.xls]_SHOPLIST_xl_1098"/>
      <sheetName val="[SHOPLIST.xls]_SHOPLIST_xl_1099"/>
      <sheetName val="[SHOPLIST.xls]_SHOPLIST_xl_1100"/>
      <sheetName val="[SHOPLIST.xls]_SHOPLIST_xl_1101"/>
      <sheetName val="[SHOPLIST.xls]_SHOPLIST_xl_1102"/>
      <sheetName val="[SHOPLIST.xls]_SHOPLIST_xl_1103"/>
      <sheetName val="[SHOPLIST.xls]_SHOPLIST_xl_1104"/>
      <sheetName val="[SHOPLIST.xls]_SHOPLIST_xl_1105"/>
      <sheetName val="[SHOPLIST.xls]_SHOPLIST_xl_1106"/>
      <sheetName val="[SHOPLIST.xls]_SHOPLIST_xl_1107"/>
      <sheetName val="[SHOPLIST.xls]_SHOPLIST_xl_1108"/>
      <sheetName val="[SHOPLIST.xls]_SHOPLIST_xl_1109"/>
      <sheetName val="[SHOPLIST.xls]_SHOPLIST_xl_1110"/>
      <sheetName val="[SHOPLIST.xls]_SHOPLIST_xl_1111"/>
      <sheetName val="[SHOPLIST.xls]_SHOPLIST_xl_1112"/>
      <sheetName val="[SHOPLIST.xls]_SHOPLIST_xl_1113"/>
      <sheetName val="[SHOPLIST.xls]_SHOPLIST_xl_1114"/>
      <sheetName val="[SHOPLIST.xls]_SHOPLIST_xl_1115"/>
      <sheetName val="[SHOPLIST.xls]_SHOPLIST_xl_1116"/>
      <sheetName val="[SHOPLIST.xls]_SHOPLIST_xl_1117"/>
      <sheetName val="[SHOPLIST.xls]_SHOPLIST_xl_1118"/>
      <sheetName val="[SHOPLIST.xls]_SHOPLIST_xl_1119"/>
      <sheetName val="[SHOPLIST.xls]_SHOPLIST_xl_1120"/>
      <sheetName val="[SHOPLIST.xls]_SHOPLIST_xl_1121"/>
      <sheetName val="[SHOPLIST.xls]_SHOPLIST_xl_1122"/>
      <sheetName val="[SHOPLIST.xls]_SHOPLIST_xl_1123"/>
      <sheetName val="[SHOPLIST.xls]_SHOPLIST_xl_1124"/>
      <sheetName val="[SHOPLIST.xls]_SHOPLIST_xl_1125"/>
      <sheetName val="[SHOPLIST.xls]_SHOPLIST_xl_1126"/>
      <sheetName val="[SHOPLIST.xls]_SHOPLIST_xl_1127"/>
      <sheetName val="[SHOPLIST.xls]_SHOPLIST_xl_1128"/>
      <sheetName val="[SHOPLIST.xls]_SHOPLIST_xl_1129"/>
      <sheetName val="[SHOPLIST.xls]_SHOPLIST_xl_1130"/>
      <sheetName val="[SHOPLIST.xls]_SHOPLIST_xl_1131"/>
      <sheetName val="[SHOPLIST.xls]_SHOPLIST_xl_1132"/>
      <sheetName val="[SHOPLIST.xls]_SHOPLIST_xl_1133"/>
      <sheetName val="[SHOPLIST.xls]_SHOPLIST_xl_1134"/>
      <sheetName val="[SHOPLIST.xls]_SHOPLIST_xl_1135"/>
      <sheetName val="[SHOPLIST.xls]_SHOPLIST_xl_1136"/>
      <sheetName val="[SHOPLIST.xls]_SHOPLIST_xl_1137"/>
      <sheetName val="[SHOPLIST.xls]_SHOPLIST_xl_1138"/>
      <sheetName val="[SHOPLIST.xls]_SHOPLIST_xl_1139"/>
      <sheetName val="[SHOPLIST.xls]_SHOPLIST_xl_1140"/>
      <sheetName val="[SHOPLIST.xls]_SHOPLIST_xl_1141"/>
      <sheetName val="[SHOPLIST.xls]_SHOPLIST_xl_1142"/>
      <sheetName val="[SHOPLIST.xls]_SHOPLIST_xl_1143"/>
      <sheetName val="[SHOPLIST.xls]_SHOPLIST_xl_1144"/>
      <sheetName val="[SHOPLIST.xls]_SHOPLIST_xl_1145"/>
      <sheetName val="[SHOPLIST.xls]_SHOPLIST_xl_1146"/>
      <sheetName val="[SHOPLIST.xls]_SHOPLIST_xl_1147"/>
      <sheetName val="[SHOPLIST.xls]_SHOPLIST_xl_1148"/>
      <sheetName val="[SHOPLIST.xls]_SHOPLIST_xl_1149"/>
      <sheetName val="[SHOPLIST.xls]_SHOPLIST_xl_1150"/>
      <sheetName val="[SHOPLIST.xls]_SHOPLIST_xl_1151"/>
      <sheetName val="[SHOPLIST.xls]_SHOPLIST_xl_1152"/>
      <sheetName val="[SHOPLIST.xls]_SHOPLIST_xl_1153"/>
      <sheetName val="[SHOPLIST.xls]_SHOPLIST_xl_1154"/>
      <sheetName val="[SHOPLIST.xls]_SHOPLIST_xl_1155"/>
      <sheetName val="[SHOPLIST.xls]_SHOPLIST_xl_1156"/>
      <sheetName val="[SHOPLIST.xls]_SHOPLIST_xl_1157"/>
      <sheetName val="[SHOPLIST.xls]_SHOPLIST_xl_1158"/>
      <sheetName val="[SHOPLIST.xls]_SHOPLIST_xl_1159"/>
      <sheetName val="[SHOPLIST.xls]_SHOPLIST_xl_1160"/>
      <sheetName val="[SHOPLIST.xls]_SHOPLIST_xl_1161"/>
      <sheetName val="[SHOPLIST.xls]_SHOPLIST_xl_1162"/>
      <sheetName val="[SHOPLIST.xls]_SHOPLIST_xl_1163"/>
      <sheetName val="[SHOPLIST.xls]_SHOPLIST_xl_1164"/>
      <sheetName val="[SHOPLIST.xls]_SHOPLIST_xl_1165"/>
      <sheetName val="[SHOPLIST.xls]_SHOPLIST_xl_1166"/>
      <sheetName val="[SHOPLIST.xls]_SHOPLIST_xl_1167"/>
      <sheetName val="[SHOPLIST.xls]_SHOPLIST_xl_1168"/>
      <sheetName val="[SHOPLIST.xls]_SHOPLIST_xl_1169"/>
      <sheetName val="[SHOPLIST.xls]_SHOPLIST_xl_1170"/>
      <sheetName val="[SHOPLIST.xls]_SHOPLIST_xl_1171"/>
      <sheetName val="[SHOPLIST.xls]_SHOPLIST_xl_1172"/>
      <sheetName val="[SHOPLIST.xls]_SHOPLIST_xl_1173"/>
      <sheetName val="[SHOPLIST.xls]_SHOPLIST_xl_1174"/>
      <sheetName val="[SHOPLIST.xls]_SHOPLIST_xl_1175"/>
      <sheetName val="[SHOPLIST.xls]_SHOPLIST_xl_1176"/>
      <sheetName val="[SHOPLIST.xls]_SHOPLIST_xl_1177"/>
      <sheetName val="[SHOPLIST.xls]_SHOPLIST_xl_1178"/>
      <sheetName val="[SHOPLIST.xls]_SHOPLIST_xl_1179"/>
      <sheetName val="[SHOPLIST.xls]_SHOPLIST_xl_1180"/>
      <sheetName val="[SHOPLIST.xls]_SHOPLIST_xl_1181"/>
      <sheetName val="[SHOPLIST.xls]_SHOPLIST_xl_1182"/>
      <sheetName val="[SHOPLIST.xls]_SHOPLIST_xl_1183"/>
      <sheetName val="[SHOPLIST.xls]_SHOPLIST_xl_1184"/>
      <sheetName val="[SHOPLIST.xls]_SHOPLIST_xl_1185"/>
      <sheetName val="[SHOPLIST.xls]_SHOPLIST_xl_1186"/>
      <sheetName val="[SHOPLIST.xls]70_x005f_x005f_x005f_x0000_12"/>
      <sheetName val="[SHOPLIST.xls]_SHOPLIST_xl_1187"/>
      <sheetName val="[SHOPLIST.xls]_SHOPLIST_xl_1188"/>
      <sheetName val="[SHOPLIST.xls]_SHOPLIST_xl_1189"/>
      <sheetName val="[SHOPLIST.xls]_SHOPLIST_xl_1190"/>
      <sheetName val="[SHOPLIST.xls]_SHOPLIST_xl_1191"/>
      <sheetName val="[SHOPLIST.xls]_SHOPLIST_xl_1192"/>
      <sheetName val="[SHOPLIST_xls]70,/0_x000"/>
      <sheetName val="_SHOPLIST_xls_70_x005f_x0000_,_0_x000"/>
      <sheetName val="[SHOPLIST_xls]70___0_s__i____14"/>
      <sheetName val="[SHOPLIST_xls]_VW__VU________10"/>
      <sheetName val="[SHOPLIST_xls]_VW__VU________11"/>
      <sheetName val="[SHOPLIST_xls]70_x005f_x0000___0_x0_6"/>
      <sheetName val="[SHOPLIST_xls]70___0_s__i____15"/>
      <sheetName val="[SHOPLIST_xls]_SHOPLIST_xls_464"/>
      <sheetName val="[SHOPLIST_xls]_SHOPLIST_xls_465"/>
      <sheetName val="[SHOPLIST_xls]70___0_s__i____16"/>
      <sheetName val="[SHOPLIST_xls]_SHOPLIST_xls_466"/>
      <sheetName val="[SHOPLIST_xls]_SHOPLIST_xls_467"/>
      <sheetName val="[SHOPLIST_xls]_SHOPLIST_xls_468"/>
      <sheetName val="[SHOPLIST_xls]_SHOPLIST_xls_469"/>
      <sheetName val="[SHOPLIST_xls]_SHOPLIST_xls_470"/>
      <sheetName val="[SHOPLIST_xls]_SHOPLIST_xls_471"/>
      <sheetName val="[SHOPLIST_xls]_SHOPLIST_xls_472"/>
      <sheetName val="[SHOPLIST_xls]_SHOPLIST_xls_473"/>
      <sheetName val="[SHOPLIST_xls]_SHOPLIST_xls_474"/>
      <sheetName val="[SHOPLIST_xls]_SHOPLIST_xls_475"/>
      <sheetName val="[SHOPLIST_xls]_SHOPLIST_xls_476"/>
      <sheetName val="[SHOPLIST_xls]_SHOPLIST_xls_477"/>
      <sheetName val="[SHOPLIST_xls]_SHOPLIST_xls_478"/>
      <sheetName val="[SHOPLIST_xls]_SHOPLIST_xls_479"/>
      <sheetName val="[SHOPLIST_xls]_SHOPLIST_xls_480"/>
      <sheetName val="[SHOPLIST_xls]_SHOPLIST_xls_481"/>
      <sheetName val="[SHOPLIST_xls]_SHOPLIST_xls_482"/>
      <sheetName val="[SHOPLIST_xls]_SHOPLIST_xls_483"/>
      <sheetName val="[SHOPLIST_xls]_SHOPLIST_xls_484"/>
      <sheetName val="[SHOPLIST_xls]_SHOPLIST_xls_485"/>
      <sheetName val="[SHOPLIST_xls]_SHOPLIST_xls_486"/>
      <sheetName val="[SHOPLIST_xls]_SHOPLIST_xls_487"/>
      <sheetName val="[SHOPLIST_xls]_SHOPLIST_xls_488"/>
      <sheetName val="[SHOPLIST_xls]_SHOPLIST_xls_489"/>
      <sheetName val="[SHOPLIST_xls]_SHOPLIST_xls_490"/>
      <sheetName val="[SHOPLIST_xls]_SHOPLIST_xls_491"/>
      <sheetName val="[SHOPLIST_xls]_SHOPLIST_xls_492"/>
      <sheetName val="[SHOPLIST_xls]_SHOPLIST_xls_493"/>
      <sheetName val="[SHOPLIST_xls]_SHOPLIST_xls_494"/>
      <sheetName val="[SHOPLIST_xls]_SHOPLIST_xls_495"/>
      <sheetName val="[SHOPLIST_xls]_SHOPLIST_xls_496"/>
      <sheetName val="[SHOPLIST_xls]_SHOPLIST_xls_497"/>
      <sheetName val="[SHOPLIST_xls]_SHOPLIST_xls_498"/>
      <sheetName val="[SHOPLIST_xls]_SHOPLIST_xls_499"/>
      <sheetName val="[SHOPLIST_xls]_SHOPLIST_xls_500"/>
      <sheetName val="[SHOPLIST_xls]_SHOPLIST_xls_501"/>
      <sheetName val="[SHOPLIST_xls]_SHOPLIST_xls_502"/>
      <sheetName val="[SHOPLIST_xls]_SHOPLIST_xls_503"/>
      <sheetName val="[SHOPLIST_xls]_SHOPLIST_xls_504"/>
      <sheetName val="[SHOPLIST_xls]_SHOPLIST_xls_505"/>
      <sheetName val="[SHOPLIST_xls]_SHOPLIST_xls_506"/>
      <sheetName val="[SHOPLIST_xls]_SHOPLIST_xls_507"/>
      <sheetName val="[SHOPLIST_xls]_SHOPLIST_xls_508"/>
      <sheetName val="[SHOPLIST_xls]_SHOPLIST_xls_509"/>
      <sheetName val="[SHOPLIST_xls]_SHOPLIST_xls_510"/>
      <sheetName val="[SHOPLIST_xls]_SHOPLIST_xls_511"/>
      <sheetName val="[SHOPLIST_xls]_SHOPLIST_xls_512"/>
      <sheetName val="[SHOPLIST_xls]_SHOPLIST_xls_513"/>
      <sheetName val="[SHOPLIST_xls]_SHOPLIST_xls_514"/>
      <sheetName val="[SHOPLIST_xls]_SHOPLIST_xls_515"/>
      <sheetName val="[SHOPLIST_xls]_SHOPLIST_xls_516"/>
      <sheetName val="[SHOPLIST_xls]_SHOPLIST_xls_517"/>
      <sheetName val="[SHOPLIST_xls]_SHOPLIST_xls_518"/>
      <sheetName val="[SHOPLIST_xls]_SHOPLIST_xls_519"/>
      <sheetName val="[SHOPLIST_xls]_SHOPLIST_xls_520"/>
      <sheetName val="[SHOPLIST_xls]_SHOPLIST_xls_521"/>
      <sheetName val="[SHOPLIST_xls]_SHOPLIST_xls_522"/>
      <sheetName val="[SHOPLIST_xls]_SHOPLIST_xls_523"/>
      <sheetName val="[SHOPLIST_xls]_SHOPLIST_xls_524"/>
      <sheetName val="[SHOPLIST_xls]_SHOPLIST_xls_525"/>
      <sheetName val="[SHOPLIST_xls]_SHOPLIST_xls_526"/>
      <sheetName val="[SHOPLIST_xls]_SHOPLIST_xls_527"/>
      <sheetName val="[SHOPLIST_xls]_SHOPLIST_xls_528"/>
      <sheetName val="[SHOPLIST_xls]_SHOPLIST_xls_529"/>
      <sheetName val="[SHOPLIST_xls]_SHOPLIST_xls_530"/>
      <sheetName val="[SHOPLIST_xls]_SHOPLIST_xls_531"/>
      <sheetName val="[SHOPLIST_xls]_SHOPLIST_xls_532"/>
      <sheetName val="[SHOPLIST_xls]_SHOPLIST_xls_533"/>
      <sheetName val="[SHOPLIST_xls]_SHOPLIST_xls_534"/>
      <sheetName val="[SHOPLIST_xls]_SHOPLIST_xls_535"/>
      <sheetName val="[SHOPLIST_xls]_SHOPLIST_xls_536"/>
      <sheetName val="[SHOPLIST_xls]_SHOPLIST_xls_537"/>
      <sheetName val="[SHOPLIST_xls]_SHOPLIST_xls_538"/>
      <sheetName val="[SHOPLIST_xls]_SHOPLIST_xls_539"/>
      <sheetName val="[SHOPLIST_xls]_SHOPLIST_xls_540"/>
      <sheetName val="[SHOPLIST_xls]_SHOPLIST_xls_541"/>
      <sheetName val="[SHOPLIST_xls]_SHOPLIST_xls_542"/>
      <sheetName val="[SHOPLIST_xls]_SHOPLIST_xls_543"/>
      <sheetName val="[SHOPLIST_xls]_SHOPLIST_xls_544"/>
      <sheetName val="[SHOPLIST_xls]_SHOPLIST_xls_545"/>
      <sheetName val="[SHOPLIST_xls]_SHOPLIST_xls_546"/>
      <sheetName val="[SHOPLIST_xls]_SHOPLIST_xls_547"/>
      <sheetName val="[SHOPLIST_xls]_SHOPLIST_xls_548"/>
      <sheetName val="[SHOPLIST_xls]_SHOPLIST_xls_549"/>
      <sheetName val="[SHOPLIST_xls]_SHOPLIST_xls_550"/>
      <sheetName val="[SHOPLIST_xls]_SHOPLIST_xls_551"/>
      <sheetName val="[SHOPLIST_xls]_SHOPLIST_xls_552"/>
      <sheetName val="[SHOPLIST_xls]_SHOPLIST_xls_553"/>
      <sheetName val="[SHOPLIST_xls]_SHOPLIST_xls_554"/>
      <sheetName val="[SHOPLIST_xls]_SHOPLIST_xls_555"/>
      <sheetName val="[SHOPLIST_xls]_SHOPLIST_xls_556"/>
      <sheetName val="[SHOPLIST_xls]_SHOPLIST_xls_557"/>
      <sheetName val="[SHOPLIST_xls]_SHOPLIST_xls_558"/>
      <sheetName val="[SHOPLIST_xls]_SHOPLIST_xls_559"/>
      <sheetName val="[SHOPLIST_xls]_SHOPLIST_xls_560"/>
      <sheetName val="[SHOPLIST_xls]_SHOPLIST_xls_561"/>
      <sheetName val="[SHOPLIST_xls]_SHOPLIST_xls_562"/>
      <sheetName val="[SHOPLIST_xls]_SHOPLIST_xls_563"/>
      <sheetName val="[SHOPLIST_xls]_SHOPLIST_xls_564"/>
      <sheetName val="[SHOPLIST_xls]_SHOPLIST_xls_565"/>
      <sheetName val="[SHOPLIST_xls]_SHOPLIST_xls_566"/>
      <sheetName val="[SHOPLIST_xls]_SHOPLIST_xls_567"/>
      <sheetName val="[SHOPLIST_xls]_SHOPLIST_xls_568"/>
      <sheetName val="[SHOPLIST_xls]_SHOPLIST_xls_569"/>
      <sheetName val="[SHOPLIST_xls]_SHOPLIST_xls_570"/>
      <sheetName val="[SHOPLIST_xls]_SHOPLIST_xls_571"/>
      <sheetName val="[SHOPLIST_xls]_SHOPLIST_xls_572"/>
      <sheetName val="[SHOPLIST_xls]_SHOPLIST_xls_573"/>
      <sheetName val="[SHOPLIST_xls]_SHOPLIST_xls_574"/>
      <sheetName val="[SHOPLIST_xls]_SHOPLIST_xls_575"/>
      <sheetName val="[SHOPLIST_xls]_SHOPLIST_xls_576"/>
      <sheetName val="[SHOPLIST_xls]_SHOPLIST_xls_577"/>
      <sheetName val="[SHOPLIST_xls]_SHOPLIST_xls_578"/>
      <sheetName val="[SHOPLIST_xls]_SHOPLIST_xls_579"/>
      <sheetName val="[SHOPLIST_xls]_SHOPLIST_xls_580"/>
      <sheetName val="[SHOPLIST_xls]_SHOPLIST_xls_581"/>
      <sheetName val="[SHOPLIST_xls]_SHOPLIST_xls_582"/>
      <sheetName val="[SHOPLIST_xls]_SHOPLIST_xls_583"/>
      <sheetName val="[SHOPLIST_xls]_SHOPLIST_xls_584"/>
      <sheetName val="[SHOPLIST_xls]_SHOPLIST_xls_585"/>
      <sheetName val="[SHOPLIST_xls]_SHOPLIST_xls_586"/>
      <sheetName val="[SHOPLIST_xls]_SHOPLIST_xls_587"/>
      <sheetName val="[SHOPLIST_xls]_SHOPLIST_xls_588"/>
      <sheetName val="[SHOPLIST_xls]_SHOPLIST_xls_589"/>
      <sheetName val="[SHOPLIST_xls]_SHOPLIST_xls_590"/>
      <sheetName val="[SHOPLIST_xls]_SHOPLIST_xls_591"/>
      <sheetName val="[SHOPLIST_xls]_SHOPLIST_xls_592"/>
      <sheetName val="[SHOPLIST_xls]_SHOPLIST_xls_593"/>
      <sheetName val="[SHOPLIST_xls]_SHOPLIST_xls_594"/>
      <sheetName val="[SHOPLIST_xls]_SHOPLIST_xls_595"/>
      <sheetName val="[SHOPLIST_xls]_SHOPLIST_xls_596"/>
      <sheetName val="[SHOPLIST_xls]_SHOPLIST_xls_597"/>
      <sheetName val="[SHOPLIST_xls]_SHOPLIST_xls_598"/>
      <sheetName val="[SHOPLIST_xls]_SHOPLIST_xls_599"/>
      <sheetName val="[SHOPLIST_xls]_SHOPLIST_xls_600"/>
      <sheetName val="[SHOPLIST_xls]_SHOPLIST_xls_601"/>
      <sheetName val="[SHOPLIST_xls]_SHOPLIST_xls_602"/>
      <sheetName val="[SHOPLIST_xls]_SHOPLIST_xls_603"/>
      <sheetName val="[SHOPLIST_xls]70_x005f_x005f_x005f_x0000__5"/>
      <sheetName val="[SHOPLIST_xls]_SHOPLIST_xls_604"/>
      <sheetName val="[SHOPLIST_xls]_SHOPLIST_xls_605"/>
      <sheetName val="[SHOPLIST_xls]_SHOPLIST_xls_606"/>
      <sheetName val="[SHOPLIST_xls]_SHOPLIST_xls_607"/>
      <sheetName val="[SHOPLIST_xls]_SHOPLIST_xls_608"/>
      <sheetName val="[SHOPLIST_xls]_SHOPLIST_xls_609"/>
      <sheetName val="satış_planı_(2)"/>
      <sheetName val="[SIOPLIST.yls]_SHOPLIST_xls_491"/>
      <sheetName val="[SIOPLHST.yls]^SHOQLIST_xls_508"/>
      <sheetName val="[SHOPLIST.xls]_SHOQLISU_xlr_524"/>
      <sheetName val="[SIOPLHST.xls]_SHOPLIST_xlr_535"/>
      <sheetName val="[SHOPLIST.xls]^SHOPLIST_xls_537"/>
      <sheetName val="[SHOPLIST.xls]_SHOPLIST_xlr_539"/>
      <sheetName val="Mnhr_Book_Updated_11_10_2018"/>
      <sheetName val="All BGL List"/>
      <sheetName val="Budget Config"/>
      <sheetName val="All Department List"/>
      <sheetName val="foot-slab_reinl"/>
      <sheetName val="Admin TAKE OFF"/>
      <sheetName val="Doi_so1"/>
      <sheetName val="CỘT_+_VÁCH_B2-B41"/>
      <sheetName val="Du_thau1"/>
      <sheetName val="Door_&amp;_Window-_Schedule1"/>
      <sheetName val="Buy_vs__Lease_Car1"/>
      <sheetName val="GIÁ_TRỊ_GĐ21"/>
      <sheetName val="GIẤY_ĐỀ_NGHỊ_THANH_TOÁN_GĐ11"/>
      <sheetName val="GIẤY_ĐỀ_NGHỊ_THANH_TOÁN_GĐ21"/>
      <sheetName val="bìa_trước1"/>
      <sheetName val="bìa_sau1"/>
      <sheetName val="DANH_MỤC1"/>
      <sheetName val="BẢNG_THDG1"/>
      <sheetName val="BẢNG_DG1"/>
      <sheetName val="BẢNG_THỐNG_KÊ1"/>
      <sheetName val="HUTKHOI_21"/>
      <sheetName val="WC_21"/>
      <sheetName val="GIO_TUOI_21"/>
      <sheetName val="GIO_THẢI_21"/>
      <sheetName val="TAO_AP1"/>
      <sheetName val="BOQ(ELEC)_1"/>
      <sheetName val="Điện_căn_hộ041"/>
      <sheetName val="Điện_căn_hộ051"/>
      <sheetName val="Điện_căn_hộ091"/>
      <sheetName val="Điện_căn_hộ101"/>
      <sheetName val="Điện_căn_hộ111"/>
      <sheetName val="Điện_căn_hộ121"/>
      <sheetName val="Điện_căn_hộ131"/>
      <sheetName val="Điện_căn_hộ171"/>
      <sheetName val="Điện_căn_hộ_181"/>
      <sheetName val="Điện_căn_hộ_211"/>
      <sheetName val="CS+OC+CSSC_HL1"/>
      <sheetName val="CN_CH1"/>
      <sheetName val="Tong_hop1"/>
      <sheetName val="MTO_REV_2_ARMOR_1"/>
      <sheetName val="Liệt_kê1"/>
      <sheetName val="Vat_tu_XD1"/>
      <sheetName val="Nhan_cong1"/>
      <sheetName val="Ｎｏ_131"/>
      <sheetName val="Budget_Code1"/>
      <sheetName val="Geneí¬"/>
      <sheetName val="70,_0_"/>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A__Electrical"/>
      <sheetName val="70,/0"/>
      <sheetName val="_SHOPLIST_xls_70,_0s«iÆøí¬1"/>
      <sheetName val="Priced_BOQ"/>
      <sheetName val="TH_thiet_bi"/>
      <sheetName val="TH_vat_tu"/>
      <sheetName val="TH_may_TC"/>
      <sheetName val="Bang_phan_tich"/>
      <sheetName val="DM_Chi_phi"/>
      <sheetName val="Gra¦)???VW?????????_U"/>
      <sheetName val="/VW?VU?)???)??????tÏØ0 ?? "/>
      <sheetName val="/VW?VU?)???)??????tÏØ0_??_"/>
      <sheetName val="[SHOPLIST_xls]70?,/0?s«i?Æøí¬"/>
      <sheetName val="Geneí¬i??_x0"/>
      <sheetName val="70?,_0?s«i_x"/>
      <sheetName val="Gra¦)??_x0"/>
      <sheetName val="_SHOPLIST_xls_70?,_0_x000"/>
      <sheetName val="70?,/0?s«i_x"/>
      <sheetName val="[SHOPLIST_xls]70?,/0?s«i_x"/>
      <sheetName val="Geneí¬_i??_?0_"/>
      <sheetName val="70?,/0?s«_i?Æø_í¬_i?"/>
      <sheetName val="[SHOPLIST_xls]70?,/0?s«_i?Æø_í¬"/>
      <sheetName val="ConferenceCentre?옰ʒ䄂ʒ鵠ʐ䄂ʒ閐̐脭め?"/>
      <sheetName val="[SHOPLIST_xls]/VW?VU?)???)???"/>
      <sheetName val="VO-Curtain_Wall"/>
      <sheetName val="Bar_Sched"/>
      <sheetName val="Fitout"/>
      <sheetName val="Bill of Qty MEP"/>
      <sheetName val="6MONTHS"/>
      <sheetName val="諸経費"/>
      <sheetName val="清水計算営業税率関連"/>
      <sheetName val="Goc CC"/>
      <sheetName val="DCF_5"/>
      <sheetName val="US Ship Repair Industry Growth"/>
      <sheetName val="Market Overview"/>
      <sheetName val="US Shipyard Repair Output"/>
      <sheetName val="Charts"/>
      <sheetName val="LBO"/>
      <sheetName val="Summary Financials"/>
      <sheetName val="Matl"/>
      <sheetName val="Front Sheet"/>
      <sheetName val="Indirect Costs"/>
      <sheetName val="Price"/>
      <sheetName val="3C"/>
      <sheetName val="CCTV_EST1"/>
      <sheetName val="apr_data"/>
      <sheetName val=" Factor  "/>
      <sheetName val="Histry Price"/>
      <sheetName val="WB"/>
      <sheetName val="ID Office-R1 - 23.8.20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refreshError="1"/>
      <sheetData sheetId="10442" refreshError="1"/>
      <sheetData sheetId="10443" refreshError="1"/>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efreshError="1"/>
      <sheetData sheetId="10482" refreshError="1"/>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 sheetId="10493" refreshError="1"/>
      <sheetData sheetId="10494" refreshError="1"/>
      <sheetData sheetId="10495" refreshError="1"/>
      <sheetData sheetId="10496" refreshError="1"/>
      <sheetData sheetId="10497" refreshError="1"/>
      <sheetData sheetId="10498" refreshError="1"/>
      <sheetData sheetId="10499" refreshError="1"/>
      <sheetData sheetId="10500" refreshError="1"/>
      <sheetData sheetId="10501" refreshError="1"/>
      <sheetData sheetId="10502" refreshError="1"/>
      <sheetData sheetId="10503" refreshError="1"/>
      <sheetData sheetId="10504" refreshError="1"/>
      <sheetData sheetId="10505" refreshError="1"/>
      <sheetData sheetId="10506" refreshError="1"/>
      <sheetData sheetId="10507" refreshError="1"/>
      <sheetData sheetId="10508" refreshError="1"/>
      <sheetData sheetId="10509" refreshError="1"/>
      <sheetData sheetId="10510" refreshError="1"/>
      <sheetData sheetId="10511" refreshError="1"/>
      <sheetData sheetId="10512" refreshError="1"/>
      <sheetData sheetId="10513" refreshError="1"/>
      <sheetData sheetId="10514" refreshError="1"/>
      <sheetData sheetId="10515" refreshError="1"/>
      <sheetData sheetId="10516" refreshError="1"/>
      <sheetData sheetId="10517" refreshError="1"/>
      <sheetData sheetId="10518" refreshError="1"/>
      <sheetData sheetId="10519" refreshError="1"/>
      <sheetData sheetId="10520" refreshError="1"/>
      <sheetData sheetId="10521" refreshError="1"/>
      <sheetData sheetId="10522" refreshError="1"/>
      <sheetData sheetId="10523" refreshError="1"/>
      <sheetData sheetId="10524" refreshError="1"/>
      <sheetData sheetId="10525" refreshError="1"/>
      <sheetData sheetId="10526" refreshError="1"/>
      <sheetData sheetId="10527" refreshError="1"/>
      <sheetData sheetId="10528" refreshError="1"/>
      <sheetData sheetId="10529" refreshError="1"/>
      <sheetData sheetId="10530" refreshError="1"/>
      <sheetData sheetId="10531" refreshError="1"/>
      <sheetData sheetId="10532" refreshError="1"/>
      <sheetData sheetId="10533" refreshError="1"/>
      <sheetData sheetId="10534" refreshError="1"/>
      <sheetData sheetId="10535" refreshError="1"/>
      <sheetData sheetId="10536" refreshError="1"/>
      <sheetData sheetId="10537" refreshError="1"/>
      <sheetData sheetId="10538" refreshError="1"/>
      <sheetData sheetId="10539" refreshError="1"/>
      <sheetData sheetId="10540" refreshError="1"/>
      <sheetData sheetId="10541" refreshError="1"/>
      <sheetData sheetId="10542" refreshError="1"/>
      <sheetData sheetId="10543" refreshError="1"/>
      <sheetData sheetId="10544" refreshError="1"/>
      <sheetData sheetId="10545" refreshError="1"/>
      <sheetData sheetId="10546" refreshError="1"/>
      <sheetData sheetId="10547" refreshError="1"/>
      <sheetData sheetId="10548" refreshError="1"/>
      <sheetData sheetId="10549" refreshError="1"/>
      <sheetData sheetId="10550" refreshError="1"/>
      <sheetData sheetId="10551" refreshError="1"/>
      <sheetData sheetId="10552" refreshError="1"/>
      <sheetData sheetId="10553" refreshError="1"/>
      <sheetData sheetId="10554" refreshError="1"/>
      <sheetData sheetId="10555" refreshError="1"/>
      <sheetData sheetId="10556" refreshError="1"/>
      <sheetData sheetId="10557" refreshError="1"/>
      <sheetData sheetId="10558" refreshError="1"/>
      <sheetData sheetId="10559" refreshError="1"/>
      <sheetData sheetId="10560" refreshError="1"/>
      <sheetData sheetId="10561" refreshError="1"/>
      <sheetData sheetId="10562" refreshError="1"/>
      <sheetData sheetId="10563" refreshError="1"/>
      <sheetData sheetId="10564" refreshError="1"/>
      <sheetData sheetId="10565" refreshError="1"/>
      <sheetData sheetId="10566" refreshError="1"/>
      <sheetData sheetId="10567" refreshError="1"/>
      <sheetData sheetId="10568" refreshError="1"/>
      <sheetData sheetId="10569" refreshError="1"/>
      <sheetData sheetId="10570" refreshError="1"/>
      <sheetData sheetId="10571" refreshError="1"/>
      <sheetData sheetId="10572" refreshError="1"/>
      <sheetData sheetId="10573" refreshError="1"/>
      <sheetData sheetId="10574" refreshError="1"/>
      <sheetData sheetId="10575" refreshError="1"/>
      <sheetData sheetId="10576" refreshError="1"/>
      <sheetData sheetId="10577" refreshError="1"/>
      <sheetData sheetId="10578" refreshError="1"/>
      <sheetData sheetId="10579" refreshError="1"/>
      <sheetData sheetId="10580" refreshError="1"/>
      <sheetData sheetId="10581" refreshError="1"/>
      <sheetData sheetId="10582" refreshError="1"/>
      <sheetData sheetId="10583" refreshError="1"/>
      <sheetData sheetId="10584" refreshError="1"/>
      <sheetData sheetId="10585" refreshError="1"/>
      <sheetData sheetId="10586" refreshError="1"/>
      <sheetData sheetId="10587" refreshError="1"/>
      <sheetData sheetId="10588" refreshError="1"/>
      <sheetData sheetId="10589" refreshError="1"/>
      <sheetData sheetId="10590" refreshError="1"/>
      <sheetData sheetId="10591" refreshError="1"/>
      <sheetData sheetId="10592" refreshError="1"/>
      <sheetData sheetId="10593" refreshError="1"/>
      <sheetData sheetId="10594" refreshError="1"/>
      <sheetData sheetId="10595" refreshError="1"/>
      <sheetData sheetId="10596" refreshError="1"/>
      <sheetData sheetId="10597" refreshError="1"/>
      <sheetData sheetId="10598" refreshError="1"/>
      <sheetData sheetId="10599" refreshError="1"/>
      <sheetData sheetId="10600" refreshError="1"/>
      <sheetData sheetId="10601" refreshError="1"/>
      <sheetData sheetId="10602" refreshError="1"/>
      <sheetData sheetId="10603" refreshError="1"/>
      <sheetData sheetId="10604" refreshError="1"/>
      <sheetData sheetId="10605" refreshError="1"/>
      <sheetData sheetId="10606" refreshError="1"/>
      <sheetData sheetId="10607" refreshError="1"/>
      <sheetData sheetId="10608" refreshError="1"/>
      <sheetData sheetId="10609" refreshError="1"/>
      <sheetData sheetId="10610" refreshError="1"/>
      <sheetData sheetId="10611" refreshError="1"/>
      <sheetData sheetId="10612" refreshError="1"/>
      <sheetData sheetId="10613" refreshError="1"/>
      <sheetData sheetId="10614" refreshError="1"/>
      <sheetData sheetId="10615" refreshError="1"/>
      <sheetData sheetId="10616" refreshError="1"/>
      <sheetData sheetId="10617" refreshError="1"/>
      <sheetData sheetId="10618" refreshError="1"/>
      <sheetData sheetId="10619" refreshError="1"/>
      <sheetData sheetId="10620" refreshError="1"/>
      <sheetData sheetId="10621" refreshError="1"/>
      <sheetData sheetId="10622" refreshError="1"/>
      <sheetData sheetId="10623" refreshError="1"/>
      <sheetData sheetId="10624" refreshError="1"/>
      <sheetData sheetId="10625" refreshError="1"/>
      <sheetData sheetId="10626" refreshError="1"/>
      <sheetData sheetId="10627" refreshError="1"/>
      <sheetData sheetId="10628" refreshError="1"/>
      <sheetData sheetId="10629" refreshError="1"/>
      <sheetData sheetId="10630" refreshError="1"/>
      <sheetData sheetId="10631" refreshError="1"/>
      <sheetData sheetId="10632" refreshError="1"/>
      <sheetData sheetId="10633" refreshError="1"/>
      <sheetData sheetId="10634" refreshError="1"/>
      <sheetData sheetId="10635" refreshError="1"/>
      <sheetData sheetId="10636" refreshError="1"/>
      <sheetData sheetId="10637" refreshError="1"/>
      <sheetData sheetId="10638" refreshError="1"/>
      <sheetData sheetId="10639" refreshError="1"/>
      <sheetData sheetId="10640" refreshError="1"/>
      <sheetData sheetId="10641" refreshError="1"/>
      <sheetData sheetId="10642" refreshError="1"/>
      <sheetData sheetId="10643" refreshError="1"/>
      <sheetData sheetId="10644" refreshError="1"/>
      <sheetData sheetId="10645" refreshError="1"/>
      <sheetData sheetId="10646" refreshError="1"/>
      <sheetData sheetId="10647" refreshError="1"/>
      <sheetData sheetId="10648" refreshError="1"/>
      <sheetData sheetId="10649" refreshError="1"/>
      <sheetData sheetId="10650" refreshError="1"/>
      <sheetData sheetId="10651" refreshError="1"/>
      <sheetData sheetId="10652" refreshError="1"/>
      <sheetData sheetId="10653" refreshError="1"/>
      <sheetData sheetId="10654" refreshError="1"/>
      <sheetData sheetId="10655" refreshError="1"/>
      <sheetData sheetId="10656" refreshError="1"/>
      <sheetData sheetId="10657" refreshError="1"/>
      <sheetData sheetId="10658" refreshError="1"/>
      <sheetData sheetId="10659" refreshError="1"/>
      <sheetData sheetId="10660" refreshError="1"/>
      <sheetData sheetId="10661" refreshError="1"/>
      <sheetData sheetId="10662" refreshError="1"/>
      <sheetData sheetId="10663" refreshError="1"/>
      <sheetData sheetId="10664" refreshError="1"/>
      <sheetData sheetId="10665" refreshError="1"/>
      <sheetData sheetId="10666" refreshError="1"/>
      <sheetData sheetId="10667" refreshError="1"/>
      <sheetData sheetId="10668" refreshError="1"/>
      <sheetData sheetId="10669" refreshError="1"/>
      <sheetData sheetId="10670" refreshError="1"/>
      <sheetData sheetId="10671" refreshError="1"/>
      <sheetData sheetId="10672" refreshError="1"/>
      <sheetData sheetId="10673" refreshError="1"/>
      <sheetData sheetId="10674" refreshError="1"/>
      <sheetData sheetId="10675" refreshError="1"/>
      <sheetData sheetId="10676" refreshError="1"/>
      <sheetData sheetId="10677" refreshError="1"/>
      <sheetData sheetId="10678" refreshError="1"/>
      <sheetData sheetId="10679" refreshError="1"/>
      <sheetData sheetId="10680" refreshError="1"/>
      <sheetData sheetId="10681" refreshError="1"/>
      <sheetData sheetId="10682" refreshError="1"/>
      <sheetData sheetId="10683" refreshError="1"/>
      <sheetData sheetId="10684" refreshError="1"/>
      <sheetData sheetId="10685" refreshError="1"/>
      <sheetData sheetId="10686" refreshError="1"/>
      <sheetData sheetId="10687" refreshError="1"/>
      <sheetData sheetId="10688" refreshError="1"/>
      <sheetData sheetId="10689" refreshError="1"/>
      <sheetData sheetId="10690" refreshError="1"/>
      <sheetData sheetId="10691" refreshError="1"/>
      <sheetData sheetId="10692" refreshError="1"/>
      <sheetData sheetId="10693" refreshError="1"/>
      <sheetData sheetId="10694" refreshError="1"/>
      <sheetData sheetId="10695" refreshError="1"/>
      <sheetData sheetId="10696" refreshError="1"/>
      <sheetData sheetId="10697" refreshError="1"/>
      <sheetData sheetId="10698" refreshError="1"/>
      <sheetData sheetId="10699" refreshError="1"/>
      <sheetData sheetId="10700" refreshError="1"/>
      <sheetData sheetId="10701" refreshError="1"/>
      <sheetData sheetId="10702" refreshError="1"/>
      <sheetData sheetId="10703" refreshError="1"/>
      <sheetData sheetId="10704" refreshError="1"/>
      <sheetData sheetId="10705" refreshError="1"/>
      <sheetData sheetId="10706" refreshError="1"/>
      <sheetData sheetId="10707" refreshError="1"/>
      <sheetData sheetId="10708" refreshError="1"/>
      <sheetData sheetId="10709" refreshError="1"/>
      <sheetData sheetId="10710" refreshError="1"/>
      <sheetData sheetId="10711" refreshError="1"/>
      <sheetData sheetId="10712" refreshError="1"/>
      <sheetData sheetId="10713" refreshError="1"/>
      <sheetData sheetId="10714" refreshError="1"/>
      <sheetData sheetId="10715" refreshError="1"/>
      <sheetData sheetId="10716" refreshError="1"/>
      <sheetData sheetId="10717" refreshError="1"/>
      <sheetData sheetId="10718" refreshError="1"/>
      <sheetData sheetId="10719" refreshError="1"/>
      <sheetData sheetId="10720" refreshError="1"/>
      <sheetData sheetId="10721" refreshError="1"/>
      <sheetData sheetId="10722" refreshError="1"/>
      <sheetData sheetId="10723" refreshError="1"/>
      <sheetData sheetId="10724" refreshError="1"/>
      <sheetData sheetId="10725" refreshError="1"/>
      <sheetData sheetId="10726" refreshError="1"/>
      <sheetData sheetId="10727" refreshError="1"/>
      <sheetData sheetId="10728" refreshError="1"/>
      <sheetData sheetId="10729" refreshError="1"/>
      <sheetData sheetId="10730" refreshError="1"/>
      <sheetData sheetId="10731" refreshError="1"/>
      <sheetData sheetId="10732" refreshError="1"/>
      <sheetData sheetId="10733" refreshError="1"/>
      <sheetData sheetId="10734" refreshError="1"/>
      <sheetData sheetId="10735" refreshError="1"/>
      <sheetData sheetId="10736" refreshError="1"/>
      <sheetData sheetId="10737" refreshError="1"/>
      <sheetData sheetId="10738" refreshError="1"/>
      <sheetData sheetId="10739" refreshError="1"/>
      <sheetData sheetId="10740" refreshError="1"/>
      <sheetData sheetId="10741" refreshError="1"/>
      <sheetData sheetId="10742" refreshError="1"/>
      <sheetData sheetId="10743" refreshError="1"/>
      <sheetData sheetId="10744" refreshError="1"/>
      <sheetData sheetId="10745" refreshError="1"/>
      <sheetData sheetId="10746" refreshError="1"/>
      <sheetData sheetId="10747" refreshError="1"/>
      <sheetData sheetId="10748" refreshError="1"/>
      <sheetData sheetId="10749" refreshError="1"/>
      <sheetData sheetId="10750" refreshError="1"/>
      <sheetData sheetId="10751" refreshError="1"/>
      <sheetData sheetId="10752" refreshError="1"/>
      <sheetData sheetId="10753" refreshError="1"/>
      <sheetData sheetId="10754" refreshError="1"/>
      <sheetData sheetId="10755" refreshError="1"/>
      <sheetData sheetId="10756" refreshError="1"/>
      <sheetData sheetId="10757" refreshError="1"/>
      <sheetData sheetId="10758" refreshError="1"/>
      <sheetData sheetId="10759" refreshError="1"/>
      <sheetData sheetId="10760" refreshError="1"/>
      <sheetData sheetId="10761" refreshError="1"/>
      <sheetData sheetId="10762" refreshError="1"/>
      <sheetData sheetId="10763" refreshError="1"/>
      <sheetData sheetId="10764" refreshError="1"/>
      <sheetData sheetId="10765" refreshError="1"/>
      <sheetData sheetId="10766" refreshError="1"/>
      <sheetData sheetId="10767" refreshError="1"/>
      <sheetData sheetId="10768" refreshError="1"/>
      <sheetData sheetId="10769" refreshError="1"/>
      <sheetData sheetId="10770" refreshError="1"/>
      <sheetData sheetId="10771" refreshError="1"/>
      <sheetData sheetId="10772" refreshError="1"/>
      <sheetData sheetId="10773" refreshError="1"/>
      <sheetData sheetId="10774" refreshError="1"/>
      <sheetData sheetId="10775" refreshError="1"/>
      <sheetData sheetId="10776" refreshError="1"/>
      <sheetData sheetId="10777" refreshError="1"/>
      <sheetData sheetId="10778" refreshError="1"/>
      <sheetData sheetId="10779" refreshError="1"/>
      <sheetData sheetId="10780" refreshError="1"/>
      <sheetData sheetId="10781" refreshError="1"/>
      <sheetData sheetId="10782" refreshError="1"/>
      <sheetData sheetId="10783" refreshError="1"/>
      <sheetData sheetId="10784" refreshError="1"/>
      <sheetData sheetId="10785" refreshError="1"/>
      <sheetData sheetId="10786" refreshError="1"/>
      <sheetData sheetId="10787" refreshError="1"/>
      <sheetData sheetId="10788" refreshError="1"/>
      <sheetData sheetId="10789" refreshError="1"/>
      <sheetData sheetId="10790" refreshError="1"/>
      <sheetData sheetId="10791" refreshError="1"/>
      <sheetData sheetId="10792" refreshError="1"/>
      <sheetData sheetId="10793" refreshError="1"/>
      <sheetData sheetId="10794" refreshError="1"/>
      <sheetData sheetId="10795" refreshError="1"/>
      <sheetData sheetId="10796" refreshError="1"/>
      <sheetData sheetId="10797" refreshError="1"/>
      <sheetData sheetId="10798" refreshError="1"/>
      <sheetData sheetId="10799" refreshError="1"/>
      <sheetData sheetId="10800" refreshError="1"/>
      <sheetData sheetId="10801" refreshError="1"/>
      <sheetData sheetId="10802" refreshError="1"/>
      <sheetData sheetId="10803" refreshError="1"/>
      <sheetData sheetId="10804" refreshError="1"/>
      <sheetData sheetId="10805" refreshError="1"/>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refreshError="1"/>
      <sheetData sheetId="10823" refreshError="1"/>
      <sheetData sheetId="10824" refreshError="1"/>
      <sheetData sheetId="10825" refreshError="1"/>
      <sheetData sheetId="10826" refreshError="1"/>
      <sheetData sheetId="10827" refreshError="1"/>
      <sheetData sheetId="10828" refreshError="1"/>
      <sheetData sheetId="10829" refreshError="1"/>
      <sheetData sheetId="10830" refreshError="1"/>
      <sheetData sheetId="10831" refreshError="1"/>
      <sheetData sheetId="10832" refreshError="1"/>
      <sheetData sheetId="10833" refreshError="1"/>
      <sheetData sheetId="10834" refreshError="1"/>
      <sheetData sheetId="10835" refreshError="1"/>
      <sheetData sheetId="10836" refreshError="1"/>
      <sheetData sheetId="10837" refreshError="1"/>
      <sheetData sheetId="10838" refreshError="1"/>
      <sheetData sheetId="10839" refreshError="1"/>
      <sheetData sheetId="10840" refreshError="1"/>
      <sheetData sheetId="10841" refreshError="1"/>
      <sheetData sheetId="10842" refreshError="1"/>
      <sheetData sheetId="10843" refreshError="1"/>
      <sheetData sheetId="10844" refreshError="1"/>
      <sheetData sheetId="10845" refreshError="1"/>
      <sheetData sheetId="10846" refreshError="1"/>
      <sheetData sheetId="10847" refreshError="1"/>
      <sheetData sheetId="10848" refreshError="1"/>
      <sheetData sheetId="10849" refreshError="1"/>
      <sheetData sheetId="10850" refreshError="1"/>
      <sheetData sheetId="10851" refreshError="1"/>
      <sheetData sheetId="10852" refreshError="1"/>
      <sheetData sheetId="10853" refreshError="1"/>
      <sheetData sheetId="10854" refreshError="1"/>
      <sheetData sheetId="10855" refreshError="1"/>
      <sheetData sheetId="10856" refreshError="1"/>
      <sheetData sheetId="10857" refreshError="1"/>
      <sheetData sheetId="10858" refreshError="1"/>
      <sheetData sheetId="10859" refreshError="1"/>
      <sheetData sheetId="10860" refreshError="1"/>
      <sheetData sheetId="10861" refreshError="1"/>
      <sheetData sheetId="10862" refreshError="1"/>
      <sheetData sheetId="10863" refreshError="1"/>
      <sheetData sheetId="10864" refreshError="1"/>
      <sheetData sheetId="10865" refreshError="1"/>
      <sheetData sheetId="10866" refreshError="1"/>
      <sheetData sheetId="10867" refreshError="1"/>
      <sheetData sheetId="10868" refreshError="1"/>
      <sheetData sheetId="10869" refreshError="1"/>
      <sheetData sheetId="10870" refreshError="1"/>
      <sheetData sheetId="10871" refreshError="1"/>
      <sheetData sheetId="10872" refreshError="1"/>
      <sheetData sheetId="10873" refreshError="1"/>
      <sheetData sheetId="10874" refreshError="1"/>
      <sheetData sheetId="10875" refreshError="1"/>
      <sheetData sheetId="10876" refreshError="1"/>
      <sheetData sheetId="10877" refreshError="1"/>
      <sheetData sheetId="10878" refreshError="1"/>
      <sheetData sheetId="10879" refreshError="1"/>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efreshError="1"/>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efreshError="1"/>
      <sheetData sheetId="11255" refreshError="1"/>
      <sheetData sheetId="11256" refreshError="1"/>
      <sheetData sheetId="11257" refreshError="1"/>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efreshError="1"/>
      <sheetData sheetId="11268" refreshError="1"/>
      <sheetData sheetId="11269" refreshError="1"/>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refreshError="1"/>
      <sheetData sheetId="11278" refreshError="1"/>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refreshError="1"/>
      <sheetData sheetId="11325" refreshError="1"/>
      <sheetData sheetId="11326" refreshError="1"/>
      <sheetData sheetId="11327" refreshError="1"/>
      <sheetData sheetId="11328" refreshError="1"/>
      <sheetData sheetId="11329" refreshError="1"/>
      <sheetData sheetId="11330" refreshError="1"/>
      <sheetData sheetId="11331" refreshError="1"/>
      <sheetData sheetId="11332" refreshError="1"/>
      <sheetData sheetId="11333" refreshError="1"/>
      <sheetData sheetId="11334" refreshError="1"/>
      <sheetData sheetId="11335" refreshError="1"/>
      <sheetData sheetId="11336" refreshError="1"/>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refreshError="1"/>
      <sheetData sheetId="11347" refreshError="1"/>
      <sheetData sheetId="11348" refreshError="1"/>
      <sheetData sheetId="11349" refreshError="1"/>
      <sheetData sheetId="11350" refreshError="1"/>
      <sheetData sheetId="11351" refreshError="1"/>
      <sheetData sheetId="11352" refreshError="1"/>
      <sheetData sheetId="11353" refreshError="1"/>
      <sheetData sheetId="11354" refreshError="1"/>
      <sheetData sheetId="11355" refreshError="1"/>
      <sheetData sheetId="11356" refreshError="1"/>
      <sheetData sheetId="11357" refreshError="1"/>
      <sheetData sheetId="11358" refreshError="1"/>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efreshError="1"/>
      <sheetData sheetId="11371" refreshError="1"/>
      <sheetData sheetId="11372" refreshError="1"/>
      <sheetData sheetId="11373" refreshError="1"/>
      <sheetData sheetId="11374" refreshError="1"/>
      <sheetData sheetId="11375" refreshError="1"/>
      <sheetData sheetId="11376" refreshError="1"/>
      <sheetData sheetId="11377" refreshError="1"/>
      <sheetData sheetId="11378" refreshError="1"/>
      <sheetData sheetId="11379" refreshError="1"/>
      <sheetData sheetId="11380" refreshError="1"/>
      <sheetData sheetId="11381" refreshError="1"/>
      <sheetData sheetId="11382" refreshError="1"/>
      <sheetData sheetId="11383" refreshError="1"/>
      <sheetData sheetId="11384" refreshError="1"/>
      <sheetData sheetId="11385" refreshError="1"/>
      <sheetData sheetId="11386" refreshError="1"/>
      <sheetData sheetId="11387" refreshError="1"/>
      <sheetData sheetId="11388" refreshError="1"/>
      <sheetData sheetId="11389" refreshError="1"/>
      <sheetData sheetId="11390" refreshError="1"/>
      <sheetData sheetId="11391" refreshError="1"/>
      <sheetData sheetId="11392" refreshError="1"/>
      <sheetData sheetId="11393" refreshError="1"/>
      <sheetData sheetId="11394" refreshError="1"/>
      <sheetData sheetId="11395" refreshError="1"/>
      <sheetData sheetId="11396" refreshError="1"/>
      <sheetData sheetId="11397" refreshError="1"/>
      <sheetData sheetId="11398" refreshError="1"/>
      <sheetData sheetId="11399" refreshError="1"/>
      <sheetData sheetId="11400" refreshError="1"/>
      <sheetData sheetId="11401" refreshError="1"/>
      <sheetData sheetId="11402" refreshError="1"/>
      <sheetData sheetId="11403" refreshError="1"/>
      <sheetData sheetId="11404" refreshError="1"/>
      <sheetData sheetId="11405" refreshError="1"/>
      <sheetData sheetId="11406" refreshError="1"/>
      <sheetData sheetId="11407" refreshError="1"/>
      <sheetData sheetId="11408" refreshError="1"/>
      <sheetData sheetId="11409" refreshError="1"/>
      <sheetData sheetId="11410" refreshError="1"/>
      <sheetData sheetId="11411" refreshError="1"/>
      <sheetData sheetId="11412" refreshError="1"/>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refreshError="1"/>
      <sheetData sheetId="11436" refreshError="1"/>
      <sheetData sheetId="11437" refreshError="1"/>
      <sheetData sheetId="11438" refreshError="1"/>
      <sheetData sheetId="11439" refreshError="1"/>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refreshError="1"/>
      <sheetData sheetId="11456" refreshError="1"/>
      <sheetData sheetId="11457" refreshError="1"/>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refreshError="1"/>
      <sheetData sheetId="11482" refreshError="1"/>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efreshError="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efreshError="1"/>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efreshError="1"/>
      <sheetData sheetId="11574" refreshError="1"/>
      <sheetData sheetId="11575" refreshError="1"/>
      <sheetData sheetId="11576" refreshError="1"/>
      <sheetData sheetId="11577" refreshError="1"/>
      <sheetData sheetId="11578" refreshError="1"/>
      <sheetData sheetId="11579" refreshError="1"/>
      <sheetData sheetId="11580" refreshError="1"/>
      <sheetData sheetId="11581" refreshError="1"/>
      <sheetData sheetId="11582" refreshError="1"/>
      <sheetData sheetId="11583" refreshError="1"/>
      <sheetData sheetId="11584" refreshError="1"/>
      <sheetData sheetId="11585" refreshError="1"/>
      <sheetData sheetId="11586" refreshError="1"/>
      <sheetData sheetId="11587" refreshError="1"/>
      <sheetData sheetId="11588" refreshError="1"/>
      <sheetData sheetId="11589" refreshError="1"/>
      <sheetData sheetId="11590" refreshError="1"/>
      <sheetData sheetId="11591" refreshError="1"/>
      <sheetData sheetId="11592" refreshError="1"/>
      <sheetData sheetId="11593" refreshError="1"/>
      <sheetData sheetId="11594" refreshError="1"/>
      <sheetData sheetId="11595" refreshError="1"/>
      <sheetData sheetId="11596" refreshError="1"/>
      <sheetData sheetId="11597" refreshError="1"/>
      <sheetData sheetId="11598" refreshError="1"/>
      <sheetData sheetId="11599" refreshError="1"/>
      <sheetData sheetId="11600" refreshError="1"/>
      <sheetData sheetId="11601" refreshError="1"/>
      <sheetData sheetId="11602" refreshError="1"/>
      <sheetData sheetId="11603" refreshError="1"/>
      <sheetData sheetId="11604" refreshError="1"/>
      <sheetData sheetId="11605" refreshError="1"/>
      <sheetData sheetId="11606" refreshError="1"/>
      <sheetData sheetId="11607" refreshError="1"/>
      <sheetData sheetId="11608" refreshError="1"/>
      <sheetData sheetId="11609" refreshError="1"/>
      <sheetData sheetId="11610" refreshError="1"/>
      <sheetData sheetId="11611" refreshError="1"/>
      <sheetData sheetId="11612" refreshError="1"/>
      <sheetData sheetId="11613" refreshError="1"/>
      <sheetData sheetId="11614" refreshError="1"/>
      <sheetData sheetId="11615" refreshError="1"/>
      <sheetData sheetId="11616" refreshError="1"/>
      <sheetData sheetId="11617" refreshError="1"/>
      <sheetData sheetId="11618" refreshError="1"/>
      <sheetData sheetId="11619" refreshError="1"/>
      <sheetData sheetId="11620" refreshError="1"/>
      <sheetData sheetId="11621" refreshError="1"/>
      <sheetData sheetId="11622" refreshError="1"/>
      <sheetData sheetId="11623" refreshError="1"/>
      <sheetData sheetId="11624" refreshError="1"/>
      <sheetData sheetId="11625" refreshError="1"/>
      <sheetData sheetId="11626" refreshError="1"/>
      <sheetData sheetId="11627" refreshError="1"/>
      <sheetData sheetId="11628" refreshError="1"/>
      <sheetData sheetId="11629" refreshError="1"/>
      <sheetData sheetId="11630" refreshError="1"/>
      <sheetData sheetId="11631" refreshError="1"/>
      <sheetData sheetId="11632" refreshError="1"/>
      <sheetData sheetId="11633" refreshError="1"/>
      <sheetData sheetId="11634" refreshError="1"/>
      <sheetData sheetId="11635" refreshError="1"/>
      <sheetData sheetId="11636" refreshError="1"/>
      <sheetData sheetId="11637" refreshError="1"/>
      <sheetData sheetId="11638" refreshError="1"/>
      <sheetData sheetId="11639" refreshError="1"/>
      <sheetData sheetId="11640" refreshError="1"/>
      <sheetData sheetId="11641" refreshError="1"/>
      <sheetData sheetId="11642" refreshError="1"/>
      <sheetData sheetId="11643" refreshError="1"/>
      <sheetData sheetId="11644" refreshError="1"/>
      <sheetData sheetId="11645" refreshError="1"/>
      <sheetData sheetId="11646" refreshError="1"/>
      <sheetData sheetId="11647" refreshError="1"/>
      <sheetData sheetId="11648" refreshError="1"/>
      <sheetData sheetId="11649" refreshError="1"/>
      <sheetData sheetId="11650" refreshError="1"/>
      <sheetData sheetId="11651" refreshError="1"/>
      <sheetData sheetId="11652" refreshError="1"/>
      <sheetData sheetId="11653" refreshError="1"/>
      <sheetData sheetId="11654" refreshError="1"/>
      <sheetData sheetId="11655" refreshError="1"/>
      <sheetData sheetId="11656" refreshError="1"/>
      <sheetData sheetId="11657" refreshError="1"/>
      <sheetData sheetId="11658" refreshError="1"/>
      <sheetData sheetId="11659" refreshError="1"/>
      <sheetData sheetId="11660" refreshError="1"/>
      <sheetData sheetId="11661" refreshError="1"/>
      <sheetData sheetId="11662" refreshError="1"/>
      <sheetData sheetId="11663" refreshError="1"/>
      <sheetData sheetId="11664" refreshError="1"/>
      <sheetData sheetId="11665" refreshError="1"/>
      <sheetData sheetId="11666" refreshError="1"/>
      <sheetData sheetId="11667" refreshError="1"/>
      <sheetData sheetId="11668" refreshError="1"/>
      <sheetData sheetId="11669" refreshError="1"/>
      <sheetData sheetId="11670" refreshError="1"/>
      <sheetData sheetId="11671" refreshError="1"/>
      <sheetData sheetId="11672" refreshError="1"/>
      <sheetData sheetId="11673" refreshError="1"/>
      <sheetData sheetId="11674" refreshError="1"/>
      <sheetData sheetId="11675" refreshError="1"/>
      <sheetData sheetId="11676" refreshError="1"/>
      <sheetData sheetId="11677" refreshError="1"/>
      <sheetData sheetId="11678" refreshError="1"/>
      <sheetData sheetId="11679" refreshError="1"/>
      <sheetData sheetId="11680" refreshError="1"/>
      <sheetData sheetId="11681" refreshError="1"/>
      <sheetData sheetId="11682" refreshError="1"/>
      <sheetData sheetId="11683" refreshError="1"/>
      <sheetData sheetId="11684" refreshError="1"/>
      <sheetData sheetId="11685" refreshError="1"/>
      <sheetData sheetId="11686" refreshError="1"/>
      <sheetData sheetId="11687" refreshError="1"/>
      <sheetData sheetId="11688" refreshError="1"/>
      <sheetData sheetId="11689" refreshError="1"/>
      <sheetData sheetId="11690" refreshError="1"/>
      <sheetData sheetId="11691" refreshError="1"/>
      <sheetData sheetId="11692" refreshError="1"/>
      <sheetData sheetId="11693" refreshError="1"/>
      <sheetData sheetId="11694" refreshError="1"/>
      <sheetData sheetId="11695" refreshError="1"/>
      <sheetData sheetId="11696" refreshError="1"/>
      <sheetData sheetId="11697" refreshError="1"/>
      <sheetData sheetId="11698" refreshError="1"/>
      <sheetData sheetId="11699" refreshError="1"/>
      <sheetData sheetId="11700" refreshError="1"/>
      <sheetData sheetId="11701" refreshError="1"/>
      <sheetData sheetId="11702" refreshError="1"/>
      <sheetData sheetId="11703" refreshError="1"/>
      <sheetData sheetId="11704" refreshError="1"/>
      <sheetData sheetId="11705" refreshError="1"/>
      <sheetData sheetId="11706" refreshError="1"/>
      <sheetData sheetId="11707" refreshError="1"/>
      <sheetData sheetId="11708" refreshError="1"/>
      <sheetData sheetId="11709" refreshError="1"/>
      <sheetData sheetId="11710" refreshError="1"/>
      <sheetData sheetId="11711" refreshError="1"/>
      <sheetData sheetId="11712" refreshError="1"/>
      <sheetData sheetId="11713" refreshError="1"/>
      <sheetData sheetId="11714" refreshError="1"/>
      <sheetData sheetId="11715" refreshError="1"/>
      <sheetData sheetId="11716" refreshError="1"/>
      <sheetData sheetId="11717" refreshError="1"/>
      <sheetData sheetId="11718" refreshError="1"/>
      <sheetData sheetId="11719" refreshError="1"/>
      <sheetData sheetId="11720" refreshError="1"/>
      <sheetData sheetId="11721" refreshError="1"/>
      <sheetData sheetId="11722" refreshError="1"/>
      <sheetData sheetId="11723" refreshError="1"/>
      <sheetData sheetId="11724" refreshError="1"/>
      <sheetData sheetId="11725" refreshError="1"/>
      <sheetData sheetId="11726" refreshError="1"/>
      <sheetData sheetId="11727" refreshError="1"/>
      <sheetData sheetId="11728" refreshError="1"/>
      <sheetData sheetId="11729" refreshError="1"/>
      <sheetData sheetId="11730" refreshError="1"/>
      <sheetData sheetId="11731" refreshError="1"/>
      <sheetData sheetId="11732" refreshError="1"/>
      <sheetData sheetId="11733" refreshError="1"/>
      <sheetData sheetId="11734" refreshError="1"/>
      <sheetData sheetId="11735" refreshError="1"/>
      <sheetData sheetId="11736" refreshError="1"/>
      <sheetData sheetId="11737" refreshError="1"/>
      <sheetData sheetId="11738" refreshError="1"/>
      <sheetData sheetId="11739" refreshError="1"/>
      <sheetData sheetId="11740" refreshError="1"/>
      <sheetData sheetId="11741" refreshError="1"/>
      <sheetData sheetId="11742" refreshError="1"/>
      <sheetData sheetId="11743" refreshError="1"/>
      <sheetData sheetId="11744" refreshError="1"/>
      <sheetData sheetId="11745" refreshError="1"/>
      <sheetData sheetId="11746" refreshError="1"/>
      <sheetData sheetId="11747" refreshError="1"/>
      <sheetData sheetId="11748" refreshError="1"/>
      <sheetData sheetId="11749" refreshError="1"/>
      <sheetData sheetId="11750" refreshError="1"/>
      <sheetData sheetId="11751" refreshError="1"/>
      <sheetData sheetId="11752" refreshError="1"/>
      <sheetData sheetId="11753" refreshError="1"/>
      <sheetData sheetId="11754" refreshError="1"/>
      <sheetData sheetId="11755" refreshError="1"/>
      <sheetData sheetId="11756" refreshError="1"/>
      <sheetData sheetId="11757" refreshError="1"/>
      <sheetData sheetId="11758" refreshError="1"/>
      <sheetData sheetId="11759" refreshError="1"/>
      <sheetData sheetId="11760" refreshError="1"/>
      <sheetData sheetId="11761" refreshError="1"/>
      <sheetData sheetId="11762" refreshError="1"/>
      <sheetData sheetId="11763" refreshError="1"/>
      <sheetData sheetId="11764" refreshError="1"/>
      <sheetData sheetId="11765" refreshError="1"/>
      <sheetData sheetId="11766" refreshError="1"/>
      <sheetData sheetId="11767" refreshError="1"/>
      <sheetData sheetId="11768" refreshError="1"/>
      <sheetData sheetId="11769" refreshError="1"/>
      <sheetData sheetId="11770" refreshError="1"/>
      <sheetData sheetId="11771" refreshError="1"/>
      <sheetData sheetId="11772" refreshError="1"/>
      <sheetData sheetId="11773" refreshError="1"/>
      <sheetData sheetId="11774" refreshError="1"/>
      <sheetData sheetId="11775" refreshError="1"/>
      <sheetData sheetId="11776" refreshError="1"/>
      <sheetData sheetId="11777" refreshError="1"/>
      <sheetData sheetId="11778" refreshError="1"/>
      <sheetData sheetId="11779" refreshError="1"/>
      <sheetData sheetId="11780" refreshError="1"/>
      <sheetData sheetId="11781" refreshError="1"/>
      <sheetData sheetId="11782" refreshError="1"/>
      <sheetData sheetId="11783" refreshError="1"/>
      <sheetData sheetId="11784" refreshError="1"/>
      <sheetData sheetId="11785" refreshError="1"/>
      <sheetData sheetId="11786" refreshError="1"/>
      <sheetData sheetId="11787" refreshError="1"/>
      <sheetData sheetId="11788" refreshError="1"/>
      <sheetData sheetId="11789" refreshError="1"/>
      <sheetData sheetId="11790" refreshError="1"/>
      <sheetData sheetId="11791" refreshError="1"/>
      <sheetData sheetId="11792" refreshError="1"/>
      <sheetData sheetId="11793" refreshError="1"/>
      <sheetData sheetId="11794" refreshError="1"/>
      <sheetData sheetId="11795" refreshError="1"/>
      <sheetData sheetId="11796" refreshError="1"/>
      <sheetData sheetId="11797" refreshError="1"/>
      <sheetData sheetId="11798" refreshError="1"/>
      <sheetData sheetId="11799" refreshError="1"/>
      <sheetData sheetId="11800" refreshError="1"/>
      <sheetData sheetId="11801" refreshError="1"/>
      <sheetData sheetId="11802" refreshError="1"/>
      <sheetData sheetId="11803" refreshError="1"/>
      <sheetData sheetId="11804" refreshError="1"/>
      <sheetData sheetId="11805" refreshError="1"/>
      <sheetData sheetId="11806" refreshError="1"/>
      <sheetData sheetId="11807" refreshError="1"/>
      <sheetData sheetId="11808" refreshError="1"/>
      <sheetData sheetId="11809" refreshError="1"/>
      <sheetData sheetId="11810" refreshError="1"/>
      <sheetData sheetId="11811" refreshError="1"/>
      <sheetData sheetId="11812" refreshError="1"/>
      <sheetData sheetId="11813" refreshError="1"/>
      <sheetData sheetId="11814" refreshError="1"/>
      <sheetData sheetId="11815" refreshError="1"/>
      <sheetData sheetId="11816" refreshError="1"/>
      <sheetData sheetId="11817" refreshError="1"/>
      <sheetData sheetId="11818" refreshError="1"/>
      <sheetData sheetId="11819" refreshError="1"/>
      <sheetData sheetId="11820" refreshError="1"/>
      <sheetData sheetId="11821" refreshError="1"/>
      <sheetData sheetId="11822" refreshError="1"/>
      <sheetData sheetId="11823" refreshError="1"/>
      <sheetData sheetId="11824" refreshError="1"/>
      <sheetData sheetId="11825" refreshError="1"/>
      <sheetData sheetId="11826" refreshError="1"/>
      <sheetData sheetId="11827" refreshError="1"/>
      <sheetData sheetId="11828" refreshError="1"/>
      <sheetData sheetId="11829" refreshError="1"/>
      <sheetData sheetId="11830" refreshError="1"/>
      <sheetData sheetId="11831" refreshError="1"/>
      <sheetData sheetId="11832" refreshError="1"/>
      <sheetData sheetId="11833" refreshError="1"/>
      <sheetData sheetId="11834" refreshError="1"/>
      <sheetData sheetId="11835" refreshError="1"/>
      <sheetData sheetId="11836" refreshError="1"/>
      <sheetData sheetId="11837" refreshError="1"/>
      <sheetData sheetId="11838" refreshError="1"/>
      <sheetData sheetId="11839" refreshError="1"/>
      <sheetData sheetId="11840" refreshError="1"/>
      <sheetData sheetId="11841" refreshError="1"/>
      <sheetData sheetId="11842" refreshError="1"/>
      <sheetData sheetId="11843" refreshError="1"/>
      <sheetData sheetId="11844" refreshError="1"/>
      <sheetData sheetId="11845" refreshError="1"/>
      <sheetData sheetId="11846" refreshError="1"/>
      <sheetData sheetId="11847" refreshError="1"/>
      <sheetData sheetId="11848" refreshError="1"/>
      <sheetData sheetId="11849" refreshError="1"/>
      <sheetData sheetId="11850" refreshError="1"/>
      <sheetData sheetId="11851" refreshError="1"/>
      <sheetData sheetId="11852" refreshError="1"/>
      <sheetData sheetId="11853" refreshError="1"/>
      <sheetData sheetId="11854" refreshError="1"/>
      <sheetData sheetId="11855" refreshError="1"/>
      <sheetData sheetId="11856" refreshError="1"/>
      <sheetData sheetId="11857" refreshError="1"/>
      <sheetData sheetId="11858" refreshError="1"/>
      <sheetData sheetId="11859" refreshError="1"/>
      <sheetData sheetId="11860" refreshError="1"/>
      <sheetData sheetId="11861" refreshError="1"/>
      <sheetData sheetId="11862" refreshError="1"/>
      <sheetData sheetId="11863" refreshError="1"/>
      <sheetData sheetId="11864" refreshError="1"/>
      <sheetData sheetId="11865" refreshError="1"/>
      <sheetData sheetId="11866" refreshError="1"/>
      <sheetData sheetId="11867" refreshError="1"/>
      <sheetData sheetId="11868" refreshError="1"/>
      <sheetData sheetId="11869" refreshError="1"/>
      <sheetData sheetId="11870" refreshError="1"/>
      <sheetData sheetId="11871" refreshError="1"/>
      <sheetData sheetId="11872" refreshError="1"/>
      <sheetData sheetId="11873" refreshError="1"/>
      <sheetData sheetId="11874" refreshError="1"/>
      <sheetData sheetId="11875" refreshError="1"/>
      <sheetData sheetId="11876" refreshError="1"/>
      <sheetData sheetId="11877" refreshError="1"/>
      <sheetData sheetId="11878" refreshError="1"/>
      <sheetData sheetId="11879" refreshError="1"/>
      <sheetData sheetId="11880" refreshError="1"/>
      <sheetData sheetId="11881" refreshError="1"/>
      <sheetData sheetId="11882" refreshError="1"/>
      <sheetData sheetId="11883" refreshError="1"/>
      <sheetData sheetId="11884" refreshError="1"/>
      <sheetData sheetId="11885" refreshError="1"/>
      <sheetData sheetId="11886" refreshError="1"/>
      <sheetData sheetId="11887" refreshError="1"/>
      <sheetData sheetId="11888" refreshError="1"/>
      <sheetData sheetId="11889" refreshError="1"/>
      <sheetData sheetId="11890" refreshError="1"/>
      <sheetData sheetId="11891" refreshError="1"/>
      <sheetData sheetId="11892" refreshError="1"/>
      <sheetData sheetId="11893" refreshError="1"/>
      <sheetData sheetId="11894" refreshError="1"/>
      <sheetData sheetId="11895" refreshError="1"/>
      <sheetData sheetId="11896" refreshError="1"/>
      <sheetData sheetId="11897" refreshError="1"/>
      <sheetData sheetId="11898" refreshError="1"/>
      <sheetData sheetId="11899" refreshError="1"/>
      <sheetData sheetId="11900" refreshError="1"/>
      <sheetData sheetId="11901" refreshError="1"/>
      <sheetData sheetId="11902" refreshError="1"/>
      <sheetData sheetId="11903" refreshError="1"/>
      <sheetData sheetId="11904" refreshError="1"/>
      <sheetData sheetId="11905" refreshError="1"/>
      <sheetData sheetId="11906" refreshError="1"/>
      <sheetData sheetId="11907" refreshError="1"/>
      <sheetData sheetId="11908" refreshError="1"/>
      <sheetData sheetId="11909" refreshError="1"/>
      <sheetData sheetId="11910" refreshError="1"/>
      <sheetData sheetId="11911" refreshError="1"/>
      <sheetData sheetId="11912" refreshError="1"/>
      <sheetData sheetId="11913" refreshError="1"/>
      <sheetData sheetId="11914" refreshError="1"/>
      <sheetData sheetId="11915" refreshError="1"/>
      <sheetData sheetId="11916" refreshError="1"/>
      <sheetData sheetId="11917" refreshError="1"/>
      <sheetData sheetId="11918" refreshError="1"/>
      <sheetData sheetId="11919" refreshError="1"/>
      <sheetData sheetId="11920" refreshError="1"/>
      <sheetData sheetId="11921" refreshError="1"/>
      <sheetData sheetId="11922" refreshError="1"/>
      <sheetData sheetId="11923" refreshError="1"/>
      <sheetData sheetId="11924" refreshError="1"/>
      <sheetData sheetId="11925" refreshError="1"/>
      <sheetData sheetId="11926" refreshError="1"/>
      <sheetData sheetId="11927" refreshError="1"/>
      <sheetData sheetId="11928" refreshError="1"/>
      <sheetData sheetId="11929" refreshError="1"/>
      <sheetData sheetId="11930" refreshError="1"/>
      <sheetData sheetId="11931" refreshError="1"/>
      <sheetData sheetId="11932" refreshError="1"/>
      <sheetData sheetId="11933" refreshError="1"/>
      <sheetData sheetId="11934" refreshError="1"/>
      <sheetData sheetId="11935" refreshError="1"/>
      <sheetData sheetId="11936" refreshError="1"/>
      <sheetData sheetId="11937" refreshError="1"/>
      <sheetData sheetId="11938" refreshError="1"/>
      <sheetData sheetId="11939" refreshError="1"/>
      <sheetData sheetId="11940" refreshError="1"/>
      <sheetData sheetId="11941" refreshError="1"/>
      <sheetData sheetId="11942" refreshError="1"/>
      <sheetData sheetId="11943" refreshError="1"/>
      <sheetData sheetId="11944" refreshError="1"/>
      <sheetData sheetId="11945" refreshError="1"/>
      <sheetData sheetId="11946" refreshError="1"/>
      <sheetData sheetId="11947" refreshError="1"/>
      <sheetData sheetId="11948" refreshError="1"/>
      <sheetData sheetId="11949" refreshError="1"/>
      <sheetData sheetId="11950" refreshError="1"/>
      <sheetData sheetId="11951" refreshError="1"/>
      <sheetData sheetId="11952" refreshError="1"/>
      <sheetData sheetId="11953" refreshError="1"/>
      <sheetData sheetId="11954" refreshError="1"/>
      <sheetData sheetId="11955" refreshError="1"/>
      <sheetData sheetId="11956" refreshError="1"/>
      <sheetData sheetId="11957" refreshError="1"/>
      <sheetData sheetId="11958" refreshError="1"/>
      <sheetData sheetId="11959" refreshError="1"/>
      <sheetData sheetId="11960" refreshError="1"/>
      <sheetData sheetId="11961" refreshError="1"/>
      <sheetData sheetId="11962" refreshError="1"/>
      <sheetData sheetId="11963" refreshError="1"/>
      <sheetData sheetId="11964" refreshError="1"/>
      <sheetData sheetId="11965" refreshError="1"/>
      <sheetData sheetId="11966" refreshError="1"/>
      <sheetData sheetId="11967" refreshError="1"/>
      <sheetData sheetId="11968" refreshError="1"/>
      <sheetData sheetId="11969" refreshError="1"/>
      <sheetData sheetId="11970" refreshError="1"/>
      <sheetData sheetId="11971" refreshError="1"/>
      <sheetData sheetId="11972" refreshError="1"/>
      <sheetData sheetId="11973" refreshError="1"/>
      <sheetData sheetId="11974" refreshError="1"/>
      <sheetData sheetId="11975" refreshError="1"/>
      <sheetData sheetId="11976" refreshError="1"/>
      <sheetData sheetId="11977" refreshError="1"/>
      <sheetData sheetId="11978" refreshError="1"/>
      <sheetData sheetId="11979" refreshError="1"/>
      <sheetData sheetId="11980" refreshError="1"/>
      <sheetData sheetId="11981" refreshError="1"/>
      <sheetData sheetId="11982" refreshError="1"/>
      <sheetData sheetId="11983" refreshError="1"/>
      <sheetData sheetId="11984" refreshError="1"/>
      <sheetData sheetId="11985" refreshError="1"/>
      <sheetData sheetId="11986" refreshError="1"/>
      <sheetData sheetId="11987" refreshError="1"/>
      <sheetData sheetId="11988" refreshError="1"/>
      <sheetData sheetId="11989" refreshError="1"/>
      <sheetData sheetId="11990" refreshError="1"/>
      <sheetData sheetId="11991" refreshError="1"/>
      <sheetData sheetId="11992" refreshError="1"/>
      <sheetData sheetId="11993" refreshError="1"/>
      <sheetData sheetId="11994" refreshError="1"/>
      <sheetData sheetId="11995" refreshError="1"/>
      <sheetData sheetId="11996" refreshError="1"/>
      <sheetData sheetId="11997" refreshError="1"/>
      <sheetData sheetId="11998" refreshError="1"/>
      <sheetData sheetId="11999" refreshError="1"/>
      <sheetData sheetId="12000" refreshError="1"/>
      <sheetData sheetId="12001" refreshError="1"/>
      <sheetData sheetId="12002" refreshError="1"/>
      <sheetData sheetId="12003" refreshError="1"/>
      <sheetData sheetId="12004" refreshError="1"/>
      <sheetData sheetId="12005" refreshError="1"/>
      <sheetData sheetId="12006" refreshError="1"/>
      <sheetData sheetId="12007" refreshError="1"/>
      <sheetData sheetId="12008" refreshError="1"/>
      <sheetData sheetId="12009" refreshError="1"/>
      <sheetData sheetId="12010" refreshError="1"/>
      <sheetData sheetId="12011" refreshError="1"/>
      <sheetData sheetId="12012" refreshError="1"/>
      <sheetData sheetId="12013" refreshError="1"/>
      <sheetData sheetId="12014" refreshError="1"/>
      <sheetData sheetId="12015" refreshError="1"/>
      <sheetData sheetId="12016" refreshError="1"/>
      <sheetData sheetId="12017" refreshError="1"/>
      <sheetData sheetId="12018" refreshError="1"/>
      <sheetData sheetId="12019" refreshError="1"/>
      <sheetData sheetId="12020" refreshError="1"/>
      <sheetData sheetId="12021" refreshError="1"/>
      <sheetData sheetId="12022" refreshError="1"/>
      <sheetData sheetId="12023" refreshError="1"/>
      <sheetData sheetId="12024" refreshError="1"/>
      <sheetData sheetId="12025" refreshError="1"/>
      <sheetData sheetId="12026" refreshError="1"/>
      <sheetData sheetId="12027" refreshError="1"/>
      <sheetData sheetId="12028" refreshError="1"/>
      <sheetData sheetId="12029" refreshError="1"/>
      <sheetData sheetId="12030" refreshError="1"/>
      <sheetData sheetId="12031" refreshError="1"/>
      <sheetData sheetId="12032" refreshError="1"/>
      <sheetData sheetId="12033" refreshError="1"/>
      <sheetData sheetId="12034" refreshError="1"/>
      <sheetData sheetId="12035" refreshError="1"/>
      <sheetData sheetId="12036" refreshError="1"/>
      <sheetData sheetId="12037" refreshError="1"/>
      <sheetData sheetId="12038" refreshError="1"/>
      <sheetData sheetId="12039" refreshError="1"/>
      <sheetData sheetId="12040" refreshError="1"/>
      <sheetData sheetId="12041" refreshError="1"/>
      <sheetData sheetId="12042" refreshError="1"/>
      <sheetData sheetId="12043" refreshError="1"/>
      <sheetData sheetId="12044" refreshError="1"/>
      <sheetData sheetId="12045" refreshError="1"/>
      <sheetData sheetId="12046" refreshError="1"/>
      <sheetData sheetId="12047" refreshError="1"/>
      <sheetData sheetId="12048" refreshError="1"/>
      <sheetData sheetId="12049" refreshError="1"/>
      <sheetData sheetId="12050" refreshError="1"/>
      <sheetData sheetId="12051" refreshError="1"/>
      <sheetData sheetId="12052" refreshError="1"/>
      <sheetData sheetId="12053" refreshError="1"/>
      <sheetData sheetId="12054" refreshError="1"/>
      <sheetData sheetId="12055" refreshError="1"/>
      <sheetData sheetId="12056" refreshError="1"/>
      <sheetData sheetId="12057" refreshError="1"/>
      <sheetData sheetId="12058" refreshError="1"/>
      <sheetData sheetId="12059" refreshError="1"/>
      <sheetData sheetId="12060" refreshError="1"/>
      <sheetData sheetId="12061" refreshError="1"/>
      <sheetData sheetId="12062" refreshError="1"/>
      <sheetData sheetId="12063" refreshError="1"/>
      <sheetData sheetId="12064" refreshError="1"/>
      <sheetData sheetId="12065" refreshError="1"/>
      <sheetData sheetId="12066" refreshError="1"/>
      <sheetData sheetId="12067" refreshError="1"/>
      <sheetData sheetId="12068" refreshError="1"/>
      <sheetData sheetId="12069" refreshError="1"/>
      <sheetData sheetId="12070" refreshError="1"/>
      <sheetData sheetId="12071" refreshError="1"/>
      <sheetData sheetId="12072" refreshError="1"/>
      <sheetData sheetId="12073" refreshError="1"/>
      <sheetData sheetId="12074" refreshError="1"/>
      <sheetData sheetId="12075" refreshError="1"/>
      <sheetData sheetId="12076" refreshError="1"/>
      <sheetData sheetId="12077" refreshError="1"/>
      <sheetData sheetId="12078" refreshError="1"/>
      <sheetData sheetId="12079" refreshError="1"/>
      <sheetData sheetId="12080" refreshError="1"/>
      <sheetData sheetId="12081" refreshError="1"/>
      <sheetData sheetId="12082" refreshError="1"/>
      <sheetData sheetId="12083" refreshError="1"/>
      <sheetData sheetId="12084" refreshError="1"/>
      <sheetData sheetId="12085" refreshError="1"/>
      <sheetData sheetId="12086" refreshError="1"/>
      <sheetData sheetId="12087" refreshError="1"/>
      <sheetData sheetId="12088" refreshError="1"/>
      <sheetData sheetId="12089" refreshError="1"/>
      <sheetData sheetId="12090" refreshError="1"/>
      <sheetData sheetId="12091" refreshError="1"/>
      <sheetData sheetId="12092" refreshError="1"/>
      <sheetData sheetId="12093" refreshError="1"/>
      <sheetData sheetId="12094" refreshError="1"/>
      <sheetData sheetId="12095" refreshError="1"/>
      <sheetData sheetId="12096" refreshError="1"/>
      <sheetData sheetId="12097" refreshError="1"/>
      <sheetData sheetId="12098" refreshError="1"/>
      <sheetData sheetId="12099" refreshError="1"/>
      <sheetData sheetId="12100" refreshError="1"/>
      <sheetData sheetId="12101" refreshError="1"/>
      <sheetData sheetId="12102" refreshError="1"/>
      <sheetData sheetId="12103" refreshError="1"/>
      <sheetData sheetId="12104" refreshError="1"/>
      <sheetData sheetId="12105" refreshError="1"/>
      <sheetData sheetId="12106" refreshError="1"/>
      <sheetData sheetId="12107" refreshError="1"/>
      <sheetData sheetId="12108" refreshError="1"/>
      <sheetData sheetId="12109" refreshError="1"/>
      <sheetData sheetId="12110" refreshError="1"/>
      <sheetData sheetId="12111" refreshError="1"/>
      <sheetData sheetId="12112" refreshError="1"/>
      <sheetData sheetId="12113" refreshError="1"/>
      <sheetData sheetId="12114" refreshError="1"/>
      <sheetData sheetId="12115" refreshError="1"/>
      <sheetData sheetId="12116" refreshError="1"/>
      <sheetData sheetId="12117" refreshError="1"/>
      <sheetData sheetId="12118" refreshError="1"/>
      <sheetData sheetId="12119" refreshError="1"/>
      <sheetData sheetId="12120" refreshError="1"/>
      <sheetData sheetId="12121" refreshError="1"/>
      <sheetData sheetId="12122" refreshError="1"/>
      <sheetData sheetId="12123" refreshError="1"/>
      <sheetData sheetId="12124" refreshError="1"/>
      <sheetData sheetId="12125" refreshError="1"/>
      <sheetData sheetId="12126" refreshError="1"/>
      <sheetData sheetId="12127" refreshError="1"/>
      <sheetData sheetId="12128" refreshError="1"/>
      <sheetData sheetId="12129" refreshError="1"/>
      <sheetData sheetId="12130" refreshError="1"/>
      <sheetData sheetId="12131" refreshError="1"/>
      <sheetData sheetId="12132" refreshError="1"/>
      <sheetData sheetId="12133" refreshError="1"/>
      <sheetData sheetId="12134" refreshError="1"/>
      <sheetData sheetId="12135" refreshError="1"/>
      <sheetData sheetId="12136" refreshError="1"/>
      <sheetData sheetId="12137" refreshError="1"/>
      <sheetData sheetId="12138" refreshError="1"/>
      <sheetData sheetId="12139" refreshError="1"/>
      <sheetData sheetId="12140" refreshError="1"/>
      <sheetData sheetId="12141" refreshError="1"/>
      <sheetData sheetId="12142" refreshError="1"/>
      <sheetData sheetId="12143" refreshError="1"/>
      <sheetData sheetId="12144" refreshError="1"/>
      <sheetData sheetId="12145" refreshError="1"/>
      <sheetData sheetId="12146" refreshError="1"/>
      <sheetData sheetId="12147" refreshError="1"/>
      <sheetData sheetId="12148" refreshError="1"/>
      <sheetData sheetId="12149" refreshError="1"/>
      <sheetData sheetId="12150" refreshError="1"/>
      <sheetData sheetId="12151" refreshError="1"/>
      <sheetData sheetId="12152" refreshError="1"/>
      <sheetData sheetId="12153" refreshError="1"/>
      <sheetData sheetId="12154" refreshError="1"/>
      <sheetData sheetId="12155" refreshError="1"/>
      <sheetData sheetId="12156" refreshError="1"/>
      <sheetData sheetId="12157" refreshError="1"/>
      <sheetData sheetId="12158" refreshError="1"/>
      <sheetData sheetId="12159" refreshError="1"/>
      <sheetData sheetId="12160" refreshError="1"/>
      <sheetData sheetId="12161" refreshError="1"/>
      <sheetData sheetId="12162" refreshError="1"/>
      <sheetData sheetId="12163" refreshError="1"/>
      <sheetData sheetId="12164" refreshError="1"/>
      <sheetData sheetId="12165" refreshError="1"/>
      <sheetData sheetId="12166" refreshError="1"/>
      <sheetData sheetId="12167" refreshError="1"/>
      <sheetData sheetId="12168" refreshError="1"/>
      <sheetData sheetId="12169" refreshError="1"/>
      <sheetData sheetId="12170" refreshError="1"/>
      <sheetData sheetId="12171" refreshError="1"/>
      <sheetData sheetId="12172" refreshError="1"/>
      <sheetData sheetId="12173" refreshError="1"/>
      <sheetData sheetId="12174" refreshError="1"/>
      <sheetData sheetId="12175" refreshError="1"/>
      <sheetData sheetId="12176" refreshError="1"/>
      <sheetData sheetId="12177" refreshError="1"/>
      <sheetData sheetId="12178" refreshError="1"/>
      <sheetData sheetId="12179" refreshError="1"/>
      <sheetData sheetId="12180" refreshError="1"/>
      <sheetData sheetId="12181" refreshError="1"/>
      <sheetData sheetId="12182" refreshError="1"/>
      <sheetData sheetId="12183" refreshError="1"/>
      <sheetData sheetId="12184" refreshError="1"/>
      <sheetData sheetId="12185" refreshError="1"/>
      <sheetData sheetId="12186" refreshError="1"/>
      <sheetData sheetId="12187" refreshError="1"/>
      <sheetData sheetId="12188" refreshError="1"/>
      <sheetData sheetId="12189" refreshError="1"/>
      <sheetData sheetId="12190" refreshError="1"/>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efreshError="1"/>
      <sheetData sheetId="12732" refreshError="1"/>
      <sheetData sheetId="12733" refreshError="1"/>
      <sheetData sheetId="12734" refreshError="1"/>
      <sheetData sheetId="12735" refreshError="1"/>
      <sheetData sheetId="12736" refreshError="1"/>
      <sheetData sheetId="12737" refreshError="1"/>
      <sheetData sheetId="12738" refreshError="1"/>
      <sheetData sheetId="12739" refreshError="1"/>
      <sheetData sheetId="12740" refreshError="1"/>
      <sheetData sheetId="12741" refreshError="1"/>
      <sheetData sheetId="12742" refreshError="1"/>
      <sheetData sheetId="12743" refreshError="1"/>
      <sheetData sheetId="12744" refreshError="1"/>
      <sheetData sheetId="12745" refreshError="1"/>
      <sheetData sheetId="12746" refreshError="1"/>
      <sheetData sheetId="12747" refreshError="1"/>
      <sheetData sheetId="12748" refreshError="1"/>
      <sheetData sheetId="12749" refreshError="1"/>
      <sheetData sheetId="12750" refreshError="1"/>
      <sheetData sheetId="12751" refreshError="1"/>
      <sheetData sheetId="12752" refreshError="1"/>
      <sheetData sheetId="12753" refreshError="1"/>
      <sheetData sheetId="12754" refreshError="1"/>
      <sheetData sheetId="12755" refreshError="1"/>
      <sheetData sheetId="12756" refreshError="1"/>
      <sheetData sheetId="12757" refreshError="1"/>
      <sheetData sheetId="12758" refreshError="1"/>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refreshError="1"/>
      <sheetData sheetId="12772" refreshError="1"/>
      <sheetData sheetId="12773" refreshError="1"/>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efreshError="1"/>
      <sheetData sheetId="12784" refreshError="1"/>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refreshError="1"/>
      <sheetData sheetId="12794" refreshError="1"/>
      <sheetData sheetId="12795" refreshError="1"/>
      <sheetData sheetId="12796" refreshError="1"/>
      <sheetData sheetId="12797" refreshError="1"/>
      <sheetData sheetId="12798" refreshError="1"/>
      <sheetData sheetId="12799" refreshError="1"/>
      <sheetData sheetId="12800" refreshError="1"/>
      <sheetData sheetId="12801" refreshError="1"/>
      <sheetData sheetId="12802" refreshError="1"/>
      <sheetData sheetId="12803" refreshError="1"/>
      <sheetData sheetId="12804" refreshError="1"/>
      <sheetData sheetId="12805" refreshError="1"/>
      <sheetData sheetId="12806" refreshError="1"/>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refreshError="1"/>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refreshError="1"/>
      <sheetData sheetId="13848" refreshError="1"/>
      <sheetData sheetId="13849" refreshError="1"/>
      <sheetData sheetId="13850" refreshError="1"/>
      <sheetData sheetId="13851" refreshError="1"/>
      <sheetData sheetId="13852" refreshError="1"/>
      <sheetData sheetId="13853" refreshError="1"/>
      <sheetData sheetId="13854" refreshError="1"/>
      <sheetData sheetId="13855" refreshError="1"/>
      <sheetData sheetId="13856" refreshError="1"/>
      <sheetData sheetId="13857" refreshError="1"/>
      <sheetData sheetId="13858" refreshError="1"/>
      <sheetData sheetId="13859" refreshError="1"/>
      <sheetData sheetId="13860" refreshError="1"/>
      <sheetData sheetId="13861" refreshError="1"/>
      <sheetData sheetId="13862" refreshError="1"/>
      <sheetData sheetId="13863" refreshError="1"/>
      <sheetData sheetId="13864" refreshError="1"/>
      <sheetData sheetId="13865" refreshError="1"/>
      <sheetData sheetId="13866" refreshError="1"/>
      <sheetData sheetId="13867" refreshError="1"/>
      <sheetData sheetId="13868" refreshError="1"/>
      <sheetData sheetId="13869" refreshError="1"/>
      <sheetData sheetId="13870" refreshError="1"/>
      <sheetData sheetId="13871" refreshError="1"/>
      <sheetData sheetId="13872" refreshError="1"/>
      <sheetData sheetId="13873" refreshError="1"/>
      <sheetData sheetId="13874" refreshError="1"/>
      <sheetData sheetId="13875" refreshError="1"/>
      <sheetData sheetId="13876" refreshError="1"/>
      <sheetData sheetId="13877" refreshError="1"/>
      <sheetData sheetId="13878" refreshError="1"/>
      <sheetData sheetId="13879" refreshError="1"/>
      <sheetData sheetId="13880" refreshError="1"/>
      <sheetData sheetId="13881" refreshError="1"/>
      <sheetData sheetId="13882" refreshError="1"/>
      <sheetData sheetId="13883" refreshError="1"/>
      <sheetData sheetId="13884" refreshError="1"/>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refreshError="1"/>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refreshError="1"/>
      <sheetData sheetId="13952" refreshError="1"/>
      <sheetData sheetId="13953" refreshError="1"/>
      <sheetData sheetId="13954" refreshError="1"/>
      <sheetData sheetId="13955" refreshError="1"/>
      <sheetData sheetId="13956" refreshError="1"/>
      <sheetData sheetId="13957" refreshError="1"/>
      <sheetData sheetId="13958" refreshError="1"/>
      <sheetData sheetId="13959" refreshError="1"/>
      <sheetData sheetId="13960" refreshError="1"/>
      <sheetData sheetId="13961" refreshError="1"/>
      <sheetData sheetId="13962" refreshError="1"/>
      <sheetData sheetId="13963" refreshError="1"/>
      <sheetData sheetId="13964" refreshError="1"/>
      <sheetData sheetId="13965" refreshError="1"/>
      <sheetData sheetId="13966" refreshError="1"/>
      <sheetData sheetId="13967" refreshError="1"/>
      <sheetData sheetId="13968" refreshError="1"/>
      <sheetData sheetId="13969" refreshError="1"/>
      <sheetData sheetId="13970" refreshError="1"/>
      <sheetData sheetId="13971" refreshError="1"/>
      <sheetData sheetId="13972" refreshError="1"/>
      <sheetData sheetId="13973" refreshError="1"/>
      <sheetData sheetId="13974" refreshError="1"/>
      <sheetData sheetId="13975" refreshError="1"/>
      <sheetData sheetId="13976" refreshError="1"/>
      <sheetData sheetId="13977" refreshError="1"/>
      <sheetData sheetId="13978" refreshError="1"/>
      <sheetData sheetId="13979" refreshError="1"/>
      <sheetData sheetId="13980" refreshError="1"/>
      <sheetData sheetId="13981" refreshError="1"/>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refreshError="1"/>
      <sheetData sheetId="14003" refreshError="1"/>
      <sheetData sheetId="14004" refreshError="1"/>
      <sheetData sheetId="14005" refreshError="1"/>
      <sheetData sheetId="14006" refreshError="1"/>
      <sheetData sheetId="14007" refreshError="1"/>
      <sheetData sheetId="14008" refreshError="1"/>
      <sheetData sheetId="14009" refreshError="1"/>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refreshError="1"/>
      <sheetData sheetId="14021" refreshError="1"/>
      <sheetData sheetId="14022" refreshError="1"/>
      <sheetData sheetId="14023" refreshError="1"/>
      <sheetData sheetId="14024" refreshError="1"/>
      <sheetData sheetId="14025" refreshError="1"/>
      <sheetData sheetId="14026" refreshError="1"/>
      <sheetData sheetId="14027" refreshError="1"/>
      <sheetData sheetId="14028" refreshError="1"/>
      <sheetData sheetId="14029" refreshError="1"/>
      <sheetData sheetId="14030" refreshError="1"/>
      <sheetData sheetId="14031" refreshError="1"/>
      <sheetData sheetId="14032" refreshError="1"/>
      <sheetData sheetId="14033" refreshError="1"/>
      <sheetData sheetId="14034" refreshError="1"/>
      <sheetData sheetId="14035" refreshError="1"/>
      <sheetData sheetId="14036" refreshError="1"/>
      <sheetData sheetId="14037" refreshError="1"/>
      <sheetData sheetId="14038" refreshError="1"/>
      <sheetData sheetId="14039" refreshError="1"/>
      <sheetData sheetId="14040" refreshError="1"/>
      <sheetData sheetId="14041" refreshError="1"/>
      <sheetData sheetId="14042" refreshError="1"/>
      <sheetData sheetId="14043" refreshError="1"/>
      <sheetData sheetId="14044" refreshError="1"/>
      <sheetData sheetId="14045" refreshError="1"/>
      <sheetData sheetId="14046" refreshError="1"/>
      <sheetData sheetId="14047" refreshError="1"/>
      <sheetData sheetId="14048" refreshError="1"/>
      <sheetData sheetId="14049" refreshError="1"/>
      <sheetData sheetId="14050" refreshError="1"/>
      <sheetData sheetId="14051" refreshError="1"/>
      <sheetData sheetId="14052" refreshError="1"/>
      <sheetData sheetId="14053" refreshError="1"/>
      <sheetData sheetId="14054" refreshError="1"/>
      <sheetData sheetId="14055" refreshError="1"/>
      <sheetData sheetId="14056" refreshError="1"/>
      <sheetData sheetId="14057" refreshError="1"/>
      <sheetData sheetId="14058" refreshError="1"/>
      <sheetData sheetId="14059" refreshError="1"/>
      <sheetData sheetId="14060" refreshError="1"/>
      <sheetData sheetId="14061" refreshError="1"/>
      <sheetData sheetId="14062" refreshError="1"/>
      <sheetData sheetId="14063" refreshError="1"/>
      <sheetData sheetId="14064" refreshError="1"/>
      <sheetData sheetId="14065" refreshError="1"/>
      <sheetData sheetId="14066" refreshError="1"/>
      <sheetData sheetId="14067" refreshError="1"/>
      <sheetData sheetId="14068" refreshError="1"/>
      <sheetData sheetId="14069" refreshError="1"/>
      <sheetData sheetId="14070" refreshError="1"/>
      <sheetData sheetId="14071" refreshError="1"/>
      <sheetData sheetId="14072" refreshError="1"/>
      <sheetData sheetId="14073" refreshError="1"/>
      <sheetData sheetId="14074" refreshError="1"/>
      <sheetData sheetId="14075" refreshError="1"/>
      <sheetData sheetId="14076" refreshError="1"/>
      <sheetData sheetId="14077" refreshError="1"/>
      <sheetData sheetId="14078" refreshError="1"/>
      <sheetData sheetId="14079" refreshError="1"/>
      <sheetData sheetId="14080" refreshError="1"/>
      <sheetData sheetId="14081" refreshError="1"/>
      <sheetData sheetId="14082" refreshError="1"/>
      <sheetData sheetId="14083" refreshError="1"/>
      <sheetData sheetId="14084" refreshError="1"/>
      <sheetData sheetId="14085" refreshError="1"/>
      <sheetData sheetId="14086" refreshError="1"/>
      <sheetData sheetId="14087" refreshError="1"/>
      <sheetData sheetId="14088" refreshError="1"/>
      <sheetData sheetId="14089" refreshError="1"/>
      <sheetData sheetId="14090" refreshError="1"/>
      <sheetData sheetId="14091" refreshError="1"/>
      <sheetData sheetId="14092" refreshError="1"/>
      <sheetData sheetId="14093" refreshError="1"/>
      <sheetData sheetId="14094" refreshError="1"/>
      <sheetData sheetId="14095" refreshError="1"/>
      <sheetData sheetId="14096" refreshError="1"/>
      <sheetData sheetId="14097" refreshError="1"/>
      <sheetData sheetId="14098" refreshError="1"/>
      <sheetData sheetId="14099" refreshError="1"/>
      <sheetData sheetId="14100" refreshError="1"/>
      <sheetData sheetId="14101" refreshError="1"/>
      <sheetData sheetId="14102" refreshError="1"/>
      <sheetData sheetId="14103" refreshError="1"/>
      <sheetData sheetId="14104" refreshError="1"/>
      <sheetData sheetId="14105" refreshError="1"/>
      <sheetData sheetId="14106" refreshError="1"/>
      <sheetData sheetId="14107" refreshError="1"/>
      <sheetData sheetId="14108" refreshError="1"/>
      <sheetData sheetId="14109" refreshError="1"/>
      <sheetData sheetId="14110" refreshError="1"/>
      <sheetData sheetId="14111" refreshError="1"/>
      <sheetData sheetId="14112" refreshError="1"/>
      <sheetData sheetId="14113" refreshError="1"/>
      <sheetData sheetId="14114" refreshError="1"/>
      <sheetData sheetId="14115" refreshError="1"/>
      <sheetData sheetId="14116" refreshError="1"/>
      <sheetData sheetId="14117" refreshError="1"/>
      <sheetData sheetId="14118" refreshError="1"/>
      <sheetData sheetId="14119" refreshError="1"/>
      <sheetData sheetId="14120" refreshError="1"/>
      <sheetData sheetId="14121" refreshError="1"/>
      <sheetData sheetId="14122" refreshError="1"/>
      <sheetData sheetId="14123" refreshError="1"/>
      <sheetData sheetId="14124" refreshError="1"/>
      <sheetData sheetId="14125" refreshError="1"/>
      <sheetData sheetId="14126" refreshError="1"/>
      <sheetData sheetId="14127" refreshError="1"/>
      <sheetData sheetId="14128" refreshError="1"/>
      <sheetData sheetId="14129" refreshError="1"/>
      <sheetData sheetId="14130" refreshError="1"/>
      <sheetData sheetId="14131" refreshError="1"/>
      <sheetData sheetId="14132" refreshError="1"/>
      <sheetData sheetId="14133" refreshError="1"/>
      <sheetData sheetId="14134" refreshError="1"/>
      <sheetData sheetId="14135" refreshError="1"/>
      <sheetData sheetId="14136" refreshError="1"/>
      <sheetData sheetId="14137" refreshError="1"/>
      <sheetData sheetId="14138" refreshError="1"/>
      <sheetData sheetId="14139" refreshError="1"/>
      <sheetData sheetId="14140" refreshError="1"/>
      <sheetData sheetId="14141" refreshError="1"/>
      <sheetData sheetId="14142" refreshError="1"/>
      <sheetData sheetId="14143" refreshError="1"/>
      <sheetData sheetId="14144" refreshError="1"/>
      <sheetData sheetId="14145" refreshError="1"/>
      <sheetData sheetId="14146" refreshError="1"/>
      <sheetData sheetId="14147" refreshError="1"/>
      <sheetData sheetId="14148" refreshError="1"/>
      <sheetData sheetId="14149" refreshError="1"/>
      <sheetData sheetId="14150" refreshError="1"/>
      <sheetData sheetId="14151" refreshError="1"/>
      <sheetData sheetId="14152" refreshError="1"/>
      <sheetData sheetId="14153" refreshError="1"/>
      <sheetData sheetId="14154" refreshError="1"/>
      <sheetData sheetId="14155" refreshError="1"/>
      <sheetData sheetId="14156" refreshError="1"/>
      <sheetData sheetId="14157" refreshError="1"/>
      <sheetData sheetId="14158" refreshError="1"/>
      <sheetData sheetId="14159" refreshError="1"/>
      <sheetData sheetId="14160" refreshError="1"/>
      <sheetData sheetId="14161" refreshError="1"/>
      <sheetData sheetId="14162" refreshError="1"/>
      <sheetData sheetId="14163" refreshError="1"/>
      <sheetData sheetId="14164" refreshError="1"/>
      <sheetData sheetId="14165" refreshError="1"/>
      <sheetData sheetId="14166" refreshError="1"/>
      <sheetData sheetId="14167" refreshError="1"/>
      <sheetData sheetId="14168" refreshError="1"/>
      <sheetData sheetId="14169" refreshError="1"/>
      <sheetData sheetId="14170" refreshError="1"/>
      <sheetData sheetId="14171" refreshError="1"/>
      <sheetData sheetId="14172" refreshError="1"/>
      <sheetData sheetId="14173" refreshError="1"/>
      <sheetData sheetId="14174" refreshError="1"/>
      <sheetData sheetId="14175" refreshError="1"/>
      <sheetData sheetId="14176" refreshError="1"/>
      <sheetData sheetId="14177" refreshError="1"/>
      <sheetData sheetId="14178" refreshError="1"/>
      <sheetData sheetId="14179" refreshError="1"/>
      <sheetData sheetId="14180" refreshError="1"/>
      <sheetData sheetId="14181" refreshError="1"/>
      <sheetData sheetId="14182" refreshError="1"/>
      <sheetData sheetId="14183" refreshError="1"/>
      <sheetData sheetId="14184" refreshError="1"/>
      <sheetData sheetId="14185" refreshError="1"/>
      <sheetData sheetId="14186" refreshError="1"/>
      <sheetData sheetId="14187" refreshError="1"/>
      <sheetData sheetId="14188" refreshError="1"/>
      <sheetData sheetId="14189" refreshError="1"/>
      <sheetData sheetId="14190" refreshError="1"/>
      <sheetData sheetId="14191" refreshError="1"/>
      <sheetData sheetId="14192" refreshError="1"/>
      <sheetData sheetId="14193" refreshError="1"/>
      <sheetData sheetId="14194" refreshError="1"/>
      <sheetData sheetId="14195" refreshError="1"/>
      <sheetData sheetId="14196" refreshError="1"/>
      <sheetData sheetId="14197" refreshError="1"/>
      <sheetData sheetId="14198" refreshError="1"/>
      <sheetData sheetId="14199" refreshError="1"/>
      <sheetData sheetId="14200" refreshError="1"/>
      <sheetData sheetId="14201" refreshError="1"/>
      <sheetData sheetId="14202" refreshError="1"/>
      <sheetData sheetId="14203" refreshError="1"/>
      <sheetData sheetId="14204" refreshError="1"/>
      <sheetData sheetId="14205" refreshError="1"/>
      <sheetData sheetId="14206" refreshError="1"/>
      <sheetData sheetId="14207" refreshError="1"/>
      <sheetData sheetId="14208" refreshError="1"/>
      <sheetData sheetId="14209" refreshError="1"/>
      <sheetData sheetId="14210" refreshError="1"/>
      <sheetData sheetId="14211" refreshError="1"/>
      <sheetData sheetId="14212" refreshError="1"/>
      <sheetData sheetId="14213" refreshError="1"/>
      <sheetData sheetId="14214" refreshError="1"/>
      <sheetData sheetId="14215" refreshError="1"/>
      <sheetData sheetId="14216" refreshError="1"/>
      <sheetData sheetId="14217" refreshError="1"/>
      <sheetData sheetId="14218" refreshError="1"/>
      <sheetData sheetId="14219" refreshError="1"/>
      <sheetData sheetId="14220" refreshError="1"/>
      <sheetData sheetId="14221" refreshError="1"/>
      <sheetData sheetId="14222" refreshError="1"/>
      <sheetData sheetId="14223" refreshError="1"/>
      <sheetData sheetId="14224" refreshError="1"/>
      <sheetData sheetId="14225" refreshError="1"/>
      <sheetData sheetId="14226" refreshError="1"/>
      <sheetData sheetId="14227" refreshError="1"/>
      <sheetData sheetId="14228" refreshError="1"/>
      <sheetData sheetId="14229" refreshError="1"/>
      <sheetData sheetId="14230" refreshError="1"/>
      <sheetData sheetId="14231" refreshError="1"/>
      <sheetData sheetId="14232" refreshError="1"/>
      <sheetData sheetId="14233" refreshError="1"/>
      <sheetData sheetId="14234" refreshError="1"/>
      <sheetData sheetId="14235" refreshError="1"/>
      <sheetData sheetId="14236" refreshError="1"/>
      <sheetData sheetId="14237" refreshError="1"/>
      <sheetData sheetId="14238" refreshError="1"/>
      <sheetData sheetId="14239" refreshError="1"/>
      <sheetData sheetId="14240" refreshError="1"/>
      <sheetData sheetId="14241" refreshError="1"/>
      <sheetData sheetId="14242" refreshError="1"/>
      <sheetData sheetId="14243" refreshError="1"/>
      <sheetData sheetId="14244" refreshError="1"/>
      <sheetData sheetId="14245" refreshError="1"/>
      <sheetData sheetId="14246" refreshError="1"/>
      <sheetData sheetId="14247" refreshError="1"/>
      <sheetData sheetId="14248" refreshError="1"/>
      <sheetData sheetId="14249" refreshError="1"/>
      <sheetData sheetId="14250" refreshError="1"/>
      <sheetData sheetId="14251" refreshError="1"/>
      <sheetData sheetId="14252" refreshError="1"/>
      <sheetData sheetId="14253" refreshError="1"/>
      <sheetData sheetId="14254" refreshError="1"/>
      <sheetData sheetId="14255" refreshError="1"/>
      <sheetData sheetId="14256" refreshError="1"/>
      <sheetData sheetId="14257" refreshError="1"/>
      <sheetData sheetId="14258" refreshError="1"/>
      <sheetData sheetId="14259" refreshError="1"/>
      <sheetData sheetId="14260" refreshError="1"/>
      <sheetData sheetId="14261" refreshError="1"/>
      <sheetData sheetId="14262" refreshError="1"/>
      <sheetData sheetId="14263" refreshError="1"/>
      <sheetData sheetId="14264" refreshError="1"/>
      <sheetData sheetId="14265" refreshError="1"/>
      <sheetData sheetId="14266" refreshError="1"/>
      <sheetData sheetId="14267" refreshError="1"/>
      <sheetData sheetId="14268" refreshError="1"/>
      <sheetData sheetId="14269" refreshError="1"/>
      <sheetData sheetId="14270" refreshError="1"/>
      <sheetData sheetId="14271" refreshError="1"/>
      <sheetData sheetId="14272" refreshError="1"/>
      <sheetData sheetId="14273" refreshError="1"/>
      <sheetData sheetId="14274" refreshError="1"/>
      <sheetData sheetId="14275" refreshError="1"/>
      <sheetData sheetId="14276" refreshError="1"/>
      <sheetData sheetId="14277" refreshError="1"/>
      <sheetData sheetId="14278" refreshError="1"/>
      <sheetData sheetId="14279" refreshError="1"/>
      <sheetData sheetId="14280" refreshError="1"/>
      <sheetData sheetId="14281" refreshError="1"/>
      <sheetData sheetId="14282" refreshError="1"/>
      <sheetData sheetId="14283" refreshError="1"/>
      <sheetData sheetId="14284" refreshError="1"/>
      <sheetData sheetId="14285" refreshError="1"/>
      <sheetData sheetId="14286" refreshError="1"/>
      <sheetData sheetId="14287" refreshError="1"/>
      <sheetData sheetId="14288" refreshError="1"/>
      <sheetData sheetId="14289" refreshError="1"/>
      <sheetData sheetId="14290" refreshError="1"/>
      <sheetData sheetId="14291" refreshError="1"/>
      <sheetData sheetId="14292" refreshError="1"/>
      <sheetData sheetId="14293" refreshError="1"/>
      <sheetData sheetId="14294" refreshError="1"/>
      <sheetData sheetId="14295" refreshError="1"/>
      <sheetData sheetId="14296" refreshError="1"/>
      <sheetData sheetId="14297" refreshError="1"/>
      <sheetData sheetId="14298" refreshError="1"/>
      <sheetData sheetId="14299" refreshError="1"/>
      <sheetData sheetId="14300" refreshError="1"/>
      <sheetData sheetId="14301" refreshError="1"/>
      <sheetData sheetId="14302" refreshError="1"/>
      <sheetData sheetId="14303" refreshError="1"/>
      <sheetData sheetId="14304" refreshError="1"/>
      <sheetData sheetId="14305" refreshError="1"/>
      <sheetData sheetId="14306" refreshError="1"/>
      <sheetData sheetId="14307" refreshError="1"/>
      <sheetData sheetId="14308" refreshError="1"/>
      <sheetData sheetId="14309" refreshError="1"/>
      <sheetData sheetId="14310" refreshError="1"/>
      <sheetData sheetId="14311" refreshError="1"/>
      <sheetData sheetId="14312" refreshError="1"/>
      <sheetData sheetId="14313" refreshError="1"/>
      <sheetData sheetId="14314" refreshError="1"/>
      <sheetData sheetId="14315" refreshError="1"/>
      <sheetData sheetId="14316" refreshError="1"/>
      <sheetData sheetId="14317" refreshError="1"/>
      <sheetData sheetId="14318" refreshError="1"/>
      <sheetData sheetId="14319" refreshError="1"/>
      <sheetData sheetId="14320" refreshError="1"/>
      <sheetData sheetId="14321" refreshError="1"/>
      <sheetData sheetId="14322" refreshError="1"/>
      <sheetData sheetId="14323" refreshError="1"/>
      <sheetData sheetId="14324" refreshError="1"/>
      <sheetData sheetId="14325" refreshError="1"/>
      <sheetData sheetId="14326" refreshError="1"/>
      <sheetData sheetId="14327" refreshError="1"/>
      <sheetData sheetId="14328" refreshError="1"/>
      <sheetData sheetId="14329" refreshError="1"/>
      <sheetData sheetId="14330" refreshError="1"/>
      <sheetData sheetId="14331" refreshError="1"/>
      <sheetData sheetId="14332" refreshError="1"/>
      <sheetData sheetId="14333" refreshError="1"/>
      <sheetData sheetId="14334" refreshError="1"/>
      <sheetData sheetId="14335" refreshError="1"/>
      <sheetData sheetId="14336" refreshError="1"/>
      <sheetData sheetId="14337" refreshError="1"/>
      <sheetData sheetId="14338" refreshError="1"/>
      <sheetData sheetId="14339" refreshError="1"/>
      <sheetData sheetId="14340" refreshError="1"/>
      <sheetData sheetId="14341" refreshError="1"/>
      <sheetData sheetId="14342" refreshError="1"/>
      <sheetData sheetId="14343" refreshError="1"/>
      <sheetData sheetId="14344" refreshError="1"/>
      <sheetData sheetId="14345" refreshError="1"/>
      <sheetData sheetId="14346" refreshError="1"/>
      <sheetData sheetId="14347" refreshError="1"/>
      <sheetData sheetId="14348" refreshError="1"/>
      <sheetData sheetId="14349" refreshError="1"/>
      <sheetData sheetId="14350" refreshError="1"/>
      <sheetData sheetId="14351" refreshError="1"/>
      <sheetData sheetId="14352" refreshError="1"/>
      <sheetData sheetId="14353" refreshError="1"/>
      <sheetData sheetId="14354" refreshError="1"/>
      <sheetData sheetId="14355" refreshError="1"/>
      <sheetData sheetId="14356" refreshError="1"/>
      <sheetData sheetId="14357" refreshError="1"/>
      <sheetData sheetId="14358" refreshError="1"/>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refreshError="1"/>
      <sheetData sheetId="14641" refreshError="1"/>
      <sheetData sheetId="14642" refreshError="1"/>
      <sheetData sheetId="14643" refreshError="1"/>
      <sheetData sheetId="14644" refreshError="1"/>
      <sheetData sheetId="14645" refreshError="1"/>
      <sheetData sheetId="14646" refreshError="1"/>
      <sheetData sheetId="14647" refreshError="1"/>
      <sheetData sheetId="14648" refreshError="1"/>
      <sheetData sheetId="14649" refreshError="1"/>
      <sheetData sheetId="14650" refreshError="1"/>
      <sheetData sheetId="14651" refreshError="1"/>
      <sheetData sheetId="14652" refreshError="1"/>
      <sheetData sheetId="14653" refreshError="1"/>
      <sheetData sheetId="14654" refreshError="1"/>
      <sheetData sheetId="14655" refreshError="1"/>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refreshError="1"/>
      <sheetData sheetId="14669" refreshError="1"/>
      <sheetData sheetId="14670" refreshError="1"/>
      <sheetData sheetId="14671" refreshError="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refreshError="1"/>
      <sheetData sheetId="14689" refreshError="1"/>
      <sheetData sheetId="14690" refreshError="1"/>
      <sheetData sheetId="14691" refreshError="1"/>
      <sheetData sheetId="14692" refreshError="1"/>
      <sheetData sheetId="14693" refreshError="1"/>
      <sheetData sheetId="14694" refreshError="1"/>
      <sheetData sheetId="14695" refreshError="1"/>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refreshError="1"/>
      <sheetData sheetId="14717" refreshError="1"/>
      <sheetData sheetId="14718" refreshError="1"/>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refreshError="1"/>
      <sheetData sheetId="14763" refreshError="1"/>
      <sheetData sheetId="14764" refreshError="1"/>
      <sheetData sheetId="14765" refreshError="1"/>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refreshError="1"/>
      <sheetData sheetId="14782" refreshError="1"/>
      <sheetData sheetId="14783" refreshError="1"/>
      <sheetData sheetId="14784" refreshError="1"/>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 sheetId="14807" refreshError="1"/>
      <sheetData sheetId="14808" refreshError="1"/>
      <sheetData sheetId="14809" refreshError="1"/>
      <sheetData sheetId="14810" refreshError="1"/>
      <sheetData sheetId="14811" refreshError="1"/>
      <sheetData sheetId="14812" refreshError="1"/>
      <sheetData sheetId="14813" refreshError="1"/>
      <sheetData sheetId="14814" refreshError="1"/>
      <sheetData sheetId="14815" refreshError="1"/>
      <sheetData sheetId="14816" refreshError="1"/>
      <sheetData sheetId="14817" refreshError="1"/>
      <sheetData sheetId="14818" refreshError="1"/>
      <sheetData sheetId="14819" refreshError="1"/>
      <sheetData sheetId="14820" refreshError="1"/>
      <sheetData sheetId="14821" refreshError="1"/>
      <sheetData sheetId="14822" refreshError="1"/>
      <sheetData sheetId="14823" refreshError="1"/>
      <sheetData sheetId="14824" refreshError="1"/>
      <sheetData sheetId="14825" refreshError="1"/>
      <sheetData sheetId="14826" refreshError="1"/>
      <sheetData sheetId="14827" refreshError="1"/>
      <sheetData sheetId="14828" refreshError="1"/>
      <sheetData sheetId="14829" refreshError="1"/>
      <sheetData sheetId="14830" refreshError="1"/>
      <sheetData sheetId="14831" refreshError="1"/>
      <sheetData sheetId="14832" refreshError="1"/>
      <sheetData sheetId="14833" refreshError="1"/>
      <sheetData sheetId="14834" refreshError="1"/>
      <sheetData sheetId="14835" refreshError="1"/>
      <sheetData sheetId="14836" refreshError="1"/>
      <sheetData sheetId="14837" refreshError="1"/>
      <sheetData sheetId="14838" refreshError="1"/>
      <sheetData sheetId="14839" refreshError="1"/>
      <sheetData sheetId="14840" refreshError="1"/>
      <sheetData sheetId="14841" refreshError="1"/>
      <sheetData sheetId="14842" refreshError="1"/>
      <sheetData sheetId="14843" refreshError="1"/>
      <sheetData sheetId="14844" refreshError="1"/>
      <sheetData sheetId="14845" refreshError="1"/>
      <sheetData sheetId="14846" refreshError="1"/>
      <sheetData sheetId="14847" refreshError="1"/>
      <sheetData sheetId="14848" refreshError="1"/>
      <sheetData sheetId="14849" refreshError="1"/>
      <sheetData sheetId="14850" refreshError="1"/>
      <sheetData sheetId="14851" refreshError="1"/>
      <sheetData sheetId="14852" refreshError="1"/>
      <sheetData sheetId="14853" refreshError="1"/>
      <sheetData sheetId="14854" refreshError="1"/>
      <sheetData sheetId="14855" refreshError="1"/>
      <sheetData sheetId="14856" refreshError="1"/>
      <sheetData sheetId="14857" refreshError="1"/>
      <sheetData sheetId="14858" refreshError="1"/>
      <sheetData sheetId="14859" refreshError="1"/>
      <sheetData sheetId="14860" refreshError="1"/>
      <sheetData sheetId="14861" refreshError="1"/>
      <sheetData sheetId="14862" refreshError="1"/>
      <sheetData sheetId="14863" refreshError="1"/>
      <sheetData sheetId="14864" refreshError="1"/>
      <sheetData sheetId="14865" refreshError="1"/>
      <sheetData sheetId="14866" refreshError="1"/>
      <sheetData sheetId="14867" refreshError="1"/>
      <sheetData sheetId="14868" refreshError="1"/>
      <sheetData sheetId="14869" refreshError="1"/>
      <sheetData sheetId="14870" refreshError="1"/>
      <sheetData sheetId="14871" refreshError="1"/>
      <sheetData sheetId="14872" refreshError="1"/>
      <sheetData sheetId="14873" refreshError="1"/>
      <sheetData sheetId="14874" refreshError="1"/>
      <sheetData sheetId="14875" refreshError="1"/>
      <sheetData sheetId="14876" refreshError="1"/>
      <sheetData sheetId="14877" refreshError="1"/>
      <sheetData sheetId="14878" refreshError="1"/>
      <sheetData sheetId="14879" refreshError="1"/>
      <sheetData sheetId="14880" refreshError="1"/>
      <sheetData sheetId="14881" refreshError="1"/>
      <sheetData sheetId="14882" refreshError="1"/>
      <sheetData sheetId="14883" refreshError="1"/>
      <sheetData sheetId="14884" refreshError="1"/>
      <sheetData sheetId="14885" refreshError="1"/>
      <sheetData sheetId="14886" refreshError="1"/>
      <sheetData sheetId="14887" refreshError="1"/>
      <sheetData sheetId="14888" refreshError="1"/>
      <sheetData sheetId="14889" refreshError="1"/>
      <sheetData sheetId="14890" refreshError="1"/>
      <sheetData sheetId="14891" refreshError="1"/>
      <sheetData sheetId="14892" refreshError="1"/>
      <sheetData sheetId="14893" refreshError="1"/>
      <sheetData sheetId="14894" refreshError="1"/>
      <sheetData sheetId="14895" refreshError="1"/>
      <sheetData sheetId="14896" refreshError="1"/>
      <sheetData sheetId="14897" refreshError="1"/>
      <sheetData sheetId="14898" refreshError="1"/>
      <sheetData sheetId="14899" refreshError="1"/>
      <sheetData sheetId="14900" refreshError="1"/>
      <sheetData sheetId="14901" refreshError="1"/>
      <sheetData sheetId="14902" refreshError="1"/>
      <sheetData sheetId="14903" refreshError="1"/>
      <sheetData sheetId="14904" refreshError="1"/>
      <sheetData sheetId="14905" refreshError="1"/>
      <sheetData sheetId="14906" refreshError="1"/>
      <sheetData sheetId="14907" refreshError="1"/>
      <sheetData sheetId="14908" refreshError="1"/>
      <sheetData sheetId="14909" refreshError="1"/>
      <sheetData sheetId="14910" refreshError="1"/>
      <sheetData sheetId="14911" refreshError="1"/>
      <sheetData sheetId="14912" refreshError="1"/>
      <sheetData sheetId="14913" refreshError="1"/>
      <sheetData sheetId="14914" refreshError="1"/>
      <sheetData sheetId="14915" refreshError="1"/>
      <sheetData sheetId="14916" refreshError="1"/>
      <sheetData sheetId="14917" refreshError="1"/>
      <sheetData sheetId="14918" refreshError="1"/>
      <sheetData sheetId="14919" refreshError="1"/>
      <sheetData sheetId="14920" refreshError="1"/>
      <sheetData sheetId="14921" refreshError="1"/>
      <sheetData sheetId="14922" refreshError="1"/>
      <sheetData sheetId="14923" refreshError="1"/>
      <sheetData sheetId="14924" refreshError="1"/>
      <sheetData sheetId="14925" refreshError="1"/>
      <sheetData sheetId="14926" refreshError="1"/>
      <sheetData sheetId="14927" refreshError="1"/>
      <sheetData sheetId="14928" refreshError="1"/>
      <sheetData sheetId="14929" refreshError="1"/>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refreshError="1"/>
      <sheetData sheetId="15774" refreshError="1"/>
      <sheetData sheetId="15775" refreshError="1"/>
      <sheetData sheetId="15776" refreshError="1"/>
      <sheetData sheetId="15777" refreshError="1"/>
      <sheetData sheetId="15778" refreshError="1"/>
      <sheetData sheetId="15779" refreshError="1"/>
      <sheetData sheetId="15780" refreshError="1"/>
      <sheetData sheetId="15781" refreshError="1"/>
      <sheetData sheetId="15782" refreshError="1"/>
      <sheetData sheetId="15783" refreshError="1"/>
      <sheetData sheetId="15784" refreshError="1"/>
      <sheetData sheetId="15785" refreshError="1"/>
      <sheetData sheetId="15786" refreshError="1"/>
      <sheetData sheetId="15787" refreshError="1"/>
      <sheetData sheetId="15788" refreshError="1"/>
      <sheetData sheetId="15789" refreshError="1"/>
      <sheetData sheetId="15790" refreshError="1"/>
      <sheetData sheetId="15791" refreshError="1"/>
      <sheetData sheetId="15792" refreshError="1"/>
      <sheetData sheetId="15793" refreshError="1"/>
      <sheetData sheetId="15794" refreshError="1"/>
      <sheetData sheetId="15795" refreshError="1"/>
      <sheetData sheetId="15796" refreshError="1"/>
      <sheetData sheetId="15797" refreshError="1"/>
      <sheetData sheetId="15798" refreshError="1"/>
      <sheetData sheetId="15799" refreshError="1"/>
      <sheetData sheetId="15800" refreshError="1"/>
      <sheetData sheetId="15801" refreshError="1"/>
      <sheetData sheetId="15802" refreshError="1"/>
      <sheetData sheetId="15803" refreshError="1"/>
      <sheetData sheetId="15804" refreshError="1"/>
      <sheetData sheetId="15805" refreshError="1"/>
      <sheetData sheetId="15806" refreshError="1"/>
      <sheetData sheetId="15807" refreshError="1"/>
      <sheetData sheetId="15808" refreshError="1"/>
      <sheetData sheetId="15809" refreshError="1"/>
      <sheetData sheetId="15810" refreshError="1"/>
      <sheetData sheetId="15811" refreshError="1"/>
      <sheetData sheetId="15812" refreshError="1"/>
      <sheetData sheetId="15813" refreshError="1"/>
      <sheetData sheetId="15814" refreshError="1"/>
      <sheetData sheetId="15815" refreshError="1"/>
      <sheetData sheetId="15816" refreshError="1"/>
      <sheetData sheetId="15817" refreshError="1"/>
      <sheetData sheetId="15818" refreshError="1"/>
      <sheetData sheetId="15819" refreshError="1"/>
      <sheetData sheetId="15820" refreshError="1"/>
      <sheetData sheetId="15821" refreshError="1"/>
      <sheetData sheetId="15822" refreshError="1"/>
      <sheetData sheetId="15823" refreshError="1"/>
      <sheetData sheetId="15824" refreshError="1"/>
      <sheetData sheetId="15825" refreshError="1"/>
      <sheetData sheetId="15826" refreshError="1"/>
      <sheetData sheetId="15827" refreshError="1"/>
      <sheetData sheetId="15828" refreshError="1"/>
      <sheetData sheetId="15829" refreshError="1"/>
      <sheetData sheetId="15830" refreshError="1"/>
      <sheetData sheetId="15831" refreshError="1"/>
      <sheetData sheetId="15832" refreshError="1"/>
      <sheetData sheetId="15833" refreshError="1"/>
      <sheetData sheetId="15834" refreshError="1"/>
      <sheetData sheetId="15835" refreshError="1"/>
      <sheetData sheetId="15836" refreshError="1"/>
      <sheetData sheetId="15837" refreshError="1"/>
      <sheetData sheetId="15838" refreshError="1"/>
      <sheetData sheetId="15839" refreshError="1"/>
      <sheetData sheetId="15840" refreshError="1"/>
      <sheetData sheetId="15841" refreshError="1"/>
      <sheetData sheetId="15842" refreshError="1"/>
      <sheetData sheetId="15843" refreshError="1"/>
      <sheetData sheetId="15844" refreshError="1"/>
      <sheetData sheetId="15845" refreshError="1"/>
      <sheetData sheetId="15846" refreshError="1"/>
      <sheetData sheetId="15847" refreshError="1"/>
      <sheetData sheetId="15848" refreshError="1"/>
      <sheetData sheetId="15849" refreshError="1"/>
      <sheetData sheetId="15850" refreshError="1"/>
      <sheetData sheetId="15851" refreshError="1"/>
      <sheetData sheetId="15852" refreshError="1"/>
      <sheetData sheetId="15853" refreshError="1"/>
      <sheetData sheetId="15854" refreshError="1"/>
      <sheetData sheetId="15855" refreshError="1"/>
      <sheetData sheetId="15856" refreshError="1"/>
      <sheetData sheetId="15857" refreshError="1"/>
      <sheetData sheetId="15858" refreshError="1"/>
      <sheetData sheetId="15859" refreshError="1"/>
      <sheetData sheetId="15860" refreshError="1"/>
      <sheetData sheetId="15861" refreshError="1"/>
      <sheetData sheetId="15862" refreshError="1"/>
      <sheetData sheetId="15863" refreshError="1"/>
      <sheetData sheetId="15864" refreshError="1"/>
      <sheetData sheetId="15865" refreshError="1"/>
      <sheetData sheetId="15866" refreshError="1"/>
      <sheetData sheetId="15867" refreshError="1"/>
      <sheetData sheetId="15868" refreshError="1"/>
      <sheetData sheetId="15869" refreshError="1"/>
      <sheetData sheetId="15870" refreshError="1"/>
      <sheetData sheetId="15871" refreshError="1"/>
      <sheetData sheetId="15872" refreshError="1"/>
      <sheetData sheetId="15873" refreshError="1"/>
      <sheetData sheetId="15874" refreshError="1"/>
      <sheetData sheetId="15875" refreshError="1"/>
      <sheetData sheetId="15876" refreshError="1"/>
      <sheetData sheetId="15877" refreshError="1"/>
      <sheetData sheetId="15878" refreshError="1"/>
      <sheetData sheetId="15879" refreshError="1"/>
      <sheetData sheetId="15880" refreshError="1"/>
      <sheetData sheetId="15881" refreshError="1"/>
      <sheetData sheetId="15882" refreshError="1"/>
      <sheetData sheetId="15883" refreshError="1"/>
      <sheetData sheetId="15884" refreshError="1"/>
      <sheetData sheetId="15885" refreshError="1"/>
      <sheetData sheetId="15886" refreshError="1"/>
      <sheetData sheetId="15887" refreshError="1"/>
      <sheetData sheetId="15888" refreshError="1"/>
      <sheetData sheetId="15889" refreshError="1"/>
      <sheetData sheetId="15890" refreshError="1"/>
      <sheetData sheetId="15891" refreshError="1"/>
      <sheetData sheetId="15892" refreshError="1"/>
      <sheetData sheetId="15893" refreshError="1"/>
      <sheetData sheetId="15894" refreshError="1"/>
      <sheetData sheetId="15895" refreshError="1"/>
      <sheetData sheetId="15896" refreshError="1"/>
      <sheetData sheetId="15897" refreshError="1"/>
      <sheetData sheetId="15898" refreshError="1"/>
      <sheetData sheetId="15899" refreshError="1"/>
      <sheetData sheetId="15900" refreshError="1"/>
      <sheetData sheetId="15901" refreshError="1"/>
      <sheetData sheetId="15902" refreshError="1"/>
      <sheetData sheetId="15903" refreshError="1"/>
      <sheetData sheetId="15904" refreshError="1"/>
      <sheetData sheetId="15905" refreshError="1"/>
      <sheetData sheetId="15906" refreshError="1"/>
      <sheetData sheetId="15907" refreshError="1"/>
      <sheetData sheetId="15908" refreshError="1"/>
      <sheetData sheetId="15909" refreshError="1"/>
      <sheetData sheetId="15910" refreshError="1"/>
      <sheetData sheetId="15911" refreshError="1"/>
      <sheetData sheetId="15912" refreshError="1"/>
      <sheetData sheetId="15913" refreshError="1"/>
      <sheetData sheetId="15914" refreshError="1"/>
      <sheetData sheetId="15915" refreshError="1"/>
      <sheetData sheetId="15916" refreshError="1"/>
      <sheetData sheetId="15917" refreshError="1"/>
      <sheetData sheetId="15918" refreshError="1"/>
      <sheetData sheetId="15919" refreshError="1"/>
      <sheetData sheetId="15920" refreshError="1"/>
      <sheetData sheetId="15921" refreshError="1"/>
      <sheetData sheetId="15922" refreshError="1"/>
      <sheetData sheetId="15923" refreshError="1"/>
      <sheetData sheetId="15924" refreshError="1"/>
      <sheetData sheetId="15925" refreshError="1"/>
      <sheetData sheetId="15926" refreshError="1"/>
      <sheetData sheetId="15927" refreshError="1"/>
      <sheetData sheetId="15928" refreshError="1"/>
      <sheetData sheetId="15929" refreshError="1"/>
      <sheetData sheetId="15930" refreshError="1"/>
      <sheetData sheetId="15931" refreshError="1"/>
      <sheetData sheetId="15932" refreshError="1"/>
      <sheetData sheetId="15933" refreshError="1"/>
      <sheetData sheetId="15934" refreshError="1"/>
      <sheetData sheetId="15935" refreshError="1"/>
      <sheetData sheetId="15936" refreshError="1"/>
      <sheetData sheetId="15937" refreshError="1"/>
      <sheetData sheetId="15938" refreshError="1"/>
      <sheetData sheetId="15939" refreshError="1"/>
      <sheetData sheetId="15940" refreshError="1"/>
      <sheetData sheetId="15941" refreshError="1"/>
      <sheetData sheetId="15942" refreshError="1"/>
      <sheetData sheetId="15943" refreshError="1"/>
      <sheetData sheetId="15944" refreshError="1"/>
      <sheetData sheetId="15945" refreshError="1"/>
      <sheetData sheetId="15946" refreshError="1"/>
      <sheetData sheetId="15947" refreshError="1"/>
      <sheetData sheetId="15948" refreshError="1"/>
      <sheetData sheetId="15949" refreshError="1"/>
      <sheetData sheetId="15950" refreshError="1"/>
      <sheetData sheetId="15951" refreshError="1"/>
      <sheetData sheetId="15952" refreshError="1"/>
      <sheetData sheetId="15953" refreshError="1"/>
      <sheetData sheetId="15954" refreshError="1"/>
      <sheetData sheetId="15955" refreshError="1"/>
      <sheetData sheetId="15956" refreshError="1"/>
      <sheetData sheetId="15957" refreshError="1"/>
      <sheetData sheetId="15958" refreshError="1"/>
      <sheetData sheetId="15959" refreshError="1"/>
      <sheetData sheetId="15960" refreshError="1"/>
      <sheetData sheetId="15961" refreshError="1"/>
      <sheetData sheetId="15962" refreshError="1"/>
      <sheetData sheetId="15963" refreshError="1"/>
      <sheetData sheetId="15964" refreshError="1"/>
      <sheetData sheetId="15965" refreshError="1"/>
      <sheetData sheetId="15966" refreshError="1"/>
      <sheetData sheetId="15967" refreshError="1"/>
      <sheetData sheetId="15968" refreshError="1"/>
      <sheetData sheetId="15969" refreshError="1"/>
      <sheetData sheetId="15970" refreshError="1"/>
      <sheetData sheetId="15971" refreshError="1"/>
      <sheetData sheetId="15972" refreshError="1"/>
      <sheetData sheetId="15973" refreshError="1"/>
      <sheetData sheetId="15974" refreshError="1"/>
      <sheetData sheetId="15975" refreshError="1"/>
      <sheetData sheetId="15976" refreshError="1"/>
      <sheetData sheetId="15977" refreshError="1"/>
      <sheetData sheetId="15978" refreshError="1"/>
      <sheetData sheetId="15979" refreshError="1"/>
      <sheetData sheetId="15980" refreshError="1"/>
      <sheetData sheetId="15981" refreshError="1"/>
      <sheetData sheetId="15982" refreshError="1"/>
      <sheetData sheetId="15983" refreshError="1"/>
      <sheetData sheetId="15984" refreshError="1"/>
      <sheetData sheetId="15985" refreshError="1"/>
      <sheetData sheetId="15986" refreshError="1"/>
      <sheetData sheetId="15987" refreshError="1"/>
      <sheetData sheetId="15988" refreshError="1"/>
      <sheetData sheetId="15989" refreshError="1"/>
      <sheetData sheetId="15990" refreshError="1"/>
      <sheetData sheetId="15991" refreshError="1"/>
      <sheetData sheetId="15992" refreshError="1"/>
      <sheetData sheetId="15993" refreshError="1"/>
      <sheetData sheetId="15994" refreshError="1"/>
      <sheetData sheetId="15995" refreshError="1"/>
      <sheetData sheetId="15996" refreshError="1"/>
      <sheetData sheetId="15997" refreshError="1"/>
      <sheetData sheetId="15998" refreshError="1"/>
      <sheetData sheetId="15999" refreshError="1"/>
      <sheetData sheetId="16000" refreshError="1"/>
      <sheetData sheetId="16001" refreshError="1"/>
      <sheetData sheetId="16002" refreshError="1"/>
      <sheetData sheetId="16003" refreshError="1"/>
      <sheetData sheetId="16004" refreshError="1"/>
      <sheetData sheetId="16005" refreshError="1"/>
      <sheetData sheetId="16006" refreshError="1"/>
      <sheetData sheetId="16007" refreshError="1"/>
      <sheetData sheetId="16008" refreshError="1"/>
      <sheetData sheetId="16009" refreshError="1"/>
      <sheetData sheetId="16010" refreshError="1"/>
      <sheetData sheetId="16011" refreshError="1"/>
      <sheetData sheetId="16012" refreshError="1"/>
      <sheetData sheetId="16013" refreshError="1"/>
      <sheetData sheetId="16014" refreshError="1"/>
      <sheetData sheetId="16015" refreshError="1"/>
      <sheetData sheetId="16016" refreshError="1"/>
      <sheetData sheetId="16017" refreshError="1"/>
      <sheetData sheetId="16018" refreshError="1"/>
      <sheetData sheetId="16019" refreshError="1"/>
      <sheetData sheetId="16020" refreshError="1"/>
      <sheetData sheetId="16021" refreshError="1"/>
      <sheetData sheetId="16022" refreshError="1"/>
      <sheetData sheetId="16023" refreshError="1"/>
      <sheetData sheetId="16024" refreshError="1"/>
      <sheetData sheetId="16025" refreshError="1"/>
      <sheetData sheetId="16026" refreshError="1"/>
      <sheetData sheetId="16027" refreshError="1"/>
      <sheetData sheetId="16028" refreshError="1"/>
      <sheetData sheetId="16029" refreshError="1"/>
      <sheetData sheetId="16030" refreshError="1"/>
      <sheetData sheetId="16031" refreshError="1"/>
      <sheetData sheetId="16032" refreshError="1"/>
      <sheetData sheetId="16033" refreshError="1"/>
      <sheetData sheetId="16034" refreshError="1"/>
      <sheetData sheetId="16035" refreshError="1"/>
      <sheetData sheetId="16036" refreshError="1"/>
      <sheetData sheetId="16037" refreshError="1"/>
      <sheetData sheetId="16038" refreshError="1"/>
      <sheetData sheetId="16039" refreshError="1"/>
      <sheetData sheetId="16040" refreshError="1"/>
      <sheetData sheetId="16041" refreshError="1"/>
      <sheetData sheetId="16042" refreshError="1"/>
      <sheetData sheetId="16043" refreshError="1"/>
      <sheetData sheetId="16044" refreshError="1"/>
      <sheetData sheetId="16045" refreshError="1"/>
      <sheetData sheetId="16046" refreshError="1"/>
      <sheetData sheetId="16047" refreshError="1"/>
      <sheetData sheetId="16048" refreshError="1"/>
      <sheetData sheetId="16049" refreshError="1"/>
      <sheetData sheetId="16050" refreshError="1"/>
      <sheetData sheetId="16051" refreshError="1"/>
      <sheetData sheetId="16052" refreshError="1"/>
      <sheetData sheetId="16053" refreshError="1"/>
      <sheetData sheetId="16054" refreshError="1"/>
      <sheetData sheetId="16055" refreshError="1"/>
      <sheetData sheetId="16056" refreshError="1"/>
      <sheetData sheetId="16057" refreshError="1"/>
      <sheetData sheetId="16058" refreshError="1"/>
      <sheetData sheetId="16059" refreshError="1"/>
      <sheetData sheetId="16060" refreshError="1"/>
      <sheetData sheetId="16061" refreshError="1"/>
      <sheetData sheetId="16062" refreshError="1"/>
      <sheetData sheetId="16063" refreshError="1"/>
      <sheetData sheetId="16064" refreshError="1"/>
      <sheetData sheetId="16065" refreshError="1"/>
      <sheetData sheetId="16066" refreshError="1"/>
      <sheetData sheetId="16067" refreshError="1"/>
      <sheetData sheetId="16068" refreshError="1"/>
      <sheetData sheetId="16069" refreshError="1"/>
      <sheetData sheetId="16070" refreshError="1"/>
      <sheetData sheetId="16071" refreshError="1"/>
      <sheetData sheetId="16072" refreshError="1"/>
      <sheetData sheetId="16073" refreshError="1"/>
      <sheetData sheetId="16074" refreshError="1"/>
      <sheetData sheetId="16075" refreshError="1"/>
      <sheetData sheetId="16076" refreshError="1"/>
      <sheetData sheetId="16077" refreshError="1"/>
      <sheetData sheetId="16078" refreshError="1"/>
      <sheetData sheetId="16079" refreshError="1"/>
      <sheetData sheetId="16080" refreshError="1"/>
      <sheetData sheetId="16081" refreshError="1"/>
      <sheetData sheetId="16082" refreshError="1"/>
      <sheetData sheetId="16083" refreshError="1"/>
      <sheetData sheetId="16084" refreshError="1"/>
      <sheetData sheetId="16085" refreshError="1"/>
      <sheetData sheetId="16086" refreshError="1"/>
      <sheetData sheetId="16087" refreshError="1"/>
      <sheetData sheetId="16088" refreshError="1"/>
      <sheetData sheetId="16089" refreshError="1"/>
      <sheetData sheetId="16090" refreshError="1"/>
      <sheetData sheetId="16091" refreshError="1"/>
      <sheetData sheetId="16092" refreshError="1"/>
      <sheetData sheetId="16093" refreshError="1"/>
      <sheetData sheetId="16094" refreshError="1"/>
      <sheetData sheetId="16095" refreshError="1"/>
      <sheetData sheetId="16096" refreshError="1"/>
      <sheetData sheetId="16097" refreshError="1"/>
      <sheetData sheetId="16098" refreshError="1"/>
      <sheetData sheetId="16099" refreshError="1"/>
      <sheetData sheetId="16100" refreshError="1"/>
      <sheetData sheetId="16101" refreshError="1"/>
      <sheetData sheetId="16102" refreshError="1"/>
      <sheetData sheetId="16103" refreshError="1"/>
      <sheetData sheetId="16104" refreshError="1"/>
      <sheetData sheetId="16105" refreshError="1"/>
      <sheetData sheetId="16106" refreshError="1"/>
      <sheetData sheetId="16107" refreshError="1"/>
      <sheetData sheetId="16108" refreshError="1"/>
      <sheetData sheetId="16109" refreshError="1"/>
      <sheetData sheetId="16110" refreshError="1"/>
      <sheetData sheetId="16111" refreshError="1"/>
      <sheetData sheetId="16112" refreshError="1"/>
      <sheetData sheetId="16113" refreshError="1"/>
      <sheetData sheetId="16114" refreshError="1"/>
      <sheetData sheetId="16115" refreshError="1"/>
      <sheetData sheetId="16116" refreshError="1"/>
      <sheetData sheetId="16117" refreshError="1"/>
      <sheetData sheetId="16118" refreshError="1"/>
      <sheetData sheetId="16119" refreshError="1"/>
      <sheetData sheetId="16120" refreshError="1"/>
      <sheetData sheetId="16121" refreshError="1"/>
      <sheetData sheetId="16122" refreshError="1"/>
      <sheetData sheetId="16123" refreshError="1"/>
      <sheetData sheetId="16124" refreshError="1"/>
      <sheetData sheetId="16125" refreshError="1"/>
      <sheetData sheetId="16126" refreshError="1"/>
      <sheetData sheetId="16127" refreshError="1"/>
      <sheetData sheetId="16128" refreshError="1"/>
      <sheetData sheetId="16129" refreshError="1"/>
      <sheetData sheetId="16130" refreshError="1"/>
      <sheetData sheetId="16131" refreshError="1"/>
      <sheetData sheetId="16132" refreshError="1"/>
      <sheetData sheetId="16133" refreshError="1"/>
      <sheetData sheetId="16134" refreshError="1"/>
      <sheetData sheetId="16135" refreshError="1"/>
      <sheetData sheetId="16136" refreshError="1"/>
      <sheetData sheetId="16137" refreshError="1"/>
      <sheetData sheetId="16138" refreshError="1"/>
      <sheetData sheetId="16139" refreshError="1"/>
      <sheetData sheetId="16140" refreshError="1"/>
      <sheetData sheetId="16141" refreshError="1"/>
      <sheetData sheetId="16142" refreshError="1"/>
      <sheetData sheetId="16143" refreshError="1"/>
      <sheetData sheetId="16144" refreshError="1"/>
      <sheetData sheetId="16145" refreshError="1"/>
      <sheetData sheetId="16146" refreshError="1"/>
      <sheetData sheetId="16147" refreshError="1"/>
      <sheetData sheetId="16148" refreshError="1"/>
      <sheetData sheetId="16149" refreshError="1"/>
      <sheetData sheetId="16150" refreshError="1"/>
      <sheetData sheetId="16151" refreshError="1"/>
      <sheetData sheetId="16152" refreshError="1"/>
      <sheetData sheetId="16153" refreshError="1"/>
      <sheetData sheetId="16154" refreshError="1"/>
      <sheetData sheetId="16155" refreshError="1"/>
      <sheetData sheetId="16156" refreshError="1"/>
      <sheetData sheetId="16157" refreshError="1"/>
      <sheetData sheetId="16158" refreshError="1"/>
      <sheetData sheetId="16159" refreshError="1"/>
      <sheetData sheetId="16160" refreshError="1"/>
      <sheetData sheetId="16161" refreshError="1"/>
      <sheetData sheetId="16162" refreshError="1"/>
      <sheetData sheetId="16163" refreshError="1"/>
      <sheetData sheetId="16164" refreshError="1"/>
      <sheetData sheetId="16165" refreshError="1"/>
      <sheetData sheetId="16166" refreshError="1"/>
      <sheetData sheetId="16167" refreshError="1"/>
      <sheetData sheetId="16168" refreshError="1"/>
      <sheetData sheetId="16169" refreshError="1"/>
      <sheetData sheetId="16170" refreshError="1"/>
      <sheetData sheetId="16171" refreshError="1"/>
      <sheetData sheetId="16172" refreshError="1"/>
      <sheetData sheetId="16173" refreshError="1"/>
      <sheetData sheetId="16174" refreshError="1"/>
      <sheetData sheetId="16175" refreshError="1"/>
      <sheetData sheetId="16176" refreshError="1"/>
      <sheetData sheetId="16177" refreshError="1"/>
      <sheetData sheetId="16178" refreshError="1"/>
      <sheetData sheetId="16179" refreshError="1"/>
      <sheetData sheetId="16180" refreshError="1"/>
      <sheetData sheetId="16181" refreshError="1"/>
      <sheetData sheetId="16182" refreshError="1"/>
      <sheetData sheetId="16183" refreshError="1"/>
      <sheetData sheetId="16184" refreshError="1"/>
      <sheetData sheetId="16185" refreshError="1"/>
      <sheetData sheetId="16186" refreshError="1"/>
      <sheetData sheetId="16187" refreshError="1"/>
      <sheetData sheetId="16188" refreshError="1"/>
      <sheetData sheetId="16189" refreshError="1"/>
      <sheetData sheetId="16190" refreshError="1"/>
      <sheetData sheetId="16191" refreshError="1"/>
      <sheetData sheetId="16192" refreshError="1"/>
      <sheetData sheetId="16193" refreshError="1"/>
      <sheetData sheetId="16194" refreshError="1"/>
      <sheetData sheetId="16195" refreshError="1"/>
      <sheetData sheetId="16196" refreshError="1"/>
      <sheetData sheetId="16197" refreshError="1"/>
      <sheetData sheetId="16198" refreshError="1"/>
      <sheetData sheetId="16199" refreshError="1"/>
      <sheetData sheetId="16200" refreshError="1"/>
      <sheetData sheetId="16201" refreshError="1"/>
      <sheetData sheetId="16202" refreshError="1"/>
      <sheetData sheetId="16203" refreshError="1"/>
      <sheetData sheetId="16204" refreshError="1"/>
      <sheetData sheetId="16205" refreshError="1"/>
      <sheetData sheetId="16206" refreshError="1"/>
      <sheetData sheetId="16207" refreshError="1"/>
      <sheetData sheetId="16208" refreshError="1"/>
      <sheetData sheetId="16209" refreshError="1"/>
      <sheetData sheetId="16210" refreshError="1"/>
      <sheetData sheetId="16211" refreshError="1"/>
      <sheetData sheetId="16212" refreshError="1"/>
      <sheetData sheetId="16213" refreshError="1"/>
      <sheetData sheetId="16214" refreshError="1"/>
      <sheetData sheetId="16215" refreshError="1"/>
      <sheetData sheetId="16216" refreshError="1"/>
      <sheetData sheetId="16217" refreshError="1"/>
      <sheetData sheetId="16218" refreshError="1"/>
      <sheetData sheetId="16219" refreshError="1"/>
      <sheetData sheetId="16220" refreshError="1"/>
      <sheetData sheetId="16221" refreshError="1"/>
      <sheetData sheetId="16222" refreshError="1"/>
      <sheetData sheetId="16223" refreshError="1"/>
      <sheetData sheetId="16224" refreshError="1"/>
      <sheetData sheetId="16225" refreshError="1"/>
      <sheetData sheetId="16226" refreshError="1"/>
      <sheetData sheetId="16227" refreshError="1"/>
      <sheetData sheetId="16228" refreshError="1"/>
      <sheetData sheetId="16229" refreshError="1"/>
      <sheetData sheetId="16230" refreshError="1"/>
      <sheetData sheetId="16231" refreshError="1"/>
      <sheetData sheetId="16232" refreshError="1"/>
      <sheetData sheetId="16233" refreshError="1"/>
      <sheetData sheetId="16234" refreshError="1"/>
      <sheetData sheetId="16235" refreshError="1"/>
      <sheetData sheetId="16236" refreshError="1"/>
      <sheetData sheetId="16237" refreshError="1"/>
      <sheetData sheetId="16238" refreshError="1"/>
      <sheetData sheetId="16239" refreshError="1"/>
      <sheetData sheetId="16240" refreshError="1"/>
      <sheetData sheetId="16241" refreshError="1"/>
      <sheetData sheetId="16242" refreshError="1"/>
      <sheetData sheetId="16243" refreshError="1"/>
      <sheetData sheetId="16244" refreshError="1"/>
      <sheetData sheetId="16245" refreshError="1"/>
      <sheetData sheetId="16246" refreshError="1"/>
      <sheetData sheetId="16247" refreshError="1"/>
      <sheetData sheetId="16248" refreshError="1"/>
      <sheetData sheetId="16249" refreshError="1"/>
      <sheetData sheetId="16250" refreshError="1"/>
      <sheetData sheetId="16251" refreshError="1"/>
      <sheetData sheetId="16252" refreshError="1"/>
      <sheetData sheetId="16253" refreshError="1"/>
      <sheetData sheetId="16254" refreshError="1"/>
      <sheetData sheetId="16255" refreshError="1"/>
      <sheetData sheetId="16256" refreshError="1"/>
      <sheetData sheetId="16257" refreshError="1"/>
      <sheetData sheetId="16258" refreshError="1"/>
      <sheetData sheetId="16259" refreshError="1"/>
      <sheetData sheetId="16260" refreshError="1"/>
      <sheetData sheetId="16261" refreshError="1"/>
      <sheetData sheetId="16262" refreshError="1"/>
      <sheetData sheetId="16263" refreshError="1"/>
      <sheetData sheetId="16264" refreshError="1"/>
      <sheetData sheetId="16265" refreshError="1"/>
      <sheetData sheetId="16266" refreshError="1"/>
      <sheetData sheetId="16267" refreshError="1"/>
      <sheetData sheetId="16268" refreshError="1"/>
      <sheetData sheetId="16269" refreshError="1"/>
      <sheetData sheetId="16270" refreshError="1"/>
      <sheetData sheetId="16271" refreshError="1"/>
      <sheetData sheetId="16272" refreshError="1"/>
      <sheetData sheetId="16273" refreshError="1"/>
      <sheetData sheetId="16274" refreshError="1"/>
      <sheetData sheetId="16275" refreshError="1"/>
      <sheetData sheetId="16276" refreshError="1"/>
      <sheetData sheetId="16277" refreshError="1"/>
      <sheetData sheetId="16278" refreshError="1"/>
      <sheetData sheetId="16279" refreshError="1"/>
      <sheetData sheetId="16280" refreshError="1"/>
      <sheetData sheetId="16281" refreshError="1"/>
      <sheetData sheetId="16282" refreshError="1"/>
      <sheetData sheetId="16283" refreshError="1"/>
      <sheetData sheetId="16284" refreshError="1"/>
      <sheetData sheetId="16285" refreshError="1"/>
      <sheetData sheetId="16286" refreshError="1"/>
      <sheetData sheetId="16287" refreshError="1"/>
      <sheetData sheetId="16288" refreshError="1"/>
      <sheetData sheetId="16289" refreshError="1"/>
      <sheetData sheetId="16290" refreshError="1"/>
      <sheetData sheetId="16291" refreshError="1"/>
      <sheetData sheetId="16292" refreshError="1"/>
      <sheetData sheetId="16293" refreshError="1"/>
      <sheetData sheetId="16294" refreshError="1"/>
      <sheetData sheetId="16295" refreshError="1"/>
      <sheetData sheetId="16296" refreshError="1"/>
      <sheetData sheetId="16297" refreshError="1"/>
      <sheetData sheetId="16298" refreshError="1"/>
      <sheetData sheetId="16299" refreshError="1"/>
      <sheetData sheetId="16300" refreshError="1"/>
      <sheetData sheetId="16301" refreshError="1"/>
      <sheetData sheetId="16302" refreshError="1"/>
      <sheetData sheetId="16303" refreshError="1"/>
      <sheetData sheetId="16304" refreshError="1"/>
      <sheetData sheetId="16305" refreshError="1"/>
      <sheetData sheetId="16306" refreshError="1"/>
      <sheetData sheetId="16307" refreshError="1"/>
      <sheetData sheetId="16308" refreshError="1"/>
      <sheetData sheetId="16309" refreshError="1"/>
      <sheetData sheetId="16310" refreshError="1"/>
      <sheetData sheetId="16311" refreshError="1"/>
      <sheetData sheetId="16312" refreshError="1"/>
      <sheetData sheetId="16313" refreshError="1"/>
      <sheetData sheetId="16314" refreshError="1"/>
      <sheetData sheetId="16315" refreshError="1"/>
      <sheetData sheetId="16316" refreshError="1"/>
      <sheetData sheetId="16317" refreshError="1"/>
      <sheetData sheetId="16318" refreshError="1"/>
      <sheetData sheetId="16319" refreshError="1"/>
      <sheetData sheetId="16320" refreshError="1"/>
      <sheetData sheetId="16321" refreshError="1"/>
      <sheetData sheetId="16322" refreshError="1"/>
      <sheetData sheetId="16323" refreshError="1"/>
      <sheetData sheetId="16324" refreshError="1"/>
      <sheetData sheetId="16325" refreshError="1"/>
      <sheetData sheetId="16326" refreshError="1"/>
      <sheetData sheetId="16327" refreshError="1"/>
      <sheetData sheetId="16328" refreshError="1"/>
      <sheetData sheetId="16329" refreshError="1"/>
      <sheetData sheetId="16330" refreshError="1"/>
      <sheetData sheetId="16331" refreshError="1"/>
      <sheetData sheetId="16332" refreshError="1"/>
      <sheetData sheetId="16333" refreshError="1"/>
      <sheetData sheetId="16334" refreshError="1"/>
      <sheetData sheetId="16335" refreshError="1"/>
      <sheetData sheetId="16336" refreshError="1"/>
      <sheetData sheetId="16337" refreshError="1"/>
      <sheetData sheetId="16338" refreshError="1"/>
      <sheetData sheetId="16339" refreshError="1"/>
      <sheetData sheetId="16340" refreshError="1"/>
      <sheetData sheetId="16341" refreshError="1"/>
      <sheetData sheetId="16342" refreshError="1"/>
      <sheetData sheetId="16343" refreshError="1"/>
      <sheetData sheetId="16344" refreshError="1"/>
      <sheetData sheetId="16345" refreshError="1"/>
      <sheetData sheetId="16346" refreshError="1"/>
      <sheetData sheetId="16347" refreshError="1"/>
      <sheetData sheetId="16348" refreshError="1"/>
      <sheetData sheetId="16349" refreshError="1"/>
      <sheetData sheetId="16350" refreshError="1"/>
      <sheetData sheetId="16351" refreshError="1"/>
      <sheetData sheetId="16352" refreshError="1"/>
      <sheetData sheetId="16353" refreshError="1"/>
      <sheetData sheetId="16354" refreshError="1"/>
      <sheetData sheetId="16355" refreshError="1"/>
      <sheetData sheetId="16356" refreshError="1"/>
      <sheetData sheetId="16357" refreshError="1"/>
      <sheetData sheetId="16358" refreshError="1"/>
      <sheetData sheetId="16359" refreshError="1"/>
      <sheetData sheetId="16360" refreshError="1"/>
      <sheetData sheetId="16361" refreshError="1"/>
      <sheetData sheetId="16362" refreshError="1"/>
      <sheetData sheetId="16363" refreshError="1"/>
      <sheetData sheetId="16364" refreshError="1"/>
      <sheetData sheetId="16365" refreshError="1"/>
      <sheetData sheetId="16366" refreshError="1"/>
      <sheetData sheetId="16367" refreshError="1"/>
      <sheetData sheetId="16368" refreshError="1"/>
      <sheetData sheetId="16369" refreshError="1"/>
      <sheetData sheetId="16370" refreshError="1"/>
      <sheetData sheetId="16371" refreshError="1"/>
      <sheetData sheetId="16372" refreshError="1"/>
      <sheetData sheetId="16373" refreshError="1"/>
      <sheetData sheetId="16374" refreshError="1"/>
      <sheetData sheetId="16375" refreshError="1"/>
      <sheetData sheetId="16376" refreshError="1"/>
      <sheetData sheetId="16377" refreshError="1"/>
      <sheetData sheetId="16378" refreshError="1"/>
      <sheetData sheetId="16379" refreshError="1"/>
      <sheetData sheetId="16380" refreshError="1"/>
      <sheetData sheetId="16381" refreshError="1"/>
      <sheetData sheetId="16382" refreshError="1"/>
      <sheetData sheetId="16383" refreshError="1"/>
      <sheetData sheetId="16384" refreshError="1"/>
      <sheetData sheetId="16385" refreshError="1"/>
      <sheetData sheetId="16386" refreshError="1"/>
      <sheetData sheetId="16387" refreshError="1"/>
      <sheetData sheetId="16388" refreshError="1"/>
      <sheetData sheetId="16389" refreshError="1"/>
      <sheetData sheetId="16390" refreshError="1"/>
      <sheetData sheetId="16391" refreshError="1"/>
      <sheetData sheetId="16392" refreshError="1"/>
      <sheetData sheetId="16393" refreshError="1"/>
      <sheetData sheetId="16394" refreshError="1"/>
      <sheetData sheetId="16395" refreshError="1"/>
      <sheetData sheetId="16396" refreshError="1"/>
      <sheetData sheetId="16397" refreshError="1"/>
      <sheetData sheetId="16398" refreshError="1"/>
      <sheetData sheetId="16399" refreshError="1"/>
      <sheetData sheetId="16400" refreshError="1"/>
      <sheetData sheetId="16401" refreshError="1"/>
      <sheetData sheetId="16402" refreshError="1"/>
      <sheetData sheetId="16403" refreshError="1"/>
      <sheetData sheetId="16404" refreshError="1"/>
      <sheetData sheetId="16405" refreshError="1"/>
      <sheetData sheetId="16406" refreshError="1"/>
      <sheetData sheetId="16407" refreshError="1"/>
      <sheetData sheetId="16408" refreshError="1"/>
      <sheetData sheetId="16409" refreshError="1"/>
      <sheetData sheetId="16410" refreshError="1"/>
      <sheetData sheetId="16411" refreshError="1"/>
      <sheetData sheetId="16412" refreshError="1"/>
      <sheetData sheetId="16413" refreshError="1"/>
      <sheetData sheetId="16414" refreshError="1"/>
      <sheetData sheetId="16415" refreshError="1"/>
      <sheetData sheetId="16416" refreshError="1"/>
      <sheetData sheetId="16417" refreshError="1"/>
      <sheetData sheetId="16418" refreshError="1"/>
      <sheetData sheetId="16419" refreshError="1"/>
      <sheetData sheetId="16420" refreshError="1"/>
      <sheetData sheetId="16421" refreshError="1"/>
      <sheetData sheetId="16422" refreshError="1"/>
      <sheetData sheetId="16423" refreshError="1"/>
      <sheetData sheetId="16424" refreshError="1"/>
      <sheetData sheetId="16425" refreshError="1"/>
      <sheetData sheetId="16426" refreshError="1"/>
      <sheetData sheetId="16427" refreshError="1"/>
      <sheetData sheetId="16428" refreshError="1"/>
      <sheetData sheetId="16429" refreshError="1"/>
      <sheetData sheetId="16430" refreshError="1"/>
      <sheetData sheetId="16431" refreshError="1"/>
      <sheetData sheetId="16432" refreshError="1"/>
      <sheetData sheetId="16433" refreshError="1"/>
      <sheetData sheetId="16434" refreshError="1"/>
      <sheetData sheetId="16435" refreshError="1"/>
      <sheetData sheetId="16436" refreshError="1"/>
      <sheetData sheetId="16437" refreshError="1"/>
      <sheetData sheetId="16438" refreshError="1"/>
      <sheetData sheetId="16439" refreshError="1"/>
      <sheetData sheetId="16440" refreshError="1"/>
      <sheetData sheetId="16441" refreshError="1"/>
      <sheetData sheetId="16442" refreshError="1"/>
      <sheetData sheetId="16443" refreshError="1"/>
      <sheetData sheetId="16444" refreshError="1"/>
      <sheetData sheetId="16445" refreshError="1"/>
      <sheetData sheetId="16446" refreshError="1"/>
      <sheetData sheetId="16447" refreshError="1"/>
      <sheetData sheetId="16448" refreshError="1"/>
      <sheetData sheetId="16449" refreshError="1"/>
      <sheetData sheetId="16450" refreshError="1"/>
      <sheetData sheetId="16451" refreshError="1"/>
      <sheetData sheetId="16452" refreshError="1"/>
      <sheetData sheetId="16453" refreshError="1"/>
      <sheetData sheetId="16454" refreshError="1"/>
      <sheetData sheetId="16455" refreshError="1"/>
      <sheetData sheetId="16456" refreshError="1"/>
      <sheetData sheetId="16457" refreshError="1"/>
      <sheetData sheetId="16458" refreshError="1"/>
      <sheetData sheetId="16459" refreshError="1"/>
      <sheetData sheetId="16460" refreshError="1"/>
      <sheetData sheetId="16461" refreshError="1"/>
      <sheetData sheetId="16462" refreshError="1"/>
      <sheetData sheetId="16463" refreshError="1"/>
      <sheetData sheetId="16464" refreshError="1"/>
      <sheetData sheetId="16465" refreshError="1"/>
      <sheetData sheetId="16466" refreshError="1"/>
      <sheetData sheetId="16467" refreshError="1"/>
      <sheetData sheetId="16468" refreshError="1"/>
      <sheetData sheetId="16469" refreshError="1"/>
      <sheetData sheetId="16470" refreshError="1"/>
      <sheetData sheetId="16471" refreshError="1"/>
      <sheetData sheetId="16472" refreshError="1"/>
      <sheetData sheetId="16473" refreshError="1"/>
      <sheetData sheetId="16474" refreshError="1"/>
      <sheetData sheetId="16475" refreshError="1"/>
      <sheetData sheetId="16476" refreshError="1"/>
      <sheetData sheetId="16477" refreshError="1"/>
      <sheetData sheetId="16478" refreshError="1"/>
      <sheetData sheetId="16479" refreshError="1"/>
      <sheetData sheetId="16480" refreshError="1"/>
      <sheetData sheetId="16481" refreshError="1"/>
      <sheetData sheetId="16482" refreshError="1"/>
      <sheetData sheetId="16483" refreshError="1"/>
      <sheetData sheetId="16484" refreshError="1"/>
      <sheetData sheetId="16485" refreshError="1"/>
      <sheetData sheetId="16486" refreshError="1"/>
      <sheetData sheetId="16487" refreshError="1"/>
      <sheetData sheetId="16488" refreshError="1"/>
      <sheetData sheetId="16489" refreshError="1"/>
      <sheetData sheetId="16490" refreshError="1"/>
      <sheetData sheetId="16491" refreshError="1"/>
      <sheetData sheetId="16492" refreshError="1"/>
      <sheetData sheetId="16493" refreshError="1"/>
      <sheetData sheetId="16494" refreshError="1"/>
      <sheetData sheetId="16495" refreshError="1"/>
      <sheetData sheetId="16496" refreshError="1"/>
      <sheetData sheetId="16497" refreshError="1"/>
      <sheetData sheetId="16498" refreshError="1"/>
      <sheetData sheetId="16499" refreshError="1"/>
      <sheetData sheetId="16500" refreshError="1"/>
      <sheetData sheetId="16501" refreshError="1"/>
      <sheetData sheetId="16502" refreshError="1"/>
      <sheetData sheetId="16503" refreshError="1"/>
      <sheetData sheetId="16504" refreshError="1"/>
      <sheetData sheetId="16505" refreshError="1"/>
      <sheetData sheetId="16506" refreshError="1"/>
      <sheetData sheetId="16507" refreshError="1"/>
      <sheetData sheetId="16508" refreshError="1"/>
      <sheetData sheetId="16509" refreshError="1"/>
      <sheetData sheetId="16510" refreshError="1"/>
      <sheetData sheetId="16511" refreshError="1"/>
      <sheetData sheetId="16512" refreshError="1"/>
      <sheetData sheetId="16513" refreshError="1"/>
      <sheetData sheetId="16514" refreshError="1"/>
      <sheetData sheetId="16515" refreshError="1"/>
      <sheetData sheetId="16516" refreshError="1"/>
      <sheetData sheetId="16517" refreshError="1"/>
      <sheetData sheetId="16518" refreshError="1"/>
      <sheetData sheetId="16519" refreshError="1"/>
      <sheetData sheetId="16520" refreshError="1"/>
      <sheetData sheetId="16521" refreshError="1"/>
      <sheetData sheetId="16522" refreshError="1"/>
      <sheetData sheetId="16523" refreshError="1"/>
      <sheetData sheetId="16524" refreshError="1"/>
      <sheetData sheetId="16525" refreshError="1"/>
      <sheetData sheetId="16526" refreshError="1"/>
      <sheetData sheetId="16527" refreshError="1"/>
      <sheetData sheetId="16528" refreshError="1"/>
      <sheetData sheetId="16529" refreshError="1"/>
      <sheetData sheetId="16530" refreshError="1"/>
      <sheetData sheetId="16531" refreshError="1"/>
      <sheetData sheetId="16532" refreshError="1"/>
      <sheetData sheetId="16533" refreshError="1"/>
      <sheetData sheetId="16534" refreshError="1"/>
      <sheetData sheetId="16535" refreshError="1"/>
      <sheetData sheetId="16536" refreshError="1"/>
      <sheetData sheetId="16537" refreshError="1"/>
      <sheetData sheetId="16538" refreshError="1"/>
      <sheetData sheetId="16539" refreshError="1"/>
      <sheetData sheetId="16540" refreshError="1"/>
      <sheetData sheetId="16541" refreshError="1"/>
      <sheetData sheetId="16542" refreshError="1"/>
      <sheetData sheetId="16543" refreshError="1"/>
      <sheetData sheetId="16544" refreshError="1"/>
      <sheetData sheetId="16545" refreshError="1"/>
      <sheetData sheetId="16546" refreshError="1"/>
      <sheetData sheetId="16547" refreshError="1"/>
      <sheetData sheetId="16548" refreshError="1"/>
      <sheetData sheetId="16549" refreshError="1"/>
      <sheetData sheetId="16550" refreshError="1"/>
      <sheetData sheetId="16551" refreshError="1"/>
      <sheetData sheetId="16552" refreshError="1"/>
      <sheetData sheetId="16553" refreshError="1"/>
      <sheetData sheetId="16554" refreshError="1"/>
      <sheetData sheetId="16555" refreshError="1"/>
      <sheetData sheetId="16556" refreshError="1"/>
      <sheetData sheetId="16557" refreshError="1"/>
      <sheetData sheetId="16558" refreshError="1"/>
      <sheetData sheetId="16559" refreshError="1"/>
      <sheetData sheetId="16560" refreshError="1"/>
      <sheetData sheetId="16561" refreshError="1"/>
      <sheetData sheetId="16562" refreshError="1"/>
      <sheetData sheetId="16563" refreshError="1"/>
      <sheetData sheetId="16564" refreshError="1"/>
      <sheetData sheetId="16565" refreshError="1"/>
      <sheetData sheetId="16566" refreshError="1"/>
      <sheetData sheetId="16567" refreshError="1"/>
      <sheetData sheetId="16568" refreshError="1"/>
      <sheetData sheetId="16569" refreshError="1"/>
      <sheetData sheetId="16570" refreshError="1"/>
      <sheetData sheetId="16571" refreshError="1"/>
      <sheetData sheetId="16572" refreshError="1"/>
      <sheetData sheetId="16573" refreshError="1"/>
      <sheetData sheetId="16574" refreshError="1"/>
      <sheetData sheetId="16575" refreshError="1"/>
      <sheetData sheetId="16576" refreshError="1"/>
      <sheetData sheetId="16577" refreshError="1"/>
      <sheetData sheetId="16578" refreshError="1"/>
      <sheetData sheetId="16579" refreshError="1"/>
      <sheetData sheetId="16580" refreshError="1"/>
      <sheetData sheetId="16581" refreshError="1"/>
      <sheetData sheetId="16582" refreshError="1"/>
      <sheetData sheetId="16583" refreshError="1"/>
      <sheetData sheetId="16584" refreshError="1"/>
      <sheetData sheetId="16585" refreshError="1"/>
      <sheetData sheetId="16586" refreshError="1"/>
      <sheetData sheetId="16587" refreshError="1"/>
      <sheetData sheetId="16588" refreshError="1"/>
      <sheetData sheetId="16589" refreshError="1"/>
      <sheetData sheetId="16590" refreshError="1"/>
      <sheetData sheetId="16591" refreshError="1"/>
      <sheetData sheetId="16592" refreshError="1"/>
      <sheetData sheetId="16593" refreshError="1"/>
      <sheetData sheetId="16594" refreshError="1"/>
      <sheetData sheetId="16595" refreshError="1"/>
      <sheetData sheetId="16596" refreshError="1"/>
      <sheetData sheetId="16597" refreshError="1"/>
      <sheetData sheetId="16598" refreshError="1"/>
      <sheetData sheetId="16599" refreshError="1"/>
      <sheetData sheetId="16600" refreshError="1"/>
      <sheetData sheetId="16601" refreshError="1"/>
      <sheetData sheetId="16602" refreshError="1"/>
      <sheetData sheetId="16603" refreshError="1"/>
      <sheetData sheetId="16604" refreshError="1"/>
      <sheetData sheetId="16605" refreshError="1"/>
      <sheetData sheetId="16606" refreshError="1"/>
      <sheetData sheetId="16607" refreshError="1"/>
      <sheetData sheetId="16608" refreshError="1"/>
      <sheetData sheetId="16609" refreshError="1"/>
      <sheetData sheetId="16610" refreshError="1"/>
      <sheetData sheetId="16611" refreshError="1"/>
      <sheetData sheetId="16612" refreshError="1"/>
      <sheetData sheetId="16613" refreshError="1"/>
      <sheetData sheetId="16614" refreshError="1"/>
      <sheetData sheetId="16615" refreshError="1"/>
      <sheetData sheetId="16616" refreshError="1"/>
      <sheetData sheetId="16617" refreshError="1"/>
      <sheetData sheetId="16618" refreshError="1"/>
      <sheetData sheetId="16619" refreshError="1"/>
      <sheetData sheetId="16620" refreshError="1"/>
      <sheetData sheetId="16621" refreshError="1"/>
      <sheetData sheetId="16622" refreshError="1"/>
      <sheetData sheetId="16623" refreshError="1"/>
      <sheetData sheetId="16624" refreshError="1"/>
      <sheetData sheetId="16625" refreshError="1"/>
      <sheetData sheetId="16626" refreshError="1"/>
      <sheetData sheetId="16627" refreshError="1"/>
      <sheetData sheetId="16628" refreshError="1"/>
      <sheetData sheetId="16629" refreshError="1"/>
      <sheetData sheetId="16630" refreshError="1"/>
      <sheetData sheetId="16631" refreshError="1"/>
      <sheetData sheetId="16632" refreshError="1"/>
      <sheetData sheetId="16633" refreshError="1"/>
      <sheetData sheetId="16634" refreshError="1"/>
      <sheetData sheetId="16635" refreshError="1"/>
      <sheetData sheetId="16636" refreshError="1"/>
      <sheetData sheetId="16637" refreshError="1"/>
      <sheetData sheetId="16638" refreshError="1"/>
      <sheetData sheetId="16639" refreshError="1"/>
      <sheetData sheetId="16640" refreshError="1"/>
      <sheetData sheetId="16641" refreshError="1"/>
      <sheetData sheetId="16642" refreshError="1"/>
      <sheetData sheetId="16643" refreshError="1"/>
      <sheetData sheetId="16644" refreshError="1"/>
      <sheetData sheetId="16645" refreshError="1"/>
      <sheetData sheetId="16646" refreshError="1"/>
      <sheetData sheetId="16647" refreshError="1"/>
      <sheetData sheetId="16648" refreshError="1"/>
      <sheetData sheetId="16649" refreshError="1"/>
      <sheetData sheetId="16650" refreshError="1"/>
      <sheetData sheetId="16651" refreshError="1"/>
      <sheetData sheetId="16652" refreshError="1"/>
      <sheetData sheetId="16653" refreshError="1"/>
      <sheetData sheetId="16654" refreshError="1"/>
      <sheetData sheetId="16655" refreshError="1"/>
      <sheetData sheetId="16656" refreshError="1"/>
      <sheetData sheetId="16657" refreshError="1"/>
      <sheetData sheetId="16658" refreshError="1"/>
      <sheetData sheetId="16659" refreshError="1"/>
      <sheetData sheetId="16660" refreshError="1"/>
      <sheetData sheetId="16661" refreshError="1"/>
      <sheetData sheetId="16662" refreshError="1"/>
      <sheetData sheetId="16663" refreshError="1"/>
      <sheetData sheetId="16664" refreshError="1"/>
      <sheetData sheetId="16665" refreshError="1"/>
      <sheetData sheetId="16666" refreshError="1"/>
      <sheetData sheetId="16667" refreshError="1"/>
      <sheetData sheetId="16668" refreshError="1"/>
      <sheetData sheetId="16669" refreshError="1"/>
      <sheetData sheetId="16670" refreshError="1"/>
      <sheetData sheetId="16671" refreshError="1"/>
      <sheetData sheetId="16672" refreshError="1"/>
      <sheetData sheetId="16673" refreshError="1"/>
      <sheetData sheetId="16674" refreshError="1"/>
      <sheetData sheetId="16675" refreshError="1"/>
      <sheetData sheetId="16676" refreshError="1"/>
      <sheetData sheetId="16677" refreshError="1"/>
      <sheetData sheetId="16678" refreshError="1"/>
      <sheetData sheetId="16679" refreshError="1"/>
      <sheetData sheetId="16680" refreshError="1"/>
      <sheetData sheetId="16681" refreshError="1"/>
      <sheetData sheetId="16682" refreshError="1"/>
      <sheetData sheetId="16683" refreshError="1"/>
      <sheetData sheetId="16684" refreshError="1"/>
      <sheetData sheetId="16685" refreshError="1"/>
      <sheetData sheetId="16686" refreshError="1"/>
      <sheetData sheetId="16687" refreshError="1"/>
      <sheetData sheetId="16688" refreshError="1"/>
      <sheetData sheetId="16689" refreshError="1"/>
      <sheetData sheetId="16690" refreshError="1"/>
      <sheetData sheetId="16691" refreshError="1"/>
      <sheetData sheetId="16692" refreshError="1"/>
      <sheetData sheetId="16693" refreshError="1"/>
      <sheetData sheetId="16694" refreshError="1"/>
      <sheetData sheetId="16695" refreshError="1"/>
      <sheetData sheetId="16696" refreshError="1"/>
      <sheetData sheetId="16697" refreshError="1"/>
      <sheetData sheetId="16698" refreshError="1"/>
      <sheetData sheetId="16699" refreshError="1"/>
      <sheetData sheetId="16700" refreshError="1"/>
      <sheetData sheetId="16701" refreshError="1"/>
      <sheetData sheetId="16702" refreshError="1"/>
      <sheetData sheetId="16703" refreshError="1"/>
      <sheetData sheetId="16704" refreshError="1"/>
      <sheetData sheetId="16705" refreshError="1"/>
      <sheetData sheetId="16706" refreshError="1"/>
      <sheetData sheetId="16707" refreshError="1"/>
      <sheetData sheetId="16708" refreshError="1"/>
      <sheetData sheetId="16709" refreshError="1"/>
      <sheetData sheetId="16710" refreshError="1"/>
      <sheetData sheetId="16711" refreshError="1"/>
      <sheetData sheetId="16712" refreshError="1"/>
      <sheetData sheetId="16713" refreshError="1"/>
      <sheetData sheetId="16714" refreshError="1"/>
      <sheetData sheetId="16715" refreshError="1"/>
      <sheetData sheetId="16716" refreshError="1"/>
      <sheetData sheetId="16717" refreshError="1"/>
      <sheetData sheetId="16718" refreshError="1"/>
      <sheetData sheetId="16719" refreshError="1"/>
      <sheetData sheetId="16720" refreshError="1"/>
      <sheetData sheetId="16721" refreshError="1"/>
      <sheetData sheetId="16722" refreshError="1"/>
      <sheetData sheetId="16723" refreshError="1"/>
      <sheetData sheetId="16724" refreshError="1"/>
      <sheetData sheetId="16725" refreshError="1"/>
      <sheetData sheetId="16726" refreshError="1"/>
      <sheetData sheetId="16727" refreshError="1"/>
      <sheetData sheetId="16728" refreshError="1"/>
      <sheetData sheetId="16729" refreshError="1"/>
      <sheetData sheetId="16730" refreshError="1"/>
      <sheetData sheetId="16731" refreshError="1"/>
      <sheetData sheetId="16732" refreshError="1"/>
      <sheetData sheetId="16733" refreshError="1"/>
      <sheetData sheetId="16734" refreshError="1"/>
      <sheetData sheetId="16735" refreshError="1"/>
      <sheetData sheetId="16736" refreshError="1"/>
      <sheetData sheetId="16737" refreshError="1"/>
      <sheetData sheetId="16738" refreshError="1"/>
      <sheetData sheetId="16739" refreshError="1"/>
      <sheetData sheetId="16740" refreshError="1"/>
      <sheetData sheetId="16741" refreshError="1"/>
      <sheetData sheetId="16742" refreshError="1"/>
      <sheetData sheetId="16743" refreshError="1"/>
      <sheetData sheetId="16744" refreshError="1"/>
      <sheetData sheetId="16745" refreshError="1"/>
      <sheetData sheetId="16746" refreshError="1"/>
      <sheetData sheetId="16747" refreshError="1"/>
      <sheetData sheetId="16748" refreshError="1"/>
      <sheetData sheetId="16749" refreshError="1"/>
      <sheetData sheetId="16750" refreshError="1"/>
      <sheetData sheetId="16751" refreshError="1"/>
      <sheetData sheetId="16752" refreshError="1"/>
      <sheetData sheetId="16753" refreshError="1"/>
      <sheetData sheetId="16754" refreshError="1"/>
      <sheetData sheetId="16755" refreshError="1"/>
      <sheetData sheetId="16756" refreshError="1"/>
      <sheetData sheetId="16757" refreshError="1"/>
      <sheetData sheetId="16758" refreshError="1"/>
      <sheetData sheetId="16759" refreshError="1"/>
      <sheetData sheetId="16760" refreshError="1"/>
      <sheetData sheetId="16761" refreshError="1"/>
      <sheetData sheetId="16762" refreshError="1"/>
      <sheetData sheetId="16763" refreshError="1"/>
      <sheetData sheetId="16764" refreshError="1"/>
      <sheetData sheetId="16765" refreshError="1"/>
      <sheetData sheetId="16766" refreshError="1"/>
      <sheetData sheetId="16767" refreshError="1"/>
      <sheetData sheetId="16768" refreshError="1"/>
      <sheetData sheetId="16769" refreshError="1"/>
      <sheetData sheetId="16770" refreshError="1"/>
      <sheetData sheetId="16771" refreshError="1"/>
      <sheetData sheetId="16772" refreshError="1"/>
      <sheetData sheetId="16773" refreshError="1"/>
      <sheetData sheetId="16774" refreshError="1"/>
      <sheetData sheetId="16775" refreshError="1"/>
      <sheetData sheetId="16776" refreshError="1"/>
      <sheetData sheetId="16777" refreshError="1"/>
      <sheetData sheetId="16778" refreshError="1"/>
      <sheetData sheetId="16779" refreshError="1"/>
      <sheetData sheetId="16780" refreshError="1"/>
      <sheetData sheetId="16781" refreshError="1"/>
      <sheetData sheetId="16782" refreshError="1"/>
      <sheetData sheetId="16783" refreshError="1"/>
      <sheetData sheetId="16784" refreshError="1"/>
      <sheetData sheetId="16785" refreshError="1"/>
      <sheetData sheetId="16786" refreshError="1"/>
      <sheetData sheetId="16787" refreshError="1"/>
      <sheetData sheetId="16788" refreshError="1"/>
      <sheetData sheetId="16789" refreshError="1"/>
      <sheetData sheetId="16790" refreshError="1"/>
      <sheetData sheetId="16791" refreshError="1"/>
      <sheetData sheetId="16792" refreshError="1"/>
      <sheetData sheetId="16793" refreshError="1"/>
      <sheetData sheetId="16794" refreshError="1"/>
      <sheetData sheetId="16795" refreshError="1"/>
      <sheetData sheetId="16796" refreshError="1"/>
      <sheetData sheetId="16797" refreshError="1"/>
      <sheetData sheetId="16798" refreshError="1"/>
      <sheetData sheetId="16799" refreshError="1"/>
      <sheetData sheetId="16800" refreshError="1"/>
      <sheetData sheetId="16801" refreshError="1"/>
      <sheetData sheetId="16802" refreshError="1"/>
      <sheetData sheetId="16803" refreshError="1"/>
      <sheetData sheetId="16804" refreshError="1"/>
      <sheetData sheetId="16805" refreshError="1"/>
      <sheetData sheetId="16806" refreshError="1"/>
      <sheetData sheetId="16807" refreshError="1"/>
      <sheetData sheetId="16808" refreshError="1"/>
      <sheetData sheetId="16809" refreshError="1"/>
      <sheetData sheetId="16810" refreshError="1"/>
      <sheetData sheetId="16811" refreshError="1"/>
      <sheetData sheetId="16812" refreshError="1"/>
      <sheetData sheetId="16813" refreshError="1"/>
      <sheetData sheetId="16814" refreshError="1"/>
      <sheetData sheetId="16815" refreshError="1"/>
      <sheetData sheetId="16816" refreshError="1"/>
      <sheetData sheetId="16817" refreshError="1"/>
      <sheetData sheetId="16818" refreshError="1"/>
      <sheetData sheetId="16819" refreshError="1"/>
      <sheetData sheetId="16820" refreshError="1"/>
      <sheetData sheetId="16821" refreshError="1"/>
      <sheetData sheetId="16822" refreshError="1"/>
      <sheetData sheetId="16823" refreshError="1"/>
      <sheetData sheetId="16824" refreshError="1"/>
      <sheetData sheetId="16825" refreshError="1"/>
      <sheetData sheetId="16826" refreshError="1"/>
      <sheetData sheetId="16827" refreshError="1"/>
      <sheetData sheetId="16828" refreshError="1"/>
      <sheetData sheetId="16829" refreshError="1"/>
      <sheetData sheetId="16830" refreshError="1"/>
      <sheetData sheetId="16831" refreshError="1"/>
      <sheetData sheetId="16832" refreshError="1"/>
      <sheetData sheetId="16833" refreshError="1"/>
      <sheetData sheetId="16834" refreshError="1"/>
      <sheetData sheetId="16835" refreshError="1"/>
      <sheetData sheetId="16836" refreshError="1"/>
      <sheetData sheetId="16837" refreshError="1"/>
      <sheetData sheetId="16838" refreshError="1"/>
      <sheetData sheetId="16839" refreshError="1"/>
      <sheetData sheetId="16840" refreshError="1"/>
      <sheetData sheetId="16841" refreshError="1"/>
      <sheetData sheetId="16842" refreshError="1"/>
      <sheetData sheetId="16843" refreshError="1"/>
      <sheetData sheetId="16844" refreshError="1"/>
      <sheetData sheetId="16845" refreshError="1"/>
      <sheetData sheetId="16846" refreshError="1"/>
      <sheetData sheetId="16847" refreshError="1"/>
      <sheetData sheetId="16848" refreshError="1"/>
      <sheetData sheetId="16849" refreshError="1"/>
      <sheetData sheetId="16850" refreshError="1"/>
      <sheetData sheetId="16851" refreshError="1"/>
      <sheetData sheetId="16852" refreshError="1"/>
      <sheetData sheetId="16853" refreshError="1"/>
      <sheetData sheetId="16854" refreshError="1"/>
      <sheetData sheetId="16855" refreshError="1"/>
      <sheetData sheetId="16856" refreshError="1"/>
      <sheetData sheetId="16857" refreshError="1"/>
      <sheetData sheetId="16858" refreshError="1"/>
      <sheetData sheetId="16859" refreshError="1"/>
      <sheetData sheetId="16860" refreshError="1"/>
      <sheetData sheetId="16861" refreshError="1"/>
      <sheetData sheetId="16862" refreshError="1"/>
      <sheetData sheetId="16863" refreshError="1"/>
      <sheetData sheetId="16864" refreshError="1"/>
      <sheetData sheetId="16865" refreshError="1"/>
      <sheetData sheetId="16866" refreshError="1"/>
      <sheetData sheetId="16867" refreshError="1"/>
      <sheetData sheetId="16868" refreshError="1"/>
      <sheetData sheetId="16869" refreshError="1"/>
      <sheetData sheetId="16870" refreshError="1"/>
      <sheetData sheetId="16871" refreshError="1"/>
      <sheetData sheetId="16872" refreshError="1"/>
      <sheetData sheetId="16873" refreshError="1"/>
      <sheetData sheetId="16874" refreshError="1"/>
      <sheetData sheetId="16875" refreshError="1"/>
      <sheetData sheetId="16876" refreshError="1"/>
      <sheetData sheetId="16877" refreshError="1"/>
      <sheetData sheetId="16878" refreshError="1"/>
      <sheetData sheetId="16879" refreshError="1"/>
      <sheetData sheetId="16880" refreshError="1"/>
      <sheetData sheetId="16881" refreshError="1"/>
      <sheetData sheetId="16882" refreshError="1"/>
      <sheetData sheetId="16883" refreshError="1"/>
      <sheetData sheetId="16884" refreshError="1"/>
      <sheetData sheetId="16885" refreshError="1"/>
      <sheetData sheetId="16886" refreshError="1"/>
      <sheetData sheetId="16887" refreshError="1"/>
      <sheetData sheetId="16888" refreshError="1"/>
      <sheetData sheetId="16889" refreshError="1"/>
      <sheetData sheetId="16890" refreshError="1"/>
      <sheetData sheetId="16891" refreshError="1"/>
      <sheetData sheetId="16892" refreshError="1"/>
      <sheetData sheetId="16893" refreshError="1"/>
      <sheetData sheetId="16894" refreshError="1"/>
      <sheetData sheetId="16895" refreshError="1"/>
      <sheetData sheetId="16896" refreshError="1"/>
      <sheetData sheetId="16897" refreshError="1"/>
      <sheetData sheetId="16898" refreshError="1"/>
      <sheetData sheetId="16899" refreshError="1"/>
      <sheetData sheetId="16900" refreshError="1"/>
      <sheetData sheetId="16901" refreshError="1"/>
      <sheetData sheetId="16902" refreshError="1"/>
      <sheetData sheetId="16903" refreshError="1"/>
      <sheetData sheetId="16904" refreshError="1"/>
      <sheetData sheetId="16905" refreshError="1"/>
      <sheetData sheetId="16906" refreshError="1"/>
      <sheetData sheetId="16907" refreshError="1"/>
      <sheetData sheetId="16908" refreshError="1"/>
      <sheetData sheetId="16909" refreshError="1"/>
      <sheetData sheetId="16910" refreshError="1"/>
      <sheetData sheetId="16911" refreshError="1"/>
      <sheetData sheetId="16912" refreshError="1"/>
      <sheetData sheetId="16913" refreshError="1"/>
      <sheetData sheetId="16914" refreshError="1"/>
      <sheetData sheetId="16915" refreshError="1"/>
      <sheetData sheetId="16916" refreshError="1"/>
      <sheetData sheetId="16917" refreshError="1"/>
      <sheetData sheetId="16918" refreshError="1"/>
      <sheetData sheetId="16919" refreshError="1"/>
      <sheetData sheetId="16920" refreshError="1"/>
      <sheetData sheetId="16921" refreshError="1"/>
      <sheetData sheetId="16922" refreshError="1"/>
      <sheetData sheetId="16923" refreshError="1"/>
      <sheetData sheetId="16924" refreshError="1"/>
      <sheetData sheetId="16925" refreshError="1"/>
      <sheetData sheetId="16926" refreshError="1"/>
      <sheetData sheetId="16927" refreshError="1"/>
      <sheetData sheetId="16928" refreshError="1"/>
      <sheetData sheetId="16929" refreshError="1"/>
      <sheetData sheetId="16930" refreshError="1"/>
      <sheetData sheetId="16931" refreshError="1"/>
      <sheetData sheetId="16932" refreshError="1"/>
      <sheetData sheetId="16933" refreshError="1"/>
      <sheetData sheetId="16934" refreshError="1"/>
      <sheetData sheetId="16935" refreshError="1"/>
      <sheetData sheetId="16936" refreshError="1"/>
      <sheetData sheetId="16937" refreshError="1"/>
      <sheetData sheetId="16938" refreshError="1"/>
      <sheetData sheetId="16939" refreshError="1"/>
      <sheetData sheetId="16940" refreshError="1"/>
      <sheetData sheetId="16941" refreshError="1"/>
      <sheetData sheetId="16942" refreshError="1"/>
      <sheetData sheetId="16943" refreshError="1"/>
      <sheetData sheetId="16944" refreshError="1"/>
      <sheetData sheetId="16945" refreshError="1"/>
      <sheetData sheetId="16946" refreshError="1"/>
      <sheetData sheetId="16947" refreshError="1"/>
      <sheetData sheetId="16948" refreshError="1"/>
      <sheetData sheetId="16949" refreshError="1"/>
      <sheetData sheetId="16950" refreshError="1"/>
      <sheetData sheetId="16951" refreshError="1"/>
      <sheetData sheetId="16952" refreshError="1"/>
      <sheetData sheetId="16953" refreshError="1"/>
      <sheetData sheetId="16954" refreshError="1"/>
      <sheetData sheetId="16955" refreshError="1"/>
      <sheetData sheetId="16956" refreshError="1"/>
      <sheetData sheetId="16957" refreshError="1"/>
      <sheetData sheetId="16958" refreshError="1"/>
      <sheetData sheetId="16959" refreshError="1"/>
      <sheetData sheetId="16960" refreshError="1"/>
      <sheetData sheetId="16961" refreshError="1"/>
      <sheetData sheetId="16962" refreshError="1"/>
      <sheetData sheetId="16963" refreshError="1"/>
      <sheetData sheetId="16964" refreshError="1"/>
      <sheetData sheetId="16965" refreshError="1"/>
      <sheetData sheetId="16966" refreshError="1"/>
      <sheetData sheetId="16967" refreshError="1"/>
      <sheetData sheetId="16968" refreshError="1"/>
      <sheetData sheetId="16969" refreshError="1"/>
      <sheetData sheetId="16970" refreshError="1"/>
      <sheetData sheetId="16971" refreshError="1"/>
      <sheetData sheetId="16972" refreshError="1"/>
      <sheetData sheetId="16973" refreshError="1"/>
      <sheetData sheetId="16974" refreshError="1"/>
      <sheetData sheetId="16975" refreshError="1"/>
      <sheetData sheetId="16976" refreshError="1"/>
      <sheetData sheetId="16977" refreshError="1"/>
      <sheetData sheetId="16978" refreshError="1"/>
      <sheetData sheetId="16979" refreshError="1"/>
      <sheetData sheetId="16980" refreshError="1"/>
      <sheetData sheetId="16981" refreshError="1"/>
      <sheetData sheetId="16982" refreshError="1"/>
      <sheetData sheetId="16983" refreshError="1"/>
      <sheetData sheetId="16984" refreshError="1"/>
      <sheetData sheetId="16985" refreshError="1"/>
      <sheetData sheetId="16986" refreshError="1"/>
      <sheetData sheetId="16987" refreshError="1"/>
      <sheetData sheetId="16988" refreshError="1"/>
      <sheetData sheetId="16989" refreshError="1"/>
      <sheetData sheetId="16990" refreshError="1"/>
      <sheetData sheetId="16991" refreshError="1"/>
      <sheetData sheetId="16992" refreshError="1"/>
      <sheetData sheetId="16993" refreshError="1"/>
      <sheetData sheetId="16994" refreshError="1"/>
      <sheetData sheetId="16995" refreshError="1"/>
      <sheetData sheetId="16996" refreshError="1"/>
      <sheetData sheetId="16997" refreshError="1"/>
      <sheetData sheetId="16998" refreshError="1"/>
      <sheetData sheetId="16999" refreshError="1"/>
      <sheetData sheetId="17000" refreshError="1"/>
      <sheetData sheetId="17001" refreshError="1"/>
      <sheetData sheetId="17002" refreshError="1"/>
      <sheetData sheetId="17003" refreshError="1"/>
      <sheetData sheetId="17004" refreshError="1"/>
      <sheetData sheetId="17005" refreshError="1"/>
      <sheetData sheetId="17006" refreshError="1"/>
      <sheetData sheetId="17007" refreshError="1"/>
      <sheetData sheetId="17008" refreshError="1"/>
      <sheetData sheetId="17009" refreshError="1"/>
      <sheetData sheetId="17010" refreshError="1"/>
      <sheetData sheetId="17011" refreshError="1"/>
      <sheetData sheetId="17012" refreshError="1"/>
      <sheetData sheetId="17013" refreshError="1"/>
      <sheetData sheetId="17014" refreshError="1"/>
      <sheetData sheetId="17015" refreshError="1"/>
      <sheetData sheetId="17016" refreshError="1"/>
      <sheetData sheetId="17017" refreshError="1"/>
      <sheetData sheetId="17018" refreshError="1"/>
      <sheetData sheetId="17019" refreshError="1"/>
      <sheetData sheetId="17020" refreshError="1"/>
      <sheetData sheetId="17021" refreshError="1"/>
      <sheetData sheetId="17022" refreshError="1"/>
      <sheetData sheetId="17023" refreshError="1"/>
      <sheetData sheetId="17024" refreshError="1"/>
      <sheetData sheetId="17025" refreshError="1"/>
      <sheetData sheetId="17026" refreshError="1"/>
      <sheetData sheetId="17027" refreshError="1"/>
      <sheetData sheetId="17028" refreshError="1"/>
      <sheetData sheetId="17029" refreshError="1"/>
      <sheetData sheetId="17030" refreshError="1"/>
      <sheetData sheetId="17031" refreshError="1"/>
      <sheetData sheetId="17032" refreshError="1"/>
      <sheetData sheetId="17033" refreshError="1"/>
      <sheetData sheetId="17034" refreshError="1"/>
      <sheetData sheetId="17035" refreshError="1"/>
      <sheetData sheetId="17036" refreshError="1"/>
      <sheetData sheetId="17037" refreshError="1"/>
      <sheetData sheetId="17038" refreshError="1"/>
      <sheetData sheetId="17039" refreshError="1"/>
      <sheetData sheetId="17040" refreshError="1"/>
      <sheetData sheetId="17041" refreshError="1"/>
      <sheetData sheetId="17042" refreshError="1"/>
      <sheetData sheetId="17043" refreshError="1"/>
      <sheetData sheetId="17044" refreshError="1"/>
      <sheetData sheetId="17045" refreshError="1"/>
      <sheetData sheetId="17046" refreshError="1"/>
      <sheetData sheetId="17047" refreshError="1"/>
      <sheetData sheetId="17048" refreshError="1"/>
      <sheetData sheetId="17049" refreshError="1"/>
      <sheetData sheetId="17050" refreshError="1"/>
      <sheetData sheetId="17051" refreshError="1"/>
      <sheetData sheetId="17052" refreshError="1"/>
      <sheetData sheetId="17053" refreshError="1"/>
      <sheetData sheetId="17054" refreshError="1"/>
      <sheetData sheetId="17055" refreshError="1"/>
      <sheetData sheetId="17056" refreshError="1"/>
      <sheetData sheetId="17057" refreshError="1"/>
      <sheetData sheetId="17058" refreshError="1"/>
      <sheetData sheetId="17059" refreshError="1"/>
      <sheetData sheetId="17060" refreshError="1"/>
      <sheetData sheetId="17061" refreshError="1"/>
      <sheetData sheetId="17062" refreshError="1"/>
      <sheetData sheetId="17063" refreshError="1"/>
      <sheetData sheetId="17064" refreshError="1"/>
      <sheetData sheetId="17065" refreshError="1"/>
      <sheetData sheetId="17066" refreshError="1"/>
      <sheetData sheetId="17067" refreshError="1"/>
      <sheetData sheetId="17068" refreshError="1"/>
      <sheetData sheetId="17069" refreshError="1"/>
      <sheetData sheetId="17070" refreshError="1"/>
      <sheetData sheetId="17071" refreshError="1"/>
      <sheetData sheetId="17072" refreshError="1"/>
      <sheetData sheetId="17073" refreshError="1"/>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Factors"/>
      <sheetName val="schedule of unit rates"/>
      <sheetName val="Summary "/>
      <sheetName val="VELAVARU-offer"/>
      <sheetName val="VELAVARU BOQ"/>
      <sheetName val="ALOOFUSHI-Offer"/>
      <sheetName val="ALOOFUSHI BOQ"/>
      <sheetName val="JOB COSTING SHEET ELEC"/>
      <sheetName val="Price List"/>
      <sheetName val="Cash2"/>
      <sheetName val="Z"/>
      <sheetName val="1A"/>
      <sheetName val="Rate analysis 1"/>
      <sheetName val="ID Office-R1 - 23.8.2012"/>
      <sheetName val="Schnieder Price List-July 2012"/>
      <sheetName val="Bill 3 - Site Works"/>
      <sheetName val=" Factor  "/>
      <sheetName val="Histry Price"/>
      <sheetName val="ACS(1)"/>
      <sheetName val="FAS-C(4)"/>
      <sheetName val="CCTV(old)"/>
      <sheetName val="Sheet1"/>
      <sheetName val="BOM"/>
      <sheetName val="A"/>
      <sheetName val="RSM and Distributors"/>
      <sheetName val="B-2"/>
      <sheetName val="DRUM"/>
      <sheetName val="기계내역서"/>
      <sheetName val="Lookup"/>
      <sheetName val="Land Dev't. Ph-1"/>
      <sheetName val="Hac.Lots"/>
      <sheetName val="4-Lane bridge"/>
      <sheetName val="Res.Lots"/>
      <sheetName val="Spine Road"/>
      <sheetName val="#REF"/>
      <sheetName val="MOS"/>
      <sheetName val="BOQ"/>
      <sheetName val="BOQ PL"/>
      <sheetName val="Ele Price"/>
      <sheetName val="Interimbill-01"/>
      <sheetName val="Schedules"/>
      <sheetName val="Assumptions"/>
      <sheetName val="S3 Architectural"/>
      <sheetName val="Kaatsu H.A.M.T.T.C.-7 jan 10"/>
      <sheetName val="Cost Factor Sheet"/>
      <sheetName val="Material Prices"/>
      <sheetName val="Bill 1"/>
      <sheetName val="Bill 2"/>
      <sheetName val="Bill 3"/>
      <sheetName val="Bill 4"/>
      <sheetName val="Bill 5"/>
      <sheetName val="Bill 6"/>
      <sheetName val="Bill 7"/>
      <sheetName val="基本ﾃﾞｰﾀ"/>
      <sheetName val="Competitors"/>
      <sheetName val="MAIN"/>
      <sheetName val="Legend"/>
      <sheetName val="WPR-IV"/>
      <sheetName val="BOI - Katunayaka-9.8.20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INDEX"/>
      <sheetName val="PLANT"/>
      <sheetName val="SUM FSBLT"/>
      <sheetName val="VOLSUM"/>
      <sheetName val="WPSUM"/>
      <sheetName val="PCWBS_MAP"/>
      <sheetName val="WKFRM1"/>
      <sheetName val="WKFRM2"/>
      <sheetName val="SQNC-1"/>
      <sheetName val="SQNC-2"/>
      <sheetName val="SQNC-3"/>
      <sheetName val="MILSTN"/>
      <sheetName val="MASTSCH"/>
      <sheetName val="MOBALL"/>
      <sheetName val="BQMPALOC"/>
      <sheetName val="CRDIDX"/>
      <sheetName val="PROGALL"/>
      <sheetName val="2538M"/>
      <sheetName val="ORGZN"/>
      <sheetName val="STAFSCH"/>
      <sheetName val="SUB_Map"/>
      <sheetName val="PERFEVA"/>
      <sheetName val="PIPE50%A"/>
      <sheetName val="PIPE50%B"/>
      <sheetName val="STFMHANZ"/>
      <sheetName val="CMHANZ"/>
      <sheetName val="MPDATA1000"/>
      <sheetName val="MPDATA2000"/>
      <sheetName val="MPDATA3000"/>
      <sheetName val="MPDATA4000"/>
      <sheetName val="MPDATA5000"/>
      <sheetName val="MPDATA6000"/>
      <sheetName val="MPDATA7000"/>
      <sheetName val="MPDATA8000"/>
      <sheetName val="MPDATA9_A_B"/>
      <sheetName val="BQCONV"/>
      <sheetName val="SCINF1"/>
      <sheetName val="SCINF2"/>
      <sheetName val="KNOWHOW_MEMO"/>
      <sheetName val="EQUIPMOB"/>
      <sheetName val="TEMP_FAC"/>
      <sheetName val="7000(rev)"/>
      <sheetName val="SUMMARY"/>
      <sheetName val="3000-A"/>
      <sheetName val="5000-A"/>
      <sheetName val="6000-A"/>
      <sheetName val="9000-A"/>
      <sheetName val="管道资料"/>
      <sheetName val="9DATA"/>
      <sheetName val="A000-A"/>
      <sheetName val="0DATA"/>
      <sheetName val="9管道资料"/>
      <sheetName val="Overall Project"/>
      <sheetName val="Overall Process"/>
      <sheetName val="Overall Utility"/>
      <sheetName val="1000"/>
      <sheetName val="FWBS 1000"/>
      <sheetName val="2000"/>
      <sheetName val="FWBS 2000"/>
      <sheetName val="3000"/>
      <sheetName val="FWBS 3000"/>
      <sheetName val="5000"/>
      <sheetName val="FWBS 5000"/>
      <sheetName val="6000"/>
      <sheetName val="FWBS 6000"/>
      <sheetName val="7000"/>
      <sheetName val="FWBS 7000"/>
      <sheetName val="8000"/>
      <sheetName val="FWBS 8000"/>
      <sheetName val="9000"/>
      <sheetName val="FWBS 9000"/>
      <sheetName val="A000"/>
      <sheetName val="FWBS A000"/>
      <sheetName val="B000"/>
      <sheetName val="FWBS B000"/>
      <sheetName val="Z000"/>
      <sheetName val="FWBS Z000"/>
      <sheetName val="WIP"/>
      <sheetName val="12CGOU"/>
      <sheetName val="Final(1)summary"/>
      <sheetName val="TYPE-A"/>
      <sheetName val="B"/>
      <sheetName val="Chart"/>
      <sheetName val="95신규호표"/>
      <sheetName val="SALA-002"/>
      <sheetName val="COA-17"/>
      <sheetName val="C-18"/>
      <sheetName val="SUM_FSBLT"/>
      <sheetName val="FWBS_9000"/>
      <sheetName val="Overall_Project"/>
      <sheetName val="Overall_Process"/>
      <sheetName val="Overall_Utility"/>
      <sheetName val="FWBS_1000"/>
      <sheetName val="FWBS_2000"/>
      <sheetName val="FWBS_3000"/>
      <sheetName val="FWBS_5000"/>
      <sheetName val="FWBS_6000"/>
      <sheetName val="FWBS_7000"/>
      <sheetName val="FWBS_8000"/>
      <sheetName val="FWBS_A000"/>
      <sheetName val="FWBS_B000"/>
      <sheetName val="FWBS_Z000"/>
      <sheetName val="Cash2"/>
      <sheetName val="Z"/>
      <sheetName val="A"/>
      <sheetName val="PNTEXT"/>
      <sheetName val="Planning&amp;reporting"/>
      <sheetName val="EE-PROP"/>
      <sheetName val="산근"/>
      <sheetName val="0000"/>
      <sheetName val="자금운영"/>
      <sheetName val="도"/>
      <sheetName val="Basic"/>
      <sheetName val="Building BD"/>
      <sheetName val="DRUM"/>
      <sheetName val="Onerous Terms"/>
      <sheetName val="INVOICE_CERT EIV'S"/>
      <sheetName val="집계표"/>
      <sheetName val="嗔5喸5"/>
      <sheetName val="EQUIPMENT"/>
      <sheetName val="jobhist"/>
      <sheetName val=" Sum"/>
      <sheetName val="INSTR"/>
      <sheetName val="BQMP"/>
      <sheetName val="실제 도면출도"/>
      <sheetName val="ENE-CAL"/>
      <sheetName val="TTL"/>
      <sheetName val="MTP"/>
      <sheetName val="SOHAR(2nd)"/>
      <sheetName val="공사비 내역 (가)"/>
      <sheetName val="plan&amp;section of foundation"/>
      <sheetName val="design criteria"/>
      <sheetName val="CAL"/>
      <sheetName val="대비표"/>
      <sheetName val="#REF"/>
      <sheetName val="w't table"/>
      <sheetName val="표지"/>
      <sheetName val="D-623D"/>
      <sheetName val="33628-Rev. A"/>
      <sheetName val="Eq. Mobilization"/>
      <sheetName val="당초"/>
      <sheetName val="DESCRIPTION"/>
      <sheetName val="BM DATA SHEET"/>
      <sheetName val="Progress Tab"/>
      <sheetName val="BATCH"/>
      <sheetName val="具志川H社"/>
      <sheetName val="기성내역"/>
      <sheetName val="SUM_FSBLT1"/>
      <sheetName val="Overall_Project1"/>
      <sheetName val="Overall_Process1"/>
      <sheetName val="Overall_Utility1"/>
      <sheetName val="FWBS_10001"/>
      <sheetName val="FWBS_20001"/>
      <sheetName val="FWBS_30001"/>
      <sheetName val="FWBS_50001"/>
      <sheetName val="FWBS_60001"/>
      <sheetName val="FWBS_70001"/>
      <sheetName val="FWBS_80001"/>
      <sheetName val="FWBS_90001"/>
      <sheetName val="FWBS_A0001"/>
      <sheetName val="FWBS_B0001"/>
      <sheetName val="FWBS_Z0001"/>
      <sheetName val="INVOICE_CERT_EIV'S"/>
      <sheetName val="ORIGINAL"/>
      <sheetName val=""/>
      <sheetName val="Running compatibility check "/>
      <sheetName val="CASH"/>
      <sheetName val="상반기손익차2총괄"/>
      <sheetName val="입찰내역 발주처 양식"/>
      <sheetName val="집계표(OPTION)"/>
      <sheetName val="BM"/>
      <sheetName val="기계내역서"/>
      <sheetName val="Sheet1"/>
      <sheetName val="공사비SUM"/>
      <sheetName val="LinerWt"/>
      <sheetName val="Sheet4"/>
      <sheetName val="M 11"/>
      <sheetName val="PIPING"/>
      <sheetName val="Kuan&amp;Har(PT)"/>
      <sheetName val="Alat"/>
      <sheetName val="PRO_DCI"/>
      <sheetName val="INST_DCI"/>
      <sheetName val="HVAC_DCI"/>
      <sheetName val="PIPE_DCI"/>
      <sheetName val="合成単価作成表-BLDG"/>
      <sheetName val="Sheet13"/>
      <sheetName val="Sheet14"/>
      <sheetName val="PC CATCH PIT 1X1X1.2M"/>
      <sheetName val="PC CATCH PIT .6X.6X1.0M"/>
      <sheetName val="PC COVER 100MM THK .95x.3"/>
      <sheetName val="PC COVER 250MM THK 2.2x.3"/>
      <sheetName val="EQT-ESTN"/>
      <sheetName val="REINF."/>
      <sheetName val="SKETCH"/>
      <sheetName val="AC"/>
      <sheetName val="member design"/>
      <sheetName val="working load at the btm ft."/>
      <sheetName val="soil bearing check"/>
      <sheetName val="목표세부명세"/>
      <sheetName val="기둥(원형)"/>
      <sheetName val="List"/>
      <sheetName val="Concept Offshore"/>
      <sheetName val="3. GROUNDING SYSTEM"/>
      <sheetName val="7102"/>
      <sheetName val="Adjusted Bids"/>
      <sheetName val="Chiet tinh dz35"/>
      <sheetName val="SUM_FSBLT2"/>
      <sheetName val="FWBS_90002"/>
      <sheetName val="Overall_Project2"/>
      <sheetName val="Overall_Process2"/>
      <sheetName val="Overall_Utility2"/>
      <sheetName val="FWBS_10002"/>
      <sheetName val="FWBS_20002"/>
      <sheetName val="FWBS_30002"/>
      <sheetName val="FWBS_50002"/>
      <sheetName val="FWBS_60002"/>
      <sheetName val="FWBS_70002"/>
      <sheetName val="FWBS_80002"/>
      <sheetName val="FWBS_A0002"/>
      <sheetName val="FWBS_B0002"/>
      <sheetName val="FWBS_Z0002"/>
      <sheetName val="INVOICE_CERT_EIV'S1"/>
      <sheetName val="Onerous_Terms"/>
      <sheetName val="Building_BD"/>
      <sheetName val="_Sum"/>
      <sheetName val="실제_도면출도"/>
      <sheetName val="공사비_내역_(가)"/>
      <sheetName val="plan&amp;section_of_foundation"/>
      <sheetName val="design_criteria"/>
      <sheetName val="w't_table"/>
      <sheetName val="Eq__Mobilization"/>
      <sheetName val="BM_DATA_SHEET"/>
      <sheetName val="33628-Rev__A"/>
      <sheetName val="Progress_Tab"/>
      <sheetName val="입찰내역_발주처_양식"/>
      <sheetName val="M_11"/>
      <sheetName val="REINF_"/>
      <sheetName val="Running_compatibility_check_A"/>
      <sheetName val="3__GROUNDING_SYSTEM"/>
      <sheetName val="뜃맟뭁돽띿맟?-BLDG"/>
      <sheetName val="A(Rev.3)"/>
      <sheetName val="Hoja1"/>
      <sheetName val="Auxi"/>
      <sheetName val="Building_BD1"/>
      <sheetName val="Onerous_Terms1"/>
      <sheetName val="_Sum1"/>
      <sheetName val="SUM_FSBLT3"/>
      <sheetName val="FWBS_90003"/>
      <sheetName val="Overall_Project3"/>
      <sheetName val="Overall_Process3"/>
      <sheetName val="Overall_Utility3"/>
      <sheetName val="FWBS_10003"/>
      <sheetName val="FWBS_20003"/>
      <sheetName val="FWBS_30003"/>
      <sheetName val="FWBS_50003"/>
      <sheetName val="FWBS_60003"/>
      <sheetName val="FWBS_70003"/>
      <sheetName val="FWBS_80003"/>
      <sheetName val="FWBS_A0003"/>
      <sheetName val="FWBS_B0003"/>
      <sheetName val="FWBS_Z0003"/>
      <sheetName val="실제_도면출도1"/>
      <sheetName val="INVOICE_CERT_EIV'S2"/>
      <sheetName val="공사비_내역_(가)1"/>
      <sheetName val="plan&amp;section_of_foundation1"/>
      <sheetName val="design_criteria1"/>
      <sheetName val="w't_table1"/>
      <sheetName val="Eq__Mobilization1"/>
      <sheetName val="BM_DATA_SHEET1"/>
      <sheetName val="33628-Rev__A1"/>
      <sheetName val="Progress_Tab1"/>
      <sheetName val="입찰내역_발주처_양식1"/>
      <sheetName val="M_111"/>
      <sheetName val="REINF_1"/>
      <sheetName val="PC_CATCH_PIT_1X1X1_2M"/>
      <sheetName val="PC_CATCH_PIT__6X_6X1_0M"/>
      <sheetName val="PC_COVER_100MM_THK__95x_3"/>
      <sheetName val="PC_COVER_250MM_THK_2_2x_3"/>
      <sheetName val="Adjusted_Bids"/>
      <sheetName val="member_design"/>
      <sheetName val="Concept_Offshore"/>
      <sheetName val="working_load_at_the_btm_ft_"/>
      <sheetName val="soil_bearing_check"/>
      <sheetName val="Chiet_tinh_dz35"/>
      <sheetName val="설비"/>
      <sheetName val="공문"/>
      <sheetName val="Breakdown-1"/>
      <sheetName val="Pipe"/>
      <sheetName val="Add"/>
      <sheetName val="FitOutConfCentre"/>
      <sheetName val="RFP002"/>
      <sheetName val="코드"/>
      <sheetName val="자바라1"/>
      <sheetName val="C,E"/>
      <sheetName val="산출내역서"/>
      <sheetName val="Proposal"/>
      <sheetName val="基数"/>
      <sheetName val="Onerous_Terms2"/>
      <sheetName val="Building_BD2"/>
      <sheetName val="_Sum2"/>
      <sheetName val="실제_도면출도2"/>
      <sheetName val="공사비_내역_(가)2"/>
      <sheetName val="plan&amp;section_of_foundation2"/>
      <sheetName val="design_criteria2"/>
      <sheetName val="w't_table2"/>
      <sheetName val="BM_DATA_SHEET2"/>
      <sheetName val="Progress_Tab2"/>
      <sheetName val="Eq__Mobilization2"/>
      <sheetName val="33628-Rev__A2"/>
      <sheetName val="입찰내역_발주처_양식2"/>
      <sheetName val="M_112"/>
      <sheetName val="SUM_FSBLT4"/>
      <sheetName val="Overall_Project4"/>
      <sheetName val="Overall_Process4"/>
      <sheetName val="Overall_Utility4"/>
      <sheetName val="FWBS_10004"/>
      <sheetName val="FWBS_20004"/>
      <sheetName val="FWBS_30004"/>
      <sheetName val="FWBS_50004"/>
      <sheetName val="FWBS_60004"/>
      <sheetName val="FWBS_70004"/>
      <sheetName val="FWBS_80004"/>
      <sheetName val="FWBS_90004"/>
      <sheetName val="FWBS_A0004"/>
      <sheetName val="FWBS_B0004"/>
      <sheetName val="FWBS_Z0004"/>
      <sheetName val="INVOICE_CERT_EIV'S3"/>
      <sheetName val="Onerous_Terms3"/>
      <sheetName val="Building_BD3"/>
      <sheetName val="_Sum3"/>
      <sheetName val="실제_도면출도3"/>
      <sheetName val="공사비_내역_(가)3"/>
      <sheetName val="plan&amp;section_of_foundation3"/>
      <sheetName val="design_criteria3"/>
      <sheetName val="w't_table3"/>
      <sheetName val="BM_DATA_SHEET3"/>
      <sheetName val="Progress_Tab3"/>
      <sheetName val="Eq__Mobilization3"/>
      <sheetName val="33628-Rev__A3"/>
      <sheetName val="입찰내역_발주처_양식3"/>
      <sheetName val="M_113"/>
      <sheetName val="[Planning&amp;reporting.xlsM9000-A"/>
      <sheetName val="Running compatibility check _x0"/>
      <sheetName val="A (2)"/>
      <sheetName val="1100"/>
      <sheetName val="datasheet"/>
      <sheetName val="설계내역서"/>
      <sheetName val="salary"/>
      <sheetName val="List of WorkPacks"/>
      <sheetName val="List of Dates"/>
      <sheetName val="Database"/>
      <sheetName val="Masterfile"/>
      <sheetName val="FWBS codes"/>
      <sheetName val="STANDARD DESCRIPTION"/>
      <sheetName val="STANDARD DESCRIPTION - 20150519"/>
      <sheetName val="Drawings Summary"/>
      <sheetName val="Instr Drawing List"/>
      <sheetName val="INDEX-Areas B000,C000,D000,E000"/>
      <sheetName val="STANDARD DESCRIPTION 20150715"/>
      <sheetName val="Sheet2"/>
      <sheetName val="DropDown Selections"/>
      <sheetName val="Running compatibility check ?A?"/>
      <sheetName val="MCCSUM"/>
      <sheetName val="Cashflow Analysis"/>
      <sheetName val="Running compatibility check _A_"/>
      <sheetName val="Sheet"/>
      <sheetName val="3__GROUNDING_SYSTEM1"/>
      <sheetName val="Running_compatibility_check_"/>
      <sheetName val="A(Rev_3)"/>
      <sheetName val="REINF_2"/>
      <sheetName val="3__GROUNDING_SYSTEM2"/>
      <sheetName val="member_design1"/>
      <sheetName val="Adjusted_Bids1"/>
      <sheetName val="PC_CATCH_PIT_1X1X1_2M1"/>
      <sheetName val="PC_CATCH_PIT__6X_6X1_0M1"/>
      <sheetName val="PC_COVER_100MM_THK__95x_31"/>
      <sheetName val="PC_COVER_250MM_THK_2_2x_31"/>
      <sheetName val="working_load_at_the_btm_ft_1"/>
      <sheetName val="soil_bearing_check1"/>
      <sheetName val="Concept_Offshore1"/>
      <sheetName val="Chiet_tinh_dz351"/>
      <sheetName val="Running_compatibility_check_1"/>
      <sheetName val="A(Rev_3)1"/>
      <sheetName val="SUM_FSBLT5"/>
      <sheetName val="Overall_Project5"/>
      <sheetName val="Overall_Process5"/>
      <sheetName val="Overall_Utility5"/>
      <sheetName val="FWBS_10005"/>
      <sheetName val="FWBS_20005"/>
      <sheetName val="FWBS_30005"/>
      <sheetName val="FWBS_50005"/>
      <sheetName val="FWBS_60005"/>
      <sheetName val="FWBS_70005"/>
      <sheetName val="FWBS_80005"/>
      <sheetName val="FWBS_90005"/>
      <sheetName val="FWBS_A0005"/>
      <sheetName val="FWBS_B0005"/>
      <sheetName val="FWBS_Z0005"/>
      <sheetName val="INVOICE_CERT_EIV'S4"/>
      <sheetName val="Onerous_Terms4"/>
      <sheetName val="Building_BD4"/>
      <sheetName val="_Sum4"/>
      <sheetName val="REINF_3"/>
      <sheetName val="3__GROUNDING_SYSTEM3"/>
      <sheetName val="member_design2"/>
      <sheetName val="Adjusted_Bids2"/>
      <sheetName val="PC_CATCH_PIT_1X1X1_2M2"/>
      <sheetName val="PC_CATCH_PIT__6X_6X1_0M2"/>
      <sheetName val="PC_COVER_100MM_THK__95x_32"/>
      <sheetName val="PC_COVER_250MM_THK_2_2x_32"/>
      <sheetName val="working_load_at_the_btm_ft_2"/>
      <sheetName val="soil_bearing_check2"/>
      <sheetName val="Concept_Offshore2"/>
      <sheetName val="Chiet_tinh_dz352"/>
      <sheetName val="Running_compatibility_check_2"/>
      <sheetName val="A(Rev_3)2"/>
      <sheetName val="SUM_FSBLT6"/>
      <sheetName val="Overall_Project6"/>
      <sheetName val="Overall_Process6"/>
      <sheetName val="Overall_Utility6"/>
      <sheetName val="FWBS_10006"/>
      <sheetName val="FWBS_20006"/>
      <sheetName val="FWBS_30006"/>
      <sheetName val="FWBS_50006"/>
      <sheetName val="FWBS_60006"/>
      <sheetName val="FWBS_70006"/>
      <sheetName val="FWBS_80006"/>
      <sheetName val="FWBS_90006"/>
      <sheetName val="FWBS_A0006"/>
      <sheetName val="FWBS_B0006"/>
      <sheetName val="FWBS_Z0006"/>
      <sheetName val="INVOICE_CERT_EIV'S5"/>
      <sheetName val="Onerous_Terms5"/>
      <sheetName val="Building_BD5"/>
      <sheetName val="_Sum5"/>
      <sheetName val="plan&amp;section_of_foundation4"/>
      <sheetName val="design_criteria4"/>
      <sheetName val="실제_도면출도4"/>
      <sheetName val="공사비_내역_(가)4"/>
      <sheetName val="BM_DATA_SHEET4"/>
      <sheetName val="Progress_Tab4"/>
      <sheetName val="w't_table4"/>
      <sheetName val="Eq__Mobilization4"/>
      <sheetName val="33628-Rev__A4"/>
      <sheetName val="입찰내역_발주처_양식4"/>
      <sheetName val="M_114"/>
      <sheetName val="REINF_4"/>
      <sheetName val="3__GROUNDING_SYSTEM4"/>
      <sheetName val="member_design3"/>
      <sheetName val="Adjusted_Bids3"/>
      <sheetName val="PC_CATCH_PIT_1X1X1_2M3"/>
      <sheetName val="PC_CATCH_PIT__6X_6X1_0M3"/>
      <sheetName val="PC_COVER_100MM_THK__95x_33"/>
      <sheetName val="PC_COVER_250MM_THK_2_2x_33"/>
      <sheetName val="working_load_at_the_btm_ft_3"/>
      <sheetName val="soil_bearing_check3"/>
      <sheetName val="Concept_Offshore3"/>
      <sheetName val="Chiet_tinh_dz353"/>
      <sheetName val="Running_compatibility_check_3"/>
      <sheetName val="A(Rev_3)3"/>
      <sheetName val="SUM_FSBLT7"/>
      <sheetName val="Overall_Project7"/>
      <sheetName val="Overall_Process7"/>
      <sheetName val="Overall_Utility7"/>
      <sheetName val="FWBS_10007"/>
      <sheetName val="FWBS_20007"/>
      <sheetName val="FWBS_30007"/>
      <sheetName val="FWBS_50007"/>
      <sheetName val="FWBS_60007"/>
      <sheetName val="FWBS_70007"/>
      <sheetName val="FWBS_80007"/>
      <sheetName val="FWBS_90007"/>
      <sheetName val="FWBS_A0007"/>
      <sheetName val="FWBS_B0007"/>
      <sheetName val="FWBS_Z0007"/>
      <sheetName val="INVOICE_CERT_EIV'S6"/>
      <sheetName val="Onerous_Terms6"/>
      <sheetName val="Building_BD6"/>
      <sheetName val="_Sum6"/>
      <sheetName val="plan&amp;section_of_foundation5"/>
      <sheetName val="design_criteria5"/>
      <sheetName val="실제_도면출도5"/>
      <sheetName val="공사비_내역_(가)5"/>
      <sheetName val="BM_DATA_SHEET5"/>
      <sheetName val="Progress_Tab5"/>
      <sheetName val="w't_table5"/>
      <sheetName val="Eq__Mobilization5"/>
      <sheetName val="33628-Rev__A5"/>
      <sheetName val="입찰내역_발주처_양식5"/>
      <sheetName val="M_115"/>
      <sheetName val="REINF_5"/>
      <sheetName val="3__GROUNDING_SYSTEM5"/>
      <sheetName val="member_design4"/>
      <sheetName val="Adjusted_Bids4"/>
      <sheetName val="PC_CATCH_PIT_1X1X1_2M4"/>
      <sheetName val="PC_CATCH_PIT__6X_6X1_0M4"/>
      <sheetName val="PC_COVER_100MM_THK__95x_34"/>
      <sheetName val="PC_COVER_250MM_THK_2_2x_34"/>
      <sheetName val="working_load_at_the_btm_ft_4"/>
      <sheetName val="soil_bearing_check4"/>
      <sheetName val="Concept_Offshore4"/>
      <sheetName val="Chiet_tinh_dz354"/>
      <sheetName val="Running_compatibility_check_4"/>
      <sheetName val="A(Rev_3)4"/>
      <sheetName val="CALCULATION"/>
      <sheetName val="Rates"/>
      <sheetName val="QTY Pipe Laying"/>
      <sheetName val="JOB COSTING SHEET ELEC"/>
      <sheetName val="Raw Data"/>
      <sheetName val="Keels-6.2.2014"/>
      <sheetName val="FlowHmgma Grds-9.7.2013-details"/>
      <sheetName val="SEX"/>
      <sheetName val="RSM and Distributors"/>
      <sheetName val="inter"/>
      <sheetName val="뜃맟뭁돽띿맟_-BLDG"/>
      <sheetName val="_Planning&amp;reporting.xlsM9000-A"/>
      <sheetName val="Ragama"/>
      <sheetName val="B-2"/>
      <sheetName val="[Planning&amp;reporting_xlsM9000-A"/>
      <sheetName val="Cashflow_Analysis"/>
      <sheetName val="DATA"/>
      <sheetName val="Petty"/>
      <sheetName val="WORKSHEET CS"/>
      <sheetName val="CODE"/>
      <sheetName val="J"/>
      <sheetName val="DATOS"/>
      <sheetName val="Direct Prices"/>
      <sheetName val="Лист1"/>
      <sheetName val="Orçamento"/>
      <sheetName val="Structural Comp"/>
      <sheetName val="DO NOT Delete"/>
      <sheetName val="Backup"/>
      <sheetName val="MTO"/>
      <sheetName val="00-Summary Information-ABB"/>
      <sheetName val="Running_compatibility_check__x0"/>
      <sheetName val="Running_compatibility_check_?A?"/>
      <sheetName val="Running_compatibility_check__A_"/>
      <sheetName val="List_of_WorkPacks"/>
      <sheetName val="List_of_Dates"/>
      <sheetName val="FWBS_codes"/>
      <sheetName val="STANDARD_DESCRIPTION"/>
      <sheetName val="STANDARD_DESCRIPTION_-_20150519"/>
      <sheetName val="Drawings_Summary"/>
      <sheetName val="Instr_Drawing_List"/>
      <sheetName val="INDEX-Areas_B000,C000,D000,E000"/>
      <sheetName val="STANDARD_DESCRIPTION_20150715"/>
      <sheetName val="DropDown_Selections"/>
      <sheetName val="A_(2)"/>
      <sheetName val="page 6"/>
      <sheetName val="BAG-2"/>
      <sheetName val="P-Ins &amp; Bonds"/>
      <sheetName val="P-Site fac"/>
      <sheetName val="P-Clients fac"/>
      <sheetName val="P Staff fac"/>
      <sheetName val="factor "/>
      <sheetName val="CASHFLOWS"/>
      <sheetName val="bill02"/>
      <sheetName val="4"/>
      <sheetName val="Cost Factor Sheet"/>
      <sheetName val="3f"/>
      <sheetName val="PLT-SUM"/>
      <sheetName val="13A"/>
      <sheetName val="Rate Sheet"/>
      <sheetName val="S3 Architectural"/>
      <sheetName val="Load Sch, Cable Sel &amp; Qty"/>
      <sheetName val="Design"/>
      <sheetName val="APPT"/>
      <sheetName val="APPT_SGL"/>
      <sheetName val="Phone_Sale"/>
      <sheetName val="GS1"/>
      <sheetName val="Parameters"/>
      <sheetName val="Financial Summary"/>
      <sheetName val="ELE Summary"/>
      <sheetName val="sep_data"/>
      <sheetName val="9-A (SVAT) New"/>
      <sheetName val="Material Prices to si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Master Price List"/>
      <sheetName val="Prices"/>
      <sheetName val="V3100 Prices_Raw"/>
      <sheetName val="ANZ Dist AU$"/>
      <sheetName val="ANZ MajorAcc AU$"/>
      <sheetName val="ANZ Trade AU$"/>
      <sheetName val="ANZ List AU$"/>
      <sheetName val="ASIA Dist US$"/>
      <sheetName val="ASIA MajorAcc US$"/>
      <sheetName val="ASIA Trade US$"/>
      <sheetName val="ASIA List US$"/>
      <sheetName val="AU Zone"/>
      <sheetName val="Weather"/>
      <sheetName val="成本多栏明细账"/>
      <sheetName val="ELE Summary"/>
      <sheetName val="Financial Summary"/>
      <sheetName val="Schedules"/>
      <sheetName val="total"/>
      <sheetName val="Load Sch, Cable Sel &amp; Qty"/>
      <sheetName val="Cost Factor Sheet"/>
      <sheetName val="GS1"/>
      <sheetName val="Rate Sheet"/>
      <sheetName val="Sheet1"/>
      <sheetName val="Factors"/>
      <sheetName val="ID Office-R1 - 23.8.2012"/>
      <sheetName val="Schnieder Price List-July 2012"/>
      <sheetName val="Ragama"/>
      <sheetName val="Sheet2"/>
      <sheetName val="1A"/>
      <sheetName val="Summary"/>
      <sheetName val="Variables"/>
      <sheetName val="BOM"/>
      <sheetName val="TBLS"/>
      <sheetName val="EV_FC"/>
      <sheetName val="산근"/>
      <sheetName val="sys_System"/>
      <sheetName val="Material Prices to site"/>
      <sheetName val="Enclo.compar.EMP-RND"/>
      <sheetName val="CF"/>
      <sheetName val="Kaatsu H.A.M.T.T.C.-7 jan 10"/>
      <sheetName val="概総括1"/>
      <sheetName val="B-2"/>
      <sheetName val="Calc Inputs"/>
      <sheetName val="Histry Price"/>
      <sheetName val="Admin"/>
      <sheetName val="SE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MAIN"/>
      <sheetName val="SHOWFLAT"/>
      <sheetName val="PILING (1B &amp; 2)"/>
      <sheetName val="PILING (1A)"/>
      <sheetName val="BOQ"/>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概総括1"/>
      <sheetName val="V3100 Prices_Raw"/>
      <sheetName val="Ragama"/>
      <sheetName val="Enclo.compar.EMP-RND"/>
      <sheetName val="Factors"/>
      <sheetName val="Bill 5 - Carpark"/>
      <sheetName val="GS1"/>
      <sheetName val="13A"/>
      <sheetName val="Parameters"/>
      <sheetName val="Analysis"/>
      <sheetName val="Competitors"/>
      <sheetName val="JICA概総"/>
    </sheetNames>
    <definedNames>
      <definedName name="__abc123"/>
      <definedName name="__abd456"/>
      <definedName name="__cf4"/>
      <definedName name="__rt6"/>
      <definedName name="_abc123"/>
      <definedName name="_abd456"/>
      <definedName name="_cf4"/>
      <definedName name="_John"/>
      <definedName name="_rt6"/>
      <definedName name="aaaaaatre"/>
      <definedName name="aaaj"/>
      <definedName name="aatreh"/>
      <definedName name="Add_Quote"/>
      <definedName name="addddd"/>
      <definedName name="aerrrrrr"/>
      <definedName name="afq"/>
      <definedName name="aq"/>
      <definedName name="asdera"/>
      <definedName name="bbbbbb"/>
      <definedName name="bbbps"/>
      <definedName name="bbxs"/>
      <definedName name="bdsdad"/>
      <definedName name="BPS"/>
      <definedName name="cdc"/>
      <definedName name="Choices_Wrapper"/>
      <definedName name="curt"/>
      <definedName name="cxvcvc"/>
      <definedName name="CXZ"/>
      <definedName name="DAA"/>
      <definedName name="DASAS"/>
      <definedName name="dddqwd"/>
      <definedName name="DDKKHK"/>
      <definedName name="Del_Quote"/>
      <definedName name="dfseeeeeee"/>
      <definedName name="dftjjjjjj"/>
      <definedName name="dggrr"/>
      <definedName name="dghht"/>
      <definedName name="DSDADSDA"/>
      <definedName name="EFWEFWEFEF"/>
      <definedName name="ExecSummary"/>
      <definedName name="fsfdsasafds"/>
      <definedName name="fsfdsasafsd"/>
      <definedName name="ggd"/>
      <definedName name="ggg"/>
      <definedName name="hat"/>
      <definedName name="hhfss"/>
      <definedName name="HJGH"/>
      <definedName name="hlkjhlkjñklj"/>
      <definedName name="hththuwu5"/>
      <definedName name="hyyy"/>
      <definedName name="Insert_New_Quote_Line"/>
      <definedName name="JKJKDK"/>
      <definedName name="John"/>
      <definedName name="John0"/>
      <definedName name="jtd"/>
      <definedName name="KJ"/>
      <definedName name="KKKL"/>
      <definedName name="kukffu"/>
      <definedName name="kuuu"/>
      <definedName name="Labour_Productivity"/>
      <definedName name="lil"/>
      <definedName name="llllllllllllllllllllll"/>
      <definedName name="LLLLVV"/>
      <definedName name="mmtff"/>
      <definedName name="mvvvvvv"/>
      <definedName name="myyfgd"/>
      <definedName name="ndfdddd"/>
      <definedName name="nfffffff"/>
      <definedName name="oo"/>
      <definedName name="Pat"/>
      <definedName name="qqqq"/>
      <definedName name="rrqrer"/>
      <definedName name="sc"/>
      <definedName name="scfsser"/>
      <definedName name="scott"/>
      <definedName name="sdasdsa"/>
      <definedName name="sdgg"/>
      <definedName name="sFSDFDS"/>
      <definedName name="Spend"/>
      <definedName name="ssssssssssssssssss"/>
      <definedName name="SX"/>
      <definedName name="tem"/>
      <definedName name="Template1"/>
      <definedName name="template2"/>
      <definedName name="thhhaath"/>
      <definedName name="thomas"/>
      <definedName name="tssssy"/>
      <definedName name="tttkjsrr"/>
      <definedName name="tttttj"/>
      <definedName name="TYT"/>
      <definedName name="uuu"/>
      <definedName name="uuuuuu"/>
      <definedName name="uuuuuuuuuu"/>
      <definedName name="vcccczx"/>
      <definedName name="vffffffb"/>
      <definedName name="vvvvvvvvvv"/>
      <definedName name="WEQWEQ"/>
      <definedName name="XCXZC"/>
      <definedName name="xxxxxx"/>
      <definedName name="xxxxxxx"/>
      <definedName name="XZ"/>
      <definedName name="xzcv"/>
      <definedName name="xzgnhmjyuk"/>
      <definedName name="yyyy"/>
      <definedName name="yyyyyy"/>
      <definedName name="ZZZ"/>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Sheet4"/>
      <sheetName val="UNIT_LANKA"/>
      <sheetName val="Mechanical_Sri Lanka"/>
      <sheetName val="Mechanical"/>
      <sheetName val="Sheet1"/>
      <sheetName val="Factors"/>
      <sheetName val="OFFER SUMMARY"/>
      <sheetName val="Summary"/>
      <sheetName val="Sheet3"/>
      <sheetName val="Sheet2"/>
      <sheetName val="Supervision"/>
      <sheetName val="HVAC"/>
      <sheetName val="Unit Rate"/>
      <sheetName val="Factor F Data"/>
      <sheetName val="内訳書"/>
      <sheetName val="Raw Data"/>
      <sheetName val="Bill 5 - Carpark"/>
      <sheetName val="Oracle Account Mas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C702"/>
      <sheetName val="7IFS-5A"/>
      <sheetName val="BROADSUMM"/>
      <sheetName val="CPSUMM"/>
      <sheetName val="REV#2_OPT#1"/>
      <sheetName val="REV#2_OPT#2"/>
      <sheetName val="FR"/>
      <sheetName val="upa"/>
      <sheetName val="escon"/>
      <sheetName val="기계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laroux"/>
      <sheetName val="Factors"/>
      <sheetName val="Summary AC"/>
      <sheetName val="AC"/>
      <sheetName val="VVa"/>
      <sheetName val="Price Summary"/>
      <sheetName val="Summary"/>
      <sheetName val="Sheet1"/>
      <sheetName val=" Factor  "/>
      <sheetName val="Histry Price"/>
      <sheetName val="SEX"/>
      <sheetName val="Analysis"/>
      <sheetName val="Bill 5 - Carpark"/>
      <sheetName val="AEX_IMPORTS"/>
      <sheetName val="BOQ 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Master01"/>
      <sheetName val="Sheet1"/>
      <sheetName val="Settings"/>
      <sheetName val="FR"/>
      <sheetName val="upa"/>
      <sheetName val="SUM-AIR-Submit"/>
      <sheetName val="7IFS-5A"/>
      <sheetName val="전기"/>
      <sheetName val="VO Summary"/>
      <sheetName val="KKC Brkdwn"/>
      <sheetName val="SPT vs PHI"/>
      <sheetName val="SH-F"/>
      <sheetName val="stair"/>
      <sheetName val="footing"/>
      <sheetName val="Change Order Log"/>
      <sheetName val="Discounted Cash Flow"/>
      <sheetName val="Price"/>
      <sheetName val="ARCH"/>
      <sheetName val="材料单"/>
      <sheetName val="tifico"/>
      <sheetName val="office"/>
      <sheetName val="Lab"/>
      <sheetName val="Material&amp;equipment"/>
      <sheetName val="Standard_mass_bal_template"/>
      <sheetName val="Lulworth NEW TF CALCS"/>
      <sheetName val="Factors"/>
      <sheetName val="#REF"/>
      <sheetName val="125x125"/>
      <sheetName val="slipsumpR"/>
      <sheetName val="BOQ-1"/>
      <sheetName val="Factor F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3.xml><?xml version="1.0" encoding="utf-8"?>
<externalLink xmlns="http://schemas.openxmlformats.org/spreadsheetml/2006/main">
  <externalBook xmlns:r="http://schemas.openxmlformats.org/officeDocument/2006/relationships" r:id="rId1">
    <sheetNames>
      <sheetName val="Factors"/>
      <sheetName val="Submission"/>
      <sheetName val="QTY"/>
      <sheetName val="ELECTRICAL SYSTEM"/>
      <sheetName val="INPUT"/>
      <sheetName val="BN 01"/>
      <sheetName val="Raw Data"/>
      <sheetName val="금융비용"/>
      <sheetName val="Ra  stair"/>
      <sheetName val="Bill 5 - Carpar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4.xml><?xml version="1.0" encoding="utf-8"?>
<externalLink xmlns="http://schemas.openxmlformats.org/spreadsheetml/2006/main">
  <externalBook xmlns:r="http://schemas.openxmlformats.org/officeDocument/2006/relationships" r:id="rId1">
    <sheetNames>
      <sheetName val="Main Sum "/>
      <sheetName val="General Notes "/>
      <sheetName val="Prelim"/>
      <sheetName val="Provisional Sum"/>
      <sheetName val="Sum_ Structure"/>
      <sheetName val="Bidg. office &amp; Heliport"/>
      <sheetName val="Bidg. Mechanical"/>
      <sheetName val="Truck Gate House"/>
      <sheetName val="Staff Vehical Gatehouse"/>
      <sheetName val="Parking"/>
      <sheetName val="Waste Water Treatment"/>
      <sheetName val="External Work "/>
      <sheetName val="Sum_ Architectural"/>
      <sheetName val=" office &amp; Heliport"/>
      <sheetName val="Mechanical"/>
      <sheetName val="Truck Gatehouse"/>
      <sheetName val="Staff Vehicle Gatehouse"/>
      <sheetName val="Parking "/>
      <sheetName val="Waste Water Treatment Plant "/>
      <sheetName val="Arh.External Work"/>
      <sheetName val="Sum_ M&amp;E"/>
      <sheetName val="Plumbing System"/>
      <sheetName val="Environment System"/>
      <sheetName val="Fire Protection System"/>
      <sheetName val="Air Condition &amp; Ventilation Sys"/>
      <sheetName val="Electrical and Communication"/>
      <sheetName val="AC REDUCED 1"/>
      <sheetName val="SAN REDUCED 1"/>
      <sheetName val="SH-A"/>
      <sheetName val="SH-B"/>
      <sheetName val="SH-C"/>
      <sheetName val="SH-D"/>
      <sheetName val="SH-E"/>
      <sheetName val="SH-F"/>
      <sheetName val="SH-G"/>
      <sheetName val="SH_A"/>
      <sheetName val="SH_B"/>
      <sheetName val="SH_C"/>
      <sheetName val="SH_D"/>
      <sheetName val="SH_E"/>
      <sheetName val="SH_F"/>
      <sheetName val="SH_G"/>
      <sheetName val="sheet"/>
      <sheetName val="costfab"/>
      <sheetName val="Mob-Demob"/>
      <sheetName val="Plant"/>
      <sheetName val="Direct Staff"/>
      <sheetName val="Equipment"/>
      <sheetName val="TEMFACIL,SOE"/>
      <sheetName val="BM"/>
      <sheetName val="brk"/>
      <sheetName val="Gennotes"/>
      <sheetName val="COST SUMMARY"/>
      <sheetName val="DIV 1"/>
      <sheetName val="DIV 2"/>
      <sheetName val="DIV 3"/>
      <sheetName val="DIV 4"/>
      <sheetName val="DIV 5"/>
      <sheetName val="실행철강하도"/>
      <sheetName val="Store"/>
      <sheetName val="토공집계표"/>
      <sheetName val="Worksheet"/>
      <sheetName val="DETAIL "/>
      <sheetName val="DRIVER WBS COSTS"/>
      <sheetName val="Labor &amp; cryostat Inputs"/>
      <sheetName val="Cavity Inputs"/>
      <sheetName val="Cavity Summary"/>
      <sheetName val=".021 FORK"/>
      <sheetName val=".03 FORK"/>
      <sheetName val="QWR"/>
      <sheetName val="175MHz"/>
      <sheetName val="345MHz "/>
      <sheetName val="Box cryostat costs (Ken &amp; Joel)"/>
      <sheetName val="STMspry"/>
      <sheetName val="PsychroData"/>
      <sheetName val="노임"/>
      <sheetName val="RIA Driver Cost (Update #1) Rev"/>
      <sheetName val="일반공사"/>
      <sheetName val="Sum "/>
      <sheetName val="A) Preliminaries"/>
      <sheetName val="G) EE"/>
      <sheetName val="Cost Data"/>
      <sheetName val="Unit Cost"/>
      <sheetName val="Material"/>
      <sheetName val="Break Down."/>
      <sheetName val="Sheet3"/>
      <sheetName val="ACMV_Supplier"/>
      <sheetName val="KKC Brkdwn"/>
      <sheetName val="Opt A(3.1)"/>
      <sheetName val="Opt A (3.2)"/>
      <sheetName val="Opt B"/>
      <sheetName val="Opt B-1 (REV) "/>
      <sheetName val="Opt B (REV)"/>
      <sheetName val="Opt B (Original)"/>
      <sheetName val="Opt B (Upper Gallery)"/>
      <sheetName val="Opt C (Original)"/>
      <sheetName val="Opt C"/>
      <sheetName val="Opt D(Lower gallery)"/>
      <sheetName val="Opt D(Lower gallery) (REV)"/>
      <sheetName val="BQSummary"/>
      <sheetName val="F901 Page 1"/>
      <sheetName val="F901 Page2"/>
      <sheetName val="F901 Page 3"/>
      <sheetName val="F901 Page 4"/>
      <sheetName val="EXEC. SUMMARY-PG.1"/>
      <sheetName val="SIGNATORY PAGE"/>
      <sheetName val="Intro"/>
      <sheetName val="Sys"/>
      <sheetName val="Price"/>
      <sheetName val="SIGA"/>
      <sheetName val="Pulls"/>
      <sheetName val="Smoke Det"/>
      <sheetName val="Heat Det"/>
      <sheetName val="Horns"/>
      <sheetName val="Strobes"/>
      <sheetName val="Bells"/>
      <sheetName val="Chimes"/>
      <sheetName val="Indust"/>
      <sheetName val="Speakers"/>
      <sheetName val="Phones"/>
      <sheetName val="Door HR"/>
      <sheetName val="Relays"/>
      <sheetName val="Custom"/>
      <sheetName val="XLS10"/>
      <sheetName val="XLS100GEN"/>
      <sheetName val="XLS100(1)"/>
      <sheetName val="XLS100((L)"/>
      <sheetName val="APS-AMP"/>
      <sheetName val="100Ann(1)"/>
      <sheetName val="100Ann(L)"/>
      <sheetName val="100 GR-Ann(1)"/>
      <sheetName val="100 GR-Ann(L)"/>
      <sheetName val="Power Summary"/>
      <sheetName val="New BPS"/>
      <sheetName val="BPS"/>
      <sheetName val="Gen"/>
      <sheetName val="XLS200(1)"/>
      <sheetName val="XLS200(L)"/>
      <sheetName val="XLS1000(2)"/>
      <sheetName val="XLS1000(3)"/>
      <sheetName val="XLS1000(4)"/>
      <sheetName val="XLS1000(5)"/>
      <sheetName val="XLS1000((L)"/>
      <sheetName val="3Ann(1)"/>
      <sheetName val="3Ann(L)"/>
      <sheetName val="Bank Audio (1)"/>
      <sheetName val="Bank Audio(L)"/>
      <sheetName val="devices"/>
      <sheetName val="Yours(1)"/>
      <sheetName val="Yours(L)"/>
      <sheetName val="Service"/>
      <sheetName val="APS"/>
      <sheetName val="LSS"/>
      <sheetName val="Org. Project Sheet"/>
      <sheetName val="Disclaimer"/>
      <sheetName val="ccDialog"/>
      <sheetName val="Readme"/>
      <sheetName val="F801"/>
      <sheetName val="F802"/>
      <sheetName val="MVS_qty BMS"/>
      <sheetName val="MVS_qty SECURITY..."/>
      <sheetName val="Labor_310511"/>
      <sheetName val="Labor_230810"/>
      <sheetName val="EVC Estimation"/>
      <sheetName val="device_fa_30may11"/>
      <sheetName val="Sales Checklist"/>
      <sheetName val="Estimation Checklist"/>
      <sheetName val="****"/>
      <sheetName val="F803"/>
      <sheetName val="SMS"/>
      <sheetName val="Option"/>
      <sheetName val="ptsum"/>
      <sheetName val="shpwt"/>
      <sheetName val="Working"/>
      <sheetName val="Note"/>
      <sheetName val="QUALIFY"/>
      <sheetName val="REVISION "/>
      <sheetName val="F901"/>
      <sheetName val="F802 +(-)"/>
      <sheetName val="Device_count_12 feb"/>
      <sheetName val="DAFTAR NO.3.1"/>
      <sheetName val="DAFTAR NO.3.2_CHECK"/>
      <sheetName val="DAFTAR NO.11"/>
      <sheetName val="Wiring cost"/>
      <sheetName val="DAFTAR NO.3.1_x"/>
      <sheetName val="DAFTAR NO.3.2_x"/>
      <sheetName val="IO Summary"/>
      <sheetName val="ACMV Services"/>
      <sheetName val="Miscellaneous Services"/>
      <sheetName val="LABOUR QUOTE"/>
      <sheetName val="INSTALLATION RATE"/>
      <sheetName val="TENDER BREAKDOWN"/>
      <sheetName val="Summary of cost(final)"/>
      <sheetName val="swimming pool"/>
      <sheetName val="central park"/>
      <sheetName val="GFA"/>
      <sheetName val="Summary of cost"/>
      <sheetName val="MU "/>
      <sheetName val="BOQ "/>
      <sheetName val="BOQ  (2)"/>
      <sheetName val="BOQ(water tank)"/>
      <sheetName val="ST"/>
      <sheetName val="mepfs cost comparison"/>
      <sheetName val="Abstract All"/>
      <sheetName val="NSC"/>
      <sheetName val="SUM"/>
      <sheetName val="BRKDN PER CSI "/>
      <sheetName val="SUMMARY"/>
      <sheetName val="RSB_RATIO"/>
      <sheetName val="Comparison"/>
      <sheetName val="UC Updated1"/>
      <sheetName val="CP"/>
      <sheetName val="VC_reconciled amount"/>
      <sheetName val="Reconciled GFA"/>
      <sheetName val="BRKDN PER CSI"/>
      <sheetName val="BOQ Internal"/>
      <sheetName val="UC"/>
      <sheetName val="SUMMARY Interal"/>
      <sheetName val="BRKDN PER CSI External"/>
      <sheetName val="BOQ External "/>
      <sheetName val="SUMMARY External"/>
      <sheetName val="NSC External"/>
      <sheetName val="MU External"/>
      <sheetName val="SUM External"/>
      <sheetName val="CP External"/>
      <sheetName val="PROJSUM"/>
      <sheetName val="UC Updated"/>
      <sheetName val="OH"/>
      <sheetName val="OH revised"/>
      <sheetName val="Composite"/>
      <sheetName val="VE"/>
      <sheetName val=""/>
      <sheetName val="Summary (2)"/>
      <sheetName val="summary  GROSS"/>
      <sheetName val="NB 20"/>
      <sheetName val="villa c"/>
      <sheetName val="gm"/>
      <sheetName val="ND"/>
      <sheetName val="NF"/>
      <sheetName val="SF "/>
      <sheetName val="SGR"/>
      <sheetName val="mh_ boh_ ngr "/>
      <sheetName val="Main pool "/>
      <sheetName val="arrival Archl"/>
      <sheetName val="GUARDHOUSE"/>
      <sheetName val="POOL KITCHEN "/>
      <sheetName val="POOL RESTROOM "/>
      <sheetName val="Arrival struct"/>
      <sheetName val="POOL STAGE "/>
      <sheetName val="EE 4"/>
      <sheetName val="EE 1"/>
      <sheetName val="NB_ landscape"/>
      <sheetName val="Spa_Architectural"/>
      <sheetName val="Cart track"/>
      <sheetName val="batu candi"/>
      <sheetName val="STONES"/>
      <sheetName val="CONSOLIDATED DERIVE"/>
      <sheetName val="cost build up _2_"/>
      <sheetName val="DERIVE _BOQ_"/>
      <sheetName val="summary "/>
      <sheetName val="Notes"/>
      <sheetName val="A"/>
      <sheetName val="B"/>
      <sheetName val="C"/>
      <sheetName val="D"/>
      <sheetName val="E"/>
      <sheetName val="F"/>
      <sheetName val="G"/>
      <sheetName val="H"/>
      <sheetName val="J"/>
      <sheetName val="M"/>
      <sheetName val="K-L,N-R"/>
      <sheetName val="EXRATE"/>
      <sheetName val="CIMC"/>
      <sheetName val="CIEM"/>
      <sheetName val="07"/>
      <sheetName val="09"/>
      <sheetName val="CSA format-Summary"/>
      <sheetName val="DETAILS"/>
      <sheetName val="FF summary"/>
      <sheetName val="WF summary"/>
      <sheetName val="WP summary"/>
      <sheetName val="BB summary"/>
      <sheetName val="CF summary"/>
      <sheetName val="FE stairs"/>
      <sheetName val="heights"/>
      <sheetName val="openings"/>
      <sheetName val="conditions"/>
      <sheetName val=" assumptions"/>
      <sheetName val="BSC"/>
      <sheetName val="SUMM"/>
      <sheetName val="00"/>
      <sheetName val="26"/>
      <sheetName val="27"/>
      <sheetName val="28"/>
      <sheetName val="31 (2)"/>
      <sheetName val="Summary (overall)"/>
      <sheetName val="comparison section A_section B"/>
      <sheetName val="Sheet1"/>
      <sheetName val="Sheet2"/>
      <sheetName val="ID"/>
      <sheetName val="Bill summary of cost"/>
      <sheetName val="03"/>
      <sheetName val="04"/>
      <sheetName val="05"/>
      <sheetName val="06"/>
      <sheetName val="08"/>
      <sheetName val="10"/>
      <sheetName val="12"/>
      <sheetName val="22"/>
      <sheetName val="23"/>
      <sheetName val="31"/>
      <sheetName val="32"/>
      <sheetName val="CQI"/>
      <sheetName val="Prelims"/>
      <sheetName val="CFA Summary"/>
      <sheetName val="Unit Summary"/>
      <sheetName val="BOQ (2)"/>
      <sheetName val="BOQ Market"/>
      <sheetName val="BOQ with VE"/>
      <sheetName val="PROJ DES"/>
      <sheetName val="CFA"/>
      <sheetName val="CFA (032007)"/>
      <sheetName val="BOQ MARKET2"/>
      <sheetName val="BRKDN PER CSI MARKET"/>
      <sheetName val="ELECTRO-MECHS"/>
      <sheetName val="ELECTRO-MECHS Market"/>
      <sheetName val="RATES G-5"/>
      <sheetName val="BOQ"/>
      <sheetName val="GB5 Basement"/>
      <sheetName val="abstract (2)"/>
      <sheetName val="abstract"/>
      <sheetName val="02_Siteworks"/>
      <sheetName val="03_Concrete "/>
      <sheetName val="04_Masonry"/>
      <sheetName val="05_Metals"/>
      <sheetName val="07_Waterproofing &amp; Insulation"/>
      <sheetName val="08_Doors, Windows &amp; Hardwares"/>
      <sheetName val="093_Stone works"/>
      <sheetName val="09_Architectural.Edited18-11-08"/>
      <sheetName val="099_Paint"/>
      <sheetName val="10_Specialties"/>
      <sheetName val="15400Plumb&amp;S Works"/>
      <sheetName val="15300FirePr0"/>
      <sheetName val="15400Plumb&amp;Sanitary"/>
      <sheetName val="16BOQ_Electrical Works"/>
      <sheetName val="UC Updated-INSULAR"/>
      <sheetName val="J(1)"/>
      <sheetName val="L(1)"/>
      <sheetName val="L(2)"/>
      <sheetName val="L(3)"/>
      <sheetName val="L(4)"/>
      <sheetName val="upa"/>
      <sheetName val="Grand Sum"/>
      <sheetName val="LUMP SUM2"/>
      <sheetName val="labour"/>
      <sheetName val="upa - LS Pay Items2"/>
      <sheetName val="upa-GENREQ"/>
      <sheetName val="inWords"/>
      <sheetName val="wordsdata"/>
      <sheetName val="IN WORDS"/>
      <sheetName val="LUMP SUM"/>
      <sheetName val="upa - LS Pay Items"/>
      <sheetName val="FINL-SUM"/>
      <sheetName val="GEN.RQMT-1"/>
      <sheetName val="STRCTRL-2"/>
      <sheetName val="ARCHT-3"/>
      <sheetName val="ELEC-4"/>
      <sheetName val="MECH-5"/>
      <sheetName val="FIREPRO-6"/>
      <sheetName val="PLUM-7"/>
      <sheetName val="PRIMECOST-8"/>
      <sheetName val="DAYWORK-9"/>
      <sheetName val="upa-newport"/>
      <sheetName val="labor"/>
      <sheetName val="eqpmnt"/>
      <sheetName val="subcon"/>
      <sheetName val="plant4daywork"/>
      <sheetName val="materials  used summary"/>
      <sheetName val="SUPPLIERS "/>
      <sheetName val="rates"/>
      <sheetName val="cover page"/>
      <sheetName val="BILLING SUMMARY"/>
      <sheetName val="list of waos approved for CO"/>
      <sheetName val="Bill No.2 (structural)"/>
      <sheetName val="Bill No.3 (architectural)"/>
      <sheetName val="PCM"/>
      <sheetName val="sanitary"/>
      <sheetName val="ELECTRICAL SUPPLIES"/>
      <sheetName val="electrical "/>
      <sheetName val="firepro"/>
      <sheetName val="ELEVATOR"/>
      <sheetName val="EXTERNAL"/>
      <sheetName val="design fee"/>
      <sheetName val="Labor Components (2004)8-11-04"/>
      <sheetName val="conc"/>
      <sheetName val="Pipes, accessories and fittings"/>
      <sheetName val="BI Pipes Fitting,acc. &amp;ins"/>
      <sheetName val="SPLIT 1"/>
      <sheetName val="SPLIT_MASTER"/>
      <sheetName val="VRF"/>
      <sheetName val="VRF SYSTEM QTO23 HVAC"/>
      <sheetName val="REF_piping per boq rev01"/>
      <sheetName val="CashFlwProjections"/>
      <sheetName val="Category 1"/>
      <sheetName val="Land Dev't. Ph-1"/>
      <sheetName val="4-Lane bridge"/>
      <sheetName val="Spine Road"/>
      <sheetName val="Res.Lots"/>
      <sheetName val="Hac.Lots"/>
      <sheetName val="Farmlots"/>
      <sheetName val="Bridge"/>
      <sheetName val="4-Lane bridge sched rev"/>
      <sheetName val="Div Summary Updated Cost 06"/>
      <sheetName val="UC06-Caroline-TEX81"/>
      <sheetName val="UC06-Lorraine-TEX97"/>
      <sheetName val="TEX33"/>
      <sheetName val="TEX50"/>
      <sheetName val="Mat'l Prices Mar 06 frm SQM"/>
      <sheetName val="Estimated Labor Cost"/>
      <sheetName val="Cost Derivation for Manhours"/>
      <sheetName val="TEX40"/>
      <sheetName val="TEX49"/>
      <sheetName val="TEX66"/>
      <sheetName val="ActualCOst"/>
      <sheetName val="Permits &amp; Insurances"/>
      <sheetName val="Updtd Sum of Act Cost"/>
      <sheetName val="Savings"/>
      <sheetName val="Hse Unit Const. Cost"/>
      <sheetName val="Utilities"/>
      <sheetName val="Brkdwn of Prmts &amp; Fees"/>
      <sheetName val="Approx. Savings"/>
      <sheetName val="Permits _ Insurances"/>
      <sheetName val="data"/>
      <sheetName val="100mm CHB"/>
      <sheetName val="150chb LB"/>
      <sheetName val="150mm CHB"/>
      <sheetName val="Plastering"/>
      <sheetName val="Concrete Topping"/>
      <sheetName val="Tileworks"/>
      <sheetName val="Sum of Spine "/>
      <sheetName val="bi-monthly rep Spine"/>
      <sheetName val="Sum of Villa"/>
      <sheetName val="bi-mnthly rep Villa"/>
      <sheetName val="Sum of Hacienda"/>
      <sheetName val="bi-mnthly rep Hacienda"/>
      <sheetName val="Sum of Farm"/>
      <sheetName val="bi-mnthly rep Farm"/>
      <sheetName val="Sum of Bridge"/>
      <sheetName val="bi-mnthly rep Bridge"/>
      <sheetName val="#REF"/>
      <sheetName val="Sched Spine"/>
      <sheetName val="Sched Res.Lots"/>
      <sheetName val="Sched Hac.Lots"/>
      <sheetName val="Sched Farmlot"/>
      <sheetName val="painting"/>
      <sheetName val="Wdo Mldngs"/>
      <sheetName val="RecoveredExternalLink1"/>
      <sheetName val="Grand"/>
      <sheetName val="SUMM_PREV"/>
      <sheetName val="03old"/>
      <sheetName val="05_PREV"/>
      <sheetName val="Sheet1 (2)"/>
      <sheetName val="HVAC"/>
      <sheetName val="ROSS"/>
      <sheetName val="BOSSEN"/>
      <sheetName val="BRV"/>
      <sheetName val="NGC"/>
      <sheetName val="JACA"/>
      <sheetName val="KLAN"/>
      <sheetName val="EASYLINK"/>
      <sheetName val="Sheet2 (2)"/>
      <sheetName val="Form"/>
      <sheetName val="Bid Breakdown"/>
      <sheetName val="Matrox"/>
      <sheetName val="RT"/>
      <sheetName val="DPS"/>
      <sheetName val="Medea"/>
      <sheetName val="Pinnacle ets"/>
      <sheetName val="Accessories"/>
      <sheetName val="Software"/>
      <sheetName val="Servers"/>
      <sheetName val="Avid"/>
      <sheetName val="Canopus"/>
      <sheetName val="AJA"/>
      <sheetName val="Blackmagic"/>
      <sheetName val="Infortrend"/>
      <sheetName val="Istor&amp;Qualstar"/>
      <sheetName val="Hardware"/>
      <sheetName val="Digidesign"/>
      <sheetName val="Panasonic"/>
      <sheetName val="Autodesk &amp; Vue 6"/>
      <sheetName val="G &amp; B"/>
      <sheetName val="schedule-A"/>
      <sheetName val="Updated table"/>
      <sheetName val="TABLE"/>
      <sheetName val="SUMMARY DUCT"/>
      <sheetName val="toilet (RISER)"/>
      <sheetName val="EXHAUST -EE ROOMS (branch) "/>
      <sheetName val="TOILET (BRANCH) "/>
      <sheetName val="EXHAUST -EE ROOMS (RISER)"/>
      <sheetName val="ELECTRICAL EF EQUIP"/>
      <sheetName val="Recovered_Sheet1"/>
      <sheetName val="Sum ld-all phases(cb of ewrks)"/>
      <sheetName val="ld-all phases(cb of ewrks)"/>
      <sheetName val="Sum ld-all phases(cb of ewr (2)"/>
      <sheetName val="ld-all phases(cb of ewrks) (2)"/>
      <sheetName val="Sum ld-all phases(cb of ewr (3)"/>
      <sheetName val="ld-all phases(cb of ewrks) (3)"/>
      <sheetName val="Sum 3A less WTL"/>
      <sheetName val="ld3A less WTL-5-04"/>
      <sheetName val="Sum 3B less WTL"/>
      <sheetName val="ld3B less WTL-5-04"/>
      <sheetName val="basis"/>
      <sheetName val="Summary-3A"/>
      <sheetName val="land devt-3A"/>
      <sheetName val="Summary-3B"/>
      <sheetName val="land devt-3B"/>
      <sheetName val="water trans line-250ø"/>
      <sheetName val="matls testing-3A"/>
      <sheetName val="matls testing-3B"/>
      <sheetName val="RCP Wall thickness"/>
      <sheetName val="Driv"/>
      <sheetName val="uc-rrow"/>
      <sheetName val="RCP-COLMDC"/>
      <sheetName val="DRAINPIPE"/>
      <sheetName val="SEWLOT"/>
      <sheetName val="SEWRPIPE-used"/>
      <sheetName val="PCCP"/>
      <sheetName val="BOV"/>
      <sheetName val="H20FIT"/>
      <sheetName val="H20APPURT"/>
      <sheetName val="H20PIPE-steel"/>
      <sheetName val="H20PIPE"/>
      <sheetName val="LtCon-used"/>
      <sheetName val="DMH(2)-used"/>
      <sheetName val="SMH-used"/>
      <sheetName val="DMH-used"/>
      <sheetName val="DMH(double pipe)-used"/>
      <sheetName val="SPB-used"/>
      <sheetName val="DRAINAGE LOT CONNECTION BOX"/>
      <sheetName val="CIB"/>
      <sheetName val="SWRLTCON"/>
      <sheetName val="JB (2)"/>
      <sheetName val="CB"/>
      <sheetName val="CB-AMEN"/>
      <sheetName val="ECB-used"/>
      <sheetName val="CIM"/>
      <sheetName val="DIM-used"/>
      <sheetName val="DIM(double)-used"/>
      <sheetName val="DIB-used"/>
      <sheetName val="DIB (2)"/>
      <sheetName val="GIB"/>
      <sheetName val="4&quot;CHB"/>
      <sheetName val="proposal (revised)"/>
      <sheetName val="Road"/>
      <sheetName val="RCPC &amp; RCBC"/>
      <sheetName val="Struc'l"/>
      <sheetName val="Mat'ls price"/>
      <sheetName val="derivation"/>
      <sheetName val="hauldispose"/>
      <sheetName val="reconciled ph.1"/>
      <sheetName val="reconciled2 ph.1"/>
      <sheetName val="opb"/>
      <sheetName val="INTER-OFFICE MEMO"/>
      <sheetName val="GENCON FOR OPB"/>
      <sheetName val="summary for opb"/>
      <sheetName val="Breakdown"/>
      <sheetName val="Ph3a-CTC-12-Feb-09-Actual "/>
      <sheetName val="SUMARCHL"/>
      <sheetName val="UC(ARHL)"/>
      <sheetName val="&lt;-X1-&gt;"/>
      <sheetName val="QTY(M!M!)"/>
      <sheetName val="B#7(BSMNT)"/>
      <sheetName val="B#8(N1A)"/>
      <sheetName val="B#9(N1B)"/>
      <sheetName val="B#10(PLZ)"/>
      <sheetName val="B#11(SS)"/>
      <sheetName val="&lt;-xx"/>
      <sheetName val="MU(ARCHL)"/>
      <sheetName val="XXEST(ARCHL)"/>
      <sheetName val="SUM(18EL)"/>
      <sheetName val="CP(demol)"/>
      <sheetName val="&lt;1&gt;"/>
      <sheetName val="Pln(Prk-1B)"/>
      <sheetName val="iFtg(1B)"/>
      <sheetName val="cFtg(1B)"/>
      <sheetName val="cCol"/>
      <sheetName val="Sof(1B)"/>
      <sheetName val="GrB(1B)"/>
      <sheetName val="&lt;2&gt;"/>
      <sheetName val="Pln(RS)"/>
      <sheetName val="Ftg(RS)"/>
      <sheetName val="Sof(RS)"/>
      <sheetName val="TotCol(1B&amp;RB)"/>
      <sheetName val="Pln(1B)"/>
      <sheetName val="Col(1B)"/>
      <sheetName val="PlnCol(RS)"/>
      <sheetName val="Col(RB)"/>
      <sheetName val="CP(demol) (2)"/>
      <sheetName val="CP(demol) (3)"/>
      <sheetName val="CP(demol) (4)"/>
      <sheetName val="COLUMDEMOLITN"/>
      <sheetName val="CSI"/>
      <sheetName val="comp wdow bay"/>
      <sheetName val="comp basic arch"/>
      <sheetName val="comp envelope"/>
      <sheetName val="qualifications"/>
      <sheetName val="CONTRACT-SUM"/>
      <sheetName val="Final Summary"/>
      <sheetName val="สรุป"/>
      <sheetName val="B-2"/>
      <sheetName val="S M B-2"/>
      <sheetName val="B-3 "/>
      <sheetName val="S M B-3"/>
      <sheetName val="B-4"/>
      <sheetName val="S M B-4"/>
      <sheetName val="B-5"/>
      <sheetName val="B-6"/>
      <sheetName val="DWS"/>
      <sheetName val="Main summary"/>
      <sheetName val="COVER"/>
      <sheetName val="bill01"/>
      <sheetName val="new BILL2 lib"/>
      <sheetName val="BILL3 NEW GYM"/>
      <sheetName val="BILL 4 NEW multi"/>
      <sheetName val="BILL6 NEW DINNING"/>
      <sheetName val="BILL 5  SCHALET"/>
      <sheetName val="BILL 6 D CHALET"/>
      <sheetName val=" BILL 7 NEW MEDICAL"/>
      <sheetName val="BILL 10  new SITING"/>
      <sheetName val="bill16elec"/>
      <sheetName val="gs"/>
      <sheetName val="bill02"/>
      <sheetName val="bill03"/>
      <sheetName val="bill04"/>
      <sheetName val="T.Off"/>
      <sheetName val="Steel"/>
      <sheetName val="07ps"/>
      <sheetName val="B-1 "/>
      <sheetName val="B 3"/>
      <sheetName val="S M B-5"/>
      <sheetName val="B-7"/>
      <sheetName val="B-8"/>
      <sheetName val="Main sum"/>
      <sheetName val="S M B-5 (2)"/>
      <sheetName val="Add 01"/>
      <sheetName val="Main sum 2"/>
      <sheetName val="Main sum 3"/>
      <sheetName val="Factor Sheet"/>
      <sheetName val="Price Sheet"/>
      <sheetName val="Ravalement"/>
      <sheetName val="D5"/>
      <sheetName val="D3"/>
      <sheetName val="SD1"/>
      <sheetName val="D6"/>
      <sheetName val="DW1A"/>
      <sheetName val="DW1AA"/>
      <sheetName val="DW2A "/>
      <sheetName val="DW3A"/>
      <sheetName val="DW4A"/>
      <sheetName val="DW5A"/>
      <sheetName val="SD4"/>
      <sheetName val="W1"/>
      <sheetName val="F1A"/>
      <sheetName val="F1"/>
      <sheetName val="F3"/>
      <sheetName val="DW1"/>
      <sheetName val="FX2"/>
      <sheetName val="SD1,"/>
      <sheetName val="SD2,"/>
      <sheetName val="SD4,"/>
      <sheetName val="SD5"/>
      <sheetName val="W1A"/>
      <sheetName val="W2A"/>
      <sheetName val="W3A "/>
      <sheetName val="W4A "/>
      <sheetName val="NEW BOQ"/>
      <sheetName val="POS-01R"/>
      <sheetName val="POS-01"/>
      <sheetName val="POS-02"/>
      <sheetName val="POS 03"/>
      <sheetName val="POS 04"/>
      <sheetName val="POS 5"/>
      <sheetName val="POS 6"/>
      <sheetName val="POS 07"/>
      <sheetName val="POS 08"/>
      <sheetName val="POS 9)"/>
      <sheetName val="POS 10"/>
      <sheetName val="POS 11"/>
      <sheetName val="POS 12"/>
      <sheetName val="POS 13"/>
      <sheetName val="POS 14"/>
      <sheetName val="POS 15 "/>
      <sheetName val="POS 16"/>
      <sheetName val="POS 17"/>
      <sheetName val="POS 18"/>
      <sheetName val="POS 19"/>
      <sheetName val="POS 20"/>
      <sheetName val="POS 21"/>
      <sheetName val="POS 22"/>
      <sheetName val="Sheet19"/>
      <sheetName val="Sheet25"/>
      <sheetName val="Sheet20"/>
      <sheetName val="Sheet24"/>
      <sheetName val="Sheet21"/>
      <sheetName val="FitOutConfCentre"/>
      <sheetName val="RBD"/>
      <sheetName val="Rate Sheet"/>
      <sheetName val="B0QXC (2)"/>
      <sheetName val="B03C"/>
      <sheetName val="BILL D"/>
      <sheetName val="B04C (2)"/>
      <sheetName val="BILL F "/>
      <sheetName val="B05C"/>
      <sheetName val="BILL G"/>
      <sheetName val="B06C"/>
      <sheetName val="BILL H"/>
      <sheetName val="B07C"/>
      <sheetName val="BILL K"/>
      <sheetName val="B08C"/>
      <sheetName val="BILL L"/>
      <sheetName val="B10C"/>
      <sheetName val="BILL N"/>
      <sheetName val="B11C"/>
      <sheetName val="BILL Q"/>
      <sheetName val="B12C "/>
      <sheetName val="BILL R1 "/>
      <sheetName val="BILL R2"/>
      <sheetName val="B13C"/>
      <sheetName val="BILL S"/>
      <sheetName val="B14C"/>
      <sheetName val="BILL T"/>
      <sheetName val="B15C"/>
      <sheetName val="BILL V"/>
      <sheetName val="B16C"/>
      <sheetName val="BILL W"/>
      <sheetName val="GSC"/>
      <sheetName val="building Summary"/>
      <sheetName val="Sheet4"/>
      <sheetName val="Sheet5"/>
      <sheetName val="Manhole"/>
      <sheetName val="Cov"/>
      <sheetName val="Bill 01 - Preliminaries"/>
      <sheetName val="Sub Sum 1 "/>
      <sheetName val="Bill 03 - Civil Works"/>
      <sheetName val="Sub Sum 3"/>
      <sheetName val="Bill 04 - water supply tb "/>
      <sheetName val="Sub Sum 4"/>
      <sheetName val="Bill 05 - Electrical tb"/>
      <sheetName val="Sub Sum 5"/>
      <sheetName val="Bill 06 - Miscellaneous"/>
      <sheetName val="Sub Sum 6"/>
      <sheetName val="variance-Final"/>
      <sheetName val="variance-Final -pg sett"/>
      <sheetName val="Ann 1"/>
      <sheetName val="Ann 2"/>
      <sheetName val="P&amp;L"/>
      <sheetName val="variance"/>
      <sheetName val="Assumptions"/>
      <sheetName val="Block 122-1st"/>
      <sheetName val="BOL"/>
      <sheetName val="Earth"/>
      <sheetName val="OD"/>
      <sheetName val="工程量清单"/>
      <sheetName val="浮桥"/>
      <sheetName val="기계내역서"/>
      <sheetName val="CASHFLO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Set>
  </externalBook>
</externalLink>
</file>

<file path=xl/externalLinks/externalLink35.xml><?xml version="1.0" encoding="utf-8"?>
<externalLink xmlns="http://schemas.openxmlformats.org/spreadsheetml/2006/main">
  <externalBook xmlns:r="http://schemas.openxmlformats.org/officeDocument/2006/relationships" r:id="rId1">
    <sheetNames>
      <sheetName val="Factor F Data"/>
      <sheetName val="XXX"/>
      <sheetName val="YYY"/>
      <sheetName val="ProjectName"/>
      <sheetName val="Unit Cost"/>
      <sheetName val="Material civil"/>
      <sheetName val="Labour"/>
      <sheetName val="Equipment"/>
      <sheetName val="Unit Cost 2-4"/>
      <sheetName val="Unit Cost 5(1)"/>
      <sheetName val="Unit Cost 5(2-4)"/>
      <sheetName val="Unit Cost 5(6-11)"/>
      <sheetName val="Unit Cost 6"/>
      <sheetName val="Unit Cost 6(12,13)"/>
      <sheetName val="Unit Cost 6(15-20)"/>
      <sheetName val="ITEM List"/>
      <sheetName val="price6.18"/>
      <sheetName val="price6.19"/>
      <sheetName val="Electrical"/>
      <sheetName val="Structure labour cost"/>
      <sheetName val="Rate of work"/>
      <sheetName val="Fill Mat."/>
      <sheetName val="Piling"/>
      <sheetName val="Structure unit"/>
      <sheetName val="Source Fill Materials"/>
      <sheetName val="Form"/>
      <sheetName val="Concrete Price"/>
      <sheetName val="SUM-AIR-Submit"/>
      <sheetName val="UnitSOBRR"/>
      <sheetName val="S3 Architectural"/>
      <sheetName val="Cctmst"/>
      <sheetName val="Price Sheet"/>
      <sheetName val="B-3"/>
      <sheetName val="ID Office-R1 - 23.8.2012"/>
      <sheetName val="Schnieder Price List-July 2012"/>
      <sheetName val="Factor"/>
      <sheetName val="BN 01"/>
      <sheetName val="内訳書"/>
      <sheetName val="Factors"/>
      <sheetName val="Admin"/>
      <sheetName val="Prior_CM"/>
      <sheetName val="Bill 5 - Carpark"/>
      <sheetName val="A"/>
      <sheetName val="APPT"/>
      <sheetName val="APPT_SGL"/>
      <sheetName val="Phone_Sale"/>
      <sheetName val="Histry Price"/>
      <sheetName val="BOQ"/>
      <sheetName val="Wiring_Firemen"/>
      <sheetName val="MOS"/>
      <sheetName val="Ragama"/>
      <sheetName val="Parameters"/>
      <sheetName val="FitOutConfCentre"/>
      <sheetName val="NOV fx rates"/>
      <sheetName val="Lookup"/>
      <sheetName val="Cost Sheet"/>
      <sheetName val="B-2"/>
      <sheetName val="Weather"/>
      <sheetName val="成本多栏明细账"/>
      <sheetName val="V3100 Prices_Ra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36.xml><?xml version="1.0" encoding="utf-8"?>
<externalLink xmlns="http://schemas.openxmlformats.org/spreadsheetml/2006/main">
  <externalBook xmlns:r="http://schemas.openxmlformats.org/officeDocument/2006/relationships" r:id="rId1">
    <sheetNames>
      <sheetName val="Sheet1"/>
      <sheetName val="주식"/>
      <sheetName val="Sheet1 (2)"/>
      <sheetName val="삼성전기"/>
      <sheetName val="대부현황"/>
      <sheetName val="조선맥주"/>
      <sheetName val="한솔전자"/>
      <sheetName val="군자산업"/>
      <sheetName val="두산음료"/>
      <sheetName val="아남산업"/>
      <sheetName val="유공"/>
      <sheetName val="두산상사"/>
      <sheetName val="대호"/>
      <sheetName val="Sheet3"/>
      <sheetName val="사용내역"/>
      <sheetName val="Sheet5"/>
      <sheetName val="Sheet6"/>
      <sheetName val="Sheet7"/>
      <sheetName val="Sheet8"/>
      <sheetName val="Sheet9"/>
      <sheetName val="Sheet10"/>
      <sheetName val="Sheet11"/>
      <sheetName val="Sheet12"/>
      <sheetName val="Sheet13"/>
      <sheetName val="Sheet14"/>
      <sheetName val="Sheet15"/>
      <sheetName val="Sheet16"/>
      <sheetName val="노임이"/>
      <sheetName val="#REF"/>
      <sheetName val="1-1"/>
      <sheetName val="01"/>
      <sheetName val="양식summary"/>
      <sheetName val="98주식"/>
      <sheetName val="원가계산서"/>
      <sheetName val="BN 01"/>
      <sheetName val="Keels-6.2.2014"/>
      <sheetName val="A"/>
      <sheetName val="Factors"/>
      <sheetName val="1-G1"/>
      <sheetName val="Summary"/>
      <sheetName val="CERTIFICATE"/>
      <sheetName val="Raw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37.xml><?xml version="1.0" encoding="utf-8"?>
<externalLink xmlns="http://schemas.openxmlformats.org/spreadsheetml/2006/main">
  <externalBook xmlns:r="http://schemas.openxmlformats.org/officeDocument/2006/relationships" r:id="rId1">
    <sheetNames>
      <sheetName val="A"/>
      <sheetName val="B"/>
      <sheetName val="C"/>
      <sheetName val="D"/>
      <sheetName val="E"/>
      <sheetName val="G"/>
      <sheetName val="H"/>
      <sheetName val="I"/>
      <sheetName val="J"/>
      <sheetName val="K"/>
      <sheetName val="L"/>
      <sheetName val="M"/>
      <sheetName val="N"/>
      <sheetName val="O"/>
      <sheetName val="P"/>
      <sheetName val="Q"/>
      <sheetName val="R"/>
      <sheetName val="S"/>
      <sheetName val="T"/>
      <sheetName val="U"/>
      <sheetName val="V"/>
      <sheetName val="W"/>
      <sheetName val="X"/>
      <sheetName val="Y"/>
      <sheetName val="Z"/>
      <sheetName val="AA"/>
      <sheetName val="Cash1"/>
      <sheetName val="Cash2"/>
      <sheetName val="Cash_Sum"/>
      <sheetName val="Scope"/>
      <sheetName val="mvac_Offer"/>
      <sheetName val="mvac_BOQ"/>
      <sheetName val="Summary"/>
      <sheetName val="Factors"/>
      <sheetName val="katsayı"/>
      <sheetName val="Testing"/>
      <sheetName val="Qo-1585"/>
      <sheetName val="ANALIZ"/>
      <sheetName val="③赤紙(日文)"/>
      <sheetName val="KADIKES2"/>
      <sheetName val="Co_Ef"/>
      <sheetName val="Co Eff"/>
      <sheetName val="C1ㅇ"/>
      <sheetName val="Base BM-rebar"/>
      <sheetName val="TESİSAT"/>
      <sheetName val="List"/>
      <sheetName val="Raw Data"/>
      <sheetName val="BOQ"/>
      <sheetName val="Fit Out B2a"/>
      <sheetName val="FOL - Bar"/>
      <sheetName val="Option"/>
      <sheetName val="기계내역서"/>
      <sheetName val="Calendar"/>
      <sheetName val="C3"/>
      <sheetName val="Base_BM-rebar"/>
      <sheetName val="Raw_Data"/>
      <sheetName val="COST"/>
      <sheetName val="FitOutConfCentre"/>
      <sheetName val="Day work"/>
      <sheetName val="Payments and Cash Calls"/>
      <sheetName val="1"/>
      <sheetName val="Schedules"/>
      <sheetName val="SubmitCal"/>
      <sheetName val="Register"/>
      <sheetName val="laroux"/>
      <sheetName val="Summary "/>
      <sheetName val="VVa"/>
      <sheetName val="BOQ-FD PA"/>
      <sheetName val="Price List FD PA"/>
      <sheetName val="DBs"/>
      <sheetName val="S3 Architectural"/>
      <sheetName val="Cost Sheet"/>
      <sheetName val="fire detection offer"/>
      <sheetName val="fire detection cost"/>
      <sheetName val="Price List"/>
      <sheetName val="SPT vs PHI"/>
      <sheetName val="PLUMBING WORK ADDITIONS"/>
      <sheetName val="B-3"/>
      <sheetName val=" Factor  "/>
      <sheetName val="Histry Price"/>
      <sheetName val="WIP"/>
      <sheetName val="#REF"/>
      <sheetName val="PLT-SUM"/>
      <sheetName val="M Budget"/>
      <sheetName val="Material of Quantities"/>
      <sheetName val="unit price list"/>
      <sheetName val="Project Data"/>
      <sheetName val="Cover"/>
      <sheetName val="Ｎｏ.13"/>
      <sheetName val="운반"/>
      <sheetName val="아파트 "/>
      <sheetName val="6MONTHS"/>
      <sheetName val="วัดใต้"/>
      <sheetName val="inter"/>
      <sheetName val="Price Sheet"/>
      <sheetName val="업무처리전"/>
      <sheetName val="M_Budget"/>
      <sheetName val="Material_of_Quantities"/>
      <sheetName val="unit_price_list"/>
      <sheetName val="Project_Data"/>
      <sheetName val="아파트_"/>
      <sheetName val="Ｎｏ_13"/>
      <sheetName val="Labor (HA)"/>
      <sheetName val="Equiment (HA)"/>
      <sheetName val="Material"/>
      <sheetName val="Trade"/>
      <sheetName val="Sheet1"/>
      <sheetName val="AOP Summary-2"/>
      <sheetName val="공사내역"/>
      <sheetName val="KABLO"/>
      <sheetName val="Chiet tinh dz22"/>
      <sheetName val="입찰내역 발주처 양식"/>
      <sheetName val="NPV"/>
      <sheetName val="Co_Eff"/>
      <sheetName val="Base_BM-rebar1"/>
      <sheetName val="Raw_Data1"/>
      <sheetName val="Fit_Out_B2a"/>
      <sheetName val="FOL_-_Bar"/>
      <sheetName val="Payments_and_Cash_Calls"/>
      <sheetName val="Day_work"/>
      <sheetName val="MTP"/>
      <sheetName val="Compar 28.12.17"/>
      <sheetName val="Master"/>
      <sheetName val="PNT-QUOT-#3"/>
      <sheetName val="COAT&amp;WRAP-QIOT-#3"/>
      <sheetName val="VL"/>
      <sheetName val="TN"/>
      <sheetName val="ND"/>
      <sheetName val="RAB AR&amp;STR"/>
      <sheetName val="tifico"/>
      <sheetName val="負荷集計（断熱不燃）"/>
      <sheetName val="A2 (4)"/>
      <sheetName val="M_Budget1"/>
      <sheetName val="Material_of_Quantities1"/>
      <sheetName val="unit_price_list1"/>
      <sheetName val="Project_Data1"/>
      <sheetName val="Ｎｏ_131"/>
      <sheetName val="아파트_1"/>
      <sheetName val="Earthwork"/>
      <sheetName val="XL4Poppy"/>
      <sheetName val="Compar_28_12_17"/>
      <sheetName val="Electrical"/>
      <sheetName val="SUM-AIR-Submit"/>
      <sheetName val="MTO REV_2_ARMOR_"/>
      <sheetName val="Sheet2"/>
      <sheetName val="escon"/>
      <sheetName val="AQA"/>
      <sheetName val="Currency"/>
      <sheetName val="Sheet4"/>
      <sheetName val="도급양식"/>
      <sheetName val="???? ??? ??"/>
      <sheetName val="bkg"/>
      <sheetName val="cbrd460"/>
      <sheetName val="bcl"/>
      <sheetName val="STAFFSCHED "/>
      <sheetName val="MAIN"/>
      <sheetName val="Competitors"/>
      <sheetName val="RESOURCES"/>
      <sheetName val="BASIC RATES"/>
      <sheetName val="MOS"/>
      <sheetName val="Room Type"/>
      <sheetName val="Basement2 DB"/>
      <sheetName val="Ragama"/>
      <sheetName val="JOB COSTING SHEET HVAC"/>
      <sheetName val="Rate analysis 1"/>
      <sheetName val="total"/>
      <sheetName val="Lstsub"/>
      <sheetName val="QUOTE_E"/>
      <sheetName val="item #13  Structur"/>
      <sheetName val="Item # 20 Structure"/>
      <sheetName val="MASTER_RATE ANALYSIS"/>
      <sheetName val="Gravel in pond"/>
      <sheetName val="NOTES"/>
      <sheetName val="data"/>
      <sheetName val="3.Labour"/>
      <sheetName val="1.Material"/>
      <sheetName val="MMI"/>
      <sheetName val="2.Machinery"/>
      <sheetName val="Rate Sheet"/>
      <sheetName val="B-3.2 EB"/>
      <sheetName val="B-2"/>
      <sheetName val="SECTION 10-TSE"/>
      <sheetName val="Factor Sheet"/>
      <sheetName val="1-G1"/>
      <sheetName val="LABOUR SALARY "/>
      <sheetName val="Eq. Mobilization"/>
      <sheetName val="报价费率计算表"/>
      <sheetName val="(Not to print)"/>
      <sheetName val="Base_BM-rebar2"/>
      <sheetName val="Raw_Data2"/>
      <sheetName val="Fit_Out_B2a1"/>
      <sheetName val="FOL_-_Bar1"/>
      <sheetName val="Co_Eff1"/>
      <sheetName val="Day_work1"/>
      <sheetName val="Payments_and_Cash_Calls1"/>
      <sheetName val="item_#13__Structur"/>
      <sheetName val="Item_#_20_Structure"/>
      <sheetName val="MASTER_RATE_ANALYSIS"/>
      <sheetName val="Gravel_in_pond"/>
      <sheetName val="Eq__Mobilization"/>
      <sheetName val="Chiet_tinh_dz22"/>
      <sheetName val="BT3-Package 05"/>
      <sheetName val="BOQ-Civil"/>
      <sheetName val="입찰내역_발주처_양식"/>
      <sheetName val="AOP_Summary-2"/>
      <sheetName val="SPT_vs_PHI"/>
      <sheetName val="1.11.b"/>
      <sheetName val="Basic Material Costs"/>
      <sheetName val="Control"/>
      <sheetName val="Direct"/>
      <sheetName val="SEX"/>
      <sheetName val="upa"/>
      <sheetName val="opstat"/>
      <sheetName val="costs"/>
      <sheetName val="ERECIN"/>
      <sheetName val="Architect"/>
      <sheetName val="공문"/>
      <sheetName val="Takeoff"/>
      <sheetName val="BYBU96"/>
      <sheetName val="imput costi par."/>
      <sheetName val="Part-A"/>
      <sheetName val="VIABILITY"/>
      <sheetName val="PE"/>
      <sheetName val="15.13"/>
      <sheetName val="DATI_CONS"/>
      <sheetName val="FA_SUMMARY"/>
      <sheetName val="11"/>
      <sheetName val="Equip"/>
      <sheetName val="BILL 1"/>
      <sheetName val="Sheet7"/>
      <sheetName val="Bill07"/>
      <sheetName val="SCHEDULE"/>
      <sheetName val="Kur"/>
      <sheetName val="Keşif-I"/>
      <sheetName val="HAKEDİŞ "/>
      <sheetName val="BUTCE+MANHOUR"/>
      <sheetName val="keşif özeti"/>
      <sheetName val="Katsayılar"/>
      <sheetName val="Est"/>
      <sheetName val="Rate Analysis"/>
      <sheetName val="Food"/>
      <sheetName val="Build-up"/>
      <sheetName val=" GULF"/>
      <sheetName val="h-013211-2"/>
      <sheetName val="mw"/>
      <sheetName val="당초"/>
      <sheetName val="Spread"/>
      <sheetName val="CSC"/>
      <sheetName val="1.0 Section 1 Cover"/>
      <sheetName val="COLUMN"/>
      <sheetName val="Demand"/>
      <sheetName val="Occ"/>
      <sheetName val="Base_BM-rebar3"/>
      <sheetName val="Raw_Data3"/>
      <sheetName val="Co_Eff2"/>
      <sheetName val="Fit_Out_B2a2"/>
      <sheetName val="FOL_-_Bar2"/>
      <sheetName val="Day_work2"/>
      <sheetName val="Payments_and_Cash_Calls2"/>
      <sheetName val="Chiet_tinh_dz221"/>
      <sheetName val="입찰내역_발주처_양식1"/>
      <sheetName val="AOP_Summary-21"/>
      <sheetName val="SPT_vs_PHI1"/>
      <sheetName val="1_11_b"/>
      <sheetName val="Basic_Material_Costs"/>
      <sheetName val="item_#13__Structur1"/>
      <sheetName val="Item_#_20_Structure1"/>
      <sheetName val="MASTER_RATE_ANALYSIS1"/>
      <sheetName val="Gravel_in_pond1"/>
      <sheetName val="Eq__Mobilization1"/>
      <sheetName val="(Not_to_print)"/>
      <sheetName val="15_13"/>
      <sheetName val="Bill No. 3"/>
      <sheetName val="New Rates"/>
      <sheetName val="vendor"/>
      <sheetName val="analysis"/>
      <sheetName val="Labour"/>
      <sheetName val="Area Analysis"/>
      <sheetName val="Sensitivity"/>
      <sheetName val="DETAILED  BOQ"/>
      <sheetName val="col-reinft1"/>
      <sheetName val="LOB"/>
      <sheetName val="sal"/>
      <sheetName val="Summ"/>
      <sheetName val="Formulas"/>
      <sheetName val="Base_BM-rebar4"/>
      <sheetName val="Raw_Data4"/>
      <sheetName val="Co_Eff3"/>
      <sheetName val="Fit_Out_B2a3"/>
      <sheetName val="FOL_-_Bar3"/>
      <sheetName val="Day_work3"/>
      <sheetName val="Payments_and_Cash_Calls3"/>
      <sheetName val="Chiet_tinh_dz222"/>
      <sheetName val="입찰내역_발주처_양식2"/>
      <sheetName val="AOP_Summary-22"/>
      <sheetName val="SPT_vs_PHI2"/>
      <sheetName val="1_11_b1"/>
      <sheetName val="Basic_Material_Costs1"/>
      <sheetName val="item_#13__Structur2"/>
      <sheetName val="Item_#_20_Structure2"/>
      <sheetName val="MASTER_RATE_ANALYSIS2"/>
      <sheetName val="Gravel_in_pond2"/>
      <sheetName val="Eq__Mobilization2"/>
      <sheetName val="(Not_to_print)1"/>
      <sheetName val="15_131"/>
      <sheetName val="????_???_??"/>
      <sheetName val="Rate_Analysis"/>
      <sheetName val="_GULF"/>
      <sheetName val="Bill_No__3"/>
      <sheetName val="New_Rates"/>
      <sheetName val="1_0_Section_1_Cover"/>
      <sheetName val="Summary_"/>
      <sheetName val="BOQ-FD_PA"/>
      <sheetName val="Price_List_FD_PA"/>
      <sheetName val="Bldg"/>
      <sheetName val="Cashflow Analysis"/>
      <sheetName val="mapping"/>
      <sheetName val="MS08-01 S"/>
      <sheetName val="MS08-01 P"/>
      <sheetName val="PROGRAM"/>
      <sheetName val="CASHFLOW"/>
      <sheetName val="E H Blinding"/>
      <sheetName val="E H Excavation"/>
      <sheetName val="Pc name"/>
      <sheetName val="DCF_5"/>
      <sheetName val="US Ship Repair Industry Growth"/>
      <sheetName val="Market Overview"/>
      <sheetName val="US Shipyard Repair Output"/>
      <sheetName val="Charts"/>
      <sheetName val="LBO"/>
      <sheetName val="Summary Financials"/>
      <sheetName val="C P A Blinding"/>
      <sheetName val="GRSummary"/>
      <sheetName val="SRC-B3U2"/>
      <sheetName val="Headings"/>
      <sheetName val="Basement Budget"/>
      <sheetName val="CASHFLOWS"/>
      <sheetName val="Schedule(4)"/>
      <sheetName val="钢筋"/>
      <sheetName val="Name"/>
      <sheetName val="upa of boq"/>
      <sheetName val="inWords"/>
      <sheetName val="equipment"/>
      <sheetName val="Summary Foreign Comp"/>
      <sheetName val="grand summary"/>
      <sheetName val="wordsdata"/>
      <sheetName val="dýsýplýn"/>
      <sheetName val="15 문제점"/>
      <sheetName val="Doha Farm"/>
      <sheetName val="Ra  stair"/>
      <sheetName val="p&amp;m"/>
      <sheetName val="Preliminaries-REVISED"/>
      <sheetName val="Master Data Sheet"/>
      <sheetName val="Contents"/>
      <sheetName val="SUM"/>
      <sheetName val="Sheet8"/>
      <sheetName val="Project"/>
      <sheetName val="PRICE INFO"/>
      <sheetName val="RC SUMMARY"/>
      <sheetName val="LABOUR PRODUCTIVITY-TAV"/>
      <sheetName val="MATERIAL PRICES"/>
      <sheetName val="CONCRETE ANALYSIS"/>
      <sheetName val="PriceSummary"/>
      <sheetName val="fORMAT"/>
      <sheetName val="Certificate "/>
      <sheetName val="Valn Cover"/>
      <sheetName val="Contract Part"/>
      <sheetName val="Database"/>
      <sheetName val="Material-1"/>
      <sheetName val=" N Finansal Eğri"/>
      <sheetName val="HKED.KEŞFİ İmalat"/>
      <sheetName val="YEŞİL DEFTER-İmalat"/>
      <sheetName val="3004"/>
      <sheetName val="SERVICES I"/>
      <sheetName val="rayıc"/>
      <sheetName val="Rapor"/>
      <sheetName val="34. BLOK EK ISLER-NO1 HAKEDIS"/>
      <sheetName val="TABLO-3"/>
      <sheetName val="Degiskenler"/>
      <sheetName val="analizler"/>
      <sheetName val="BQMPALOC"/>
      <sheetName val="CLAY"/>
      <sheetName val="Form 6"/>
      <sheetName val="Design"/>
      <sheetName val="APP. B"/>
      <sheetName val="App. A(contd)"/>
      <sheetName val="intr stool brkup"/>
      <sheetName val="内訳書"/>
      <sheetName val="BN 01"/>
      <sheetName val="#3E1_GCR"/>
      <sheetName val="Bill.10"/>
      <sheetName val="Sec 1 BOQ"/>
      <sheetName val="Sec 2 BOQ-MRO"/>
      <sheetName val="Sec 3 BOQ-FBO"/>
      <sheetName val="Sec 4 BOQ-CUP"/>
      <sheetName val="Adsorption - MRO"/>
      <sheetName val="Adsorption - CUP"/>
      <sheetName val="Sec 5 BOQ-ASG"/>
      <sheetName val="Sec 6 BOQ-SUBSTN"/>
      <sheetName val="Sec 8 BOQ-dayworks"/>
      <sheetName val="1. Summary Sheet (R01_Oct.2019)"/>
      <sheetName val="RTW4"/>
      <sheetName val="Filter Block"/>
      <sheetName val="일위대가"/>
      <sheetName val="BILL-1"/>
      <sheetName val="BILL-3"/>
      <sheetName val="Category Lookup Table"/>
      <sheetName val="Netstatement"/>
      <sheetName val="macros"/>
      <sheetName val="4"/>
      <sheetName val="E H - H. W.P."/>
      <sheetName val="E. H. Treatment for pile cap"/>
      <sheetName val="Base_BM-rebar5"/>
      <sheetName val="Raw_Data5"/>
      <sheetName val="Co_Eff4"/>
      <sheetName val="Fit_Out_B2a4"/>
      <sheetName val="FOL_-_Bar4"/>
      <sheetName val="Day_work4"/>
      <sheetName val="Payments_and_Cash_Calls4"/>
      <sheetName val="Chiet_tinh_dz223"/>
      <sheetName val="입찰내역_발주처_양식3"/>
      <sheetName val="AOP_Summary-23"/>
      <sheetName val="SPT_vs_PHI3"/>
      <sheetName val="1_11_b2"/>
      <sheetName val="Basic_Material_Costs2"/>
      <sheetName val="item_#13__Structur3"/>
      <sheetName val="Item_#_20_Structure3"/>
      <sheetName val="MASTER_RATE_ANALYSIS3"/>
      <sheetName val="Gravel_in_pond3"/>
      <sheetName val="Eq__Mobilization3"/>
      <sheetName val="(Not_to_print)2"/>
      <sheetName val="15_132"/>
      <sheetName val="????_???_??1"/>
      <sheetName val="Rate_Analysis1"/>
      <sheetName val="_GULF1"/>
      <sheetName val="Bill_No__31"/>
      <sheetName val="New_Rates1"/>
      <sheetName val="1_0_Section_1_Cover1"/>
      <sheetName val="Summary_1"/>
      <sheetName val="BOQ-FD_PA1"/>
      <sheetName val="Price_List_FD_PA1"/>
      <sheetName val="Area_Analysis"/>
      <sheetName val="DETAILED__BOQ"/>
      <sheetName val="BT3-Package_05"/>
      <sheetName val="E_H_-_H__W_P_"/>
      <sheetName val="E__H__Treatment_for_pile_cap"/>
      <sheetName val="imput_costi_par_"/>
      <sheetName val="Cost_Sheet"/>
      <sheetName val="fire_detection_offer"/>
      <sheetName val="fire_detection_cost"/>
      <sheetName val="Price_List"/>
      <sheetName val="Cashflow_Analysis"/>
      <sheetName val="MS08-01_S"/>
      <sheetName val="MS08-01_P"/>
      <sheetName val="E_H_Blinding"/>
      <sheetName val="E_H_Excavation"/>
      <sheetName val="Pc_name"/>
      <sheetName val="US_Ship_Repair_Industry_Growth"/>
      <sheetName val="Market_Overview"/>
      <sheetName val="US_Shipyard_Repair_Output"/>
      <sheetName val="Summary_Financials"/>
      <sheetName val="HAKEDİŞ_"/>
      <sheetName val="keşif_özeti"/>
      <sheetName val="basis"/>
      <sheetName val="DHEQSUPT"/>
      <sheetName val="COMPLEXALL"/>
      <sheetName val="Funding Drwdn"/>
      <sheetName val="IPC"/>
      <sheetName val="FINA"/>
      <sheetName val="BILL-6"/>
      <sheetName val="jul_data"/>
      <sheetName val="Enclo.compar.EMP-RND"/>
      <sheetName val="ID Office-R1 - 23.8.2012"/>
      <sheetName val="Schnieder Price List-July 2012"/>
      <sheetName val="Factor F Data"/>
      <sheetName val="Factor"/>
      <sheetName val="Rates"/>
      <sheetName val="DRUM"/>
      <sheetName val="BASIC Rate FOR 2A"/>
      <sheetName val="WB"/>
      <sheetName val="Backlog Consol"/>
      <sheetName val="INPUT SHEET"/>
      <sheetName val="RES-PLANN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Set>
  </externalBook>
</externalLink>
</file>

<file path=xl/externalLinks/externalLink38.xml><?xml version="1.0" encoding="utf-8"?>
<externalLink xmlns="http://schemas.openxmlformats.org/spreadsheetml/2006/main">
  <externalBook xmlns:r="http://schemas.openxmlformats.org/officeDocument/2006/relationships" r:id="rId1">
    <sheetNames>
      <sheetName val="BOQ Summary"/>
      <sheetName val="BOQ Offer - Cost"/>
      <sheetName val="Point Qty &amp; Load"/>
      <sheetName val="Load Sch, Cable Sel &amp; Qty"/>
      <sheetName val="Price Sheet"/>
      <sheetName val="Price Sheet (New)"/>
      <sheetName val="Factor Sheet"/>
      <sheetName val="Cost Factor Sheet"/>
      <sheetName val="CCTV"/>
      <sheetName val="FIRE"/>
      <sheetName val="Other ELV"/>
      <sheetName val="LV Fed - ELV Wire, B Born Qty."/>
      <sheetName val="Guest Rm DB Cable"/>
      <sheetName val="Other DB's"/>
      <sheetName val="ELV Cables"/>
      <sheetName val="CT &amp; CL"/>
      <sheetName val="Sheet1"/>
      <sheetName val="Sheet2"/>
      <sheetName val="Sheet3"/>
      <sheetName val="Sheet4"/>
      <sheetName val="Kaatsu H.A.M.T.T.C.-7 jan 10"/>
      <sheetName val="Competitors"/>
      <sheetName val="금융비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9.xml><?xml version="1.0" encoding="utf-8"?>
<externalLink xmlns="http://schemas.openxmlformats.org/spreadsheetml/2006/main">
  <externalBook xmlns:r="http://schemas.openxmlformats.org/officeDocument/2006/relationships" r:id="rId1">
    <sheetNames>
      <sheetName val="Chart"/>
      <sheetName val="Raw Data"/>
      <sheetName val="Airport Cost Comparisons Rev05"/>
      <sheetName val="Estimate"/>
      <sheetName val="#REF"/>
      <sheetName val="Risk"/>
      <sheetName val="Bech_Lab"/>
      <sheetName val="Direct_Lbr"/>
      <sheetName val="Sheet1"/>
      <sheetName val="WAGERATE BY CRAFT"/>
      <sheetName val="Rates"/>
      <sheetName val="Detail"/>
      <sheetName val="A"/>
      <sheetName val="B"/>
      <sheetName val="Salary Ranges"/>
      <sheetName val="As sold PFS"/>
      <sheetName val="Input"/>
      <sheetName val="Period -Worksheet"/>
      <sheetName val="@RISK Correlations"/>
      <sheetName val="Labour"/>
      <sheetName val="Project Info"/>
      <sheetName val="Link In"/>
      <sheetName val="CRF-BE Rates"/>
      <sheetName val="Project Work Off Contribution"/>
      <sheetName val="H.O. RATES"/>
      <sheetName val="FIELD RATES"/>
      <sheetName val="COVER"/>
      <sheetName val="TOTAL SCHEDULE"/>
      <sheetName val="Man-Plan Forecast"/>
      <sheetName val="ESSER Price List"/>
      <sheetName val="mvac_Offer"/>
      <sheetName val="mvac_BOQ"/>
      <sheetName val="P"/>
      <sheetName val="Summary"/>
      <sheetName val="Factors"/>
      <sheetName val="วัดใต้"/>
      <sheetName val="概総括1"/>
      <sheetName val="Calc Inputs"/>
      <sheetName val="기계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40.xml><?xml version="1.0" encoding="utf-8"?>
<externalLink xmlns="http://schemas.openxmlformats.org/spreadsheetml/2006/main">
  <externalBook xmlns:r="http://schemas.openxmlformats.org/officeDocument/2006/relationships" r:id="rId1">
    <sheetNames>
      <sheetName val="summary"/>
      <sheetName val="BQ01"/>
      <sheetName val="BQ02"/>
      <sheetName val="BQ03"/>
      <sheetName val="N3"/>
      <sheetName val="N4"/>
      <sheetName val="N5"/>
      <sheetName val="BQR"/>
      <sheetName val="BQS"/>
      <sheetName val="BQWP"/>
      <sheetName val="slipsumpR"/>
      <sheetName val="slipsumpS"/>
      <sheetName val="Extract"/>
      <sheetName val="Procedure"/>
      <sheetName val="7-3가설공사 내역"/>
      <sheetName val="query"/>
      <sheetName val="#REF"/>
      <sheetName val="Master01"/>
      <sheetName val="KKC Brkdwn"/>
      <sheetName val="Demand"/>
      <sheetName val="Occ"/>
      <sheetName val="Status Budget"/>
      <sheetName val="BUR4-Rd"/>
      <sheetName val="BUR3-DrnRC"/>
      <sheetName val="Summ"/>
      <sheetName val="FR"/>
      <sheetName val="Change Order Log"/>
      <sheetName val="Wall"/>
      <sheetName val="PROJECT BRIEF(EX.NEW)"/>
      <sheetName val="Sup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41.xml><?xml version="1.0" encoding="utf-8"?>
<externalLink xmlns="http://schemas.openxmlformats.org/spreadsheetml/2006/main">
  <externalBook xmlns:r="http://schemas.openxmlformats.org/officeDocument/2006/relationships" r:id="rId1">
    <sheetNames>
      <sheetName val="Chart"/>
      <sheetName val="Raw Data"/>
      <sheetName val="Airport Cost Comparisons Rev05"/>
      <sheetName val="Estimate"/>
      <sheetName val="#REF"/>
      <sheetName val="Risk"/>
      <sheetName val="Bech_Lab"/>
      <sheetName val="Direct_Lbr"/>
      <sheetName val="Sheet1"/>
      <sheetName val="WAGERATE BY CRAFT"/>
      <sheetName val="Rates"/>
      <sheetName val="Detail"/>
      <sheetName val="A"/>
      <sheetName val="B"/>
      <sheetName val="Salary Ranges"/>
      <sheetName val="As sold PFS"/>
      <sheetName val="Input"/>
      <sheetName val="Period -Worksheet"/>
      <sheetName val="@RISK Correlations"/>
      <sheetName val="Labour"/>
      <sheetName val="Project Info"/>
      <sheetName val="Link In"/>
      <sheetName val="CRF-BE Rates"/>
      <sheetName val="Project Work Off Contribution"/>
      <sheetName val="H.O. RATES"/>
      <sheetName val="FIELD RATES"/>
      <sheetName val="COVER"/>
      <sheetName val="TOTAL SCHEDULE"/>
      <sheetName val="Man-Plan Forecast"/>
      <sheetName val="mvac_Offer"/>
      <sheetName val="mvac_BOQ"/>
      <sheetName val="P"/>
      <sheetName val="Summary"/>
      <sheetName val="Factors"/>
      <sheetName val="Panels (DWG)"/>
      <sheetName val="Cash2"/>
      <sheetName val="Z"/>
      <sheetName val="B-3.2 EB"/>
      <sheetName val="BN 01"/>
      <sheetName val="BQMPALOC"/>
      <sheetName val="ESSER Price List"/>
      <sheetName val="วัดใต้"/>
      <sheetName val="BOQ"/>
      <sheetName val="Price"/>
      <sheetName val="3C"/>
      <sheetName val="Rate analysis 1"/>
      <sheetName val="RESOURCES"/>
      <sheetName val="BASIC RATES"/>
      <sheetName val="BOM"/>
      <sheetName val="ACS(1)"/>
      <sheetName val="FAS-C(4)"/>
      <sheetName val="CCTV(old)"/>
      <sheetName val="Schedules"/>
      <sheetName val="Ragama"/>
      <sheetName val="기계내역서"/>
      <sheetName val="Admin"/>
      <sheetName val="Prior_CM"/>
      <sheetName val="d-safe DELUXE"/>
      <sheetName val="WB"/>
      <sheetName val="FitOutConfCentre"/>
      <sheetName val="Material Prices"/>
      <sheetName val="MAIN"/>
      <sheetName val="B-3"/>
      <sheetName val="B-2"/>
      <sheetName val="cover page"/>
      <sheetName val="Land Dev't. Ph-1"/>
      <sheetName val="4-Lane bridge"/>
      <sheetName val="Hac.Lots"/>
      <sheetName val="Res.Lots"/>
      <sheetName val="Spine Road"/>
      <sheetName val="GIAVLIEU"/>
      <sheetName val="Competitors"/>
      <sheetName val="Price Sheet"/>
      <sheetName val="Cost Factor Sheet"/>
      <sheetName val="Factor Sheet"/>
      <sheetName val="Factor"/>
      <sheetName val="PLT-SUM"/>
      <sheetName val="基本ﾃﾞｰﾀ"/>
      <sheetName val="Bill 04 - water supply tb "/>
      <sheetName val="Enclo.compar.EMP-RND"/>
      <sheetName val="Prices"/>
      <sheetName val="概総括1"/>
      <sheetName val="计算书"/>
      <sheetName val="S3 Architectural"/>
      <sheetName val="CASHFLOW"/>
      <sheetName val="LS Price List"/>
      <sheetName val="MOS"/>
      <sheetName val="HyperionEnt"/>
      <sheetName val="INDEX"/>
      <sheetName val="aug_data"/>
      <sheetName val="CASH"/>
      <sheetName val="Homagama Grounds-9.7.20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Set>
  </externalBook>
</externalLink>
</file>

<file path=xl/externalLinks/externalLink42.xml><?xml version="1.0" encoding="utf-8"?>
<externalLink xmlns="http://schemas.openxmlformats.org/spreadsheetml/2006/main">
  <externalBook xmlns:r="http://schemas.openxmlformats.org/officeDocument/2006/relationships" r:id="rId1">
    <sheetNames>
      <sheetName val="1-G1"/>
      <sheetName val="2-G2"/>
      <sheetName val="3-G6"/>
      <sheetName val="4-G9"/>
      <sheetName val="5-G4"/>
      <sheetName val="6-G11"/>
      <sheetName val="7-G12"/>
      <sheetName val="8-G29A"/>
      <sheetName val="9-G29B"/>
      <sheetName val="10-G29C"/>
      <sheetName val="11-G29D"/>
      <sheetName val="12-G29F"/>
      <sheetName val="13-G5 "/>
      <sheetName val="14-29E"/>
      <sheetName val="15-G31"/>
      <sheetName val="16-G36"/>
      <sheetName val="17-G33"/>
      <sheetName val="18-G34"/>
      <sheetName val="19-G32 - RS wall"/>
      <sheetName val="20-bridges"/>
      <sheetName val="21-underpass"/>
      <sheetName val="Sheet1"/>
      <sheetName val="D1"/>
      <sheetName val="D8 underpass WP-D592"/>
      <sheetName val="D10 "/>
      <sheetName val="D14"/>
      <sheetName val="WP-NW01"/>
      <sheetName val="WP-SN01-01 &amp; 02"/>
      <sheetName val="WP-WE02"/>
      <sheetName val="D16"/>
      <sheetName val="D17"/>
      <sheetName val="D18"/>
      <sheetName val="E1"/>
      <sheetName val="WP-EW01"/>
      <sheetName val="WP-NS-01"/>
      <sheetName val="WP-NS-02"/>
      <sheetName val="HUD YOLU DUVAR 8 MT"/>
      <sheetName val="13-G5_"/>
      <sheetName val="19-G32_-_RS_wall"/>
      <sheetName val="D8_underpass_WP-D592"/>
      <sheetName val="D10_"/>
      <sheetName val="WP-SN01-01_&amp;_02"/>
      <sheetName val="HUD_YOLU_DUVAR_8_MT"/>
      <sheetName val="BOQ"/>
      <sheetName val="วัดใต้"/>
      <sheetName val="Competitors"/>
      <sheetName val="Price"/>
      <sheetName val="GAE8'97"/>
      <sheetName val="금융비용"/>
      <sheetName val="NEW PRODUCT SALES FOR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43.xml><?xml version="1.0" encoding="utf-8"?>
<externalLink xmlns="http://schemas.openxmlformats.org/spreadsheetml/2006/main">
  <externalBook xmlns:r="http://schemas.openxmlformats.org/officeDocument/2006/relationships" r:id="rId1">
    <sheetNames>
      <sheetName val="No.09"/>
      <sheetName val="BALUSTRADES"/>
      <sheetName val="STAIR"/>
      <sheetName val="No.10"/>
      <sheetName val="Concrete DEV"/>
      <sheetName val="Ra  stair"/>
      <sheetName val="An STAIR"/>
      <sheetName val="Concrete"/>
      <sheetName val="shuttering"/>
      <sheetName val="Finishes"/>
      <sheetName val="Concrete (2)"/>
      <sheetName val="shuttering (2)"/>
      <sheetName val="FINI2"/>
      <sheetName val=" GULF"/>
      <sheetName val="기계내역서"/>
      <sheetName val="Raw Data"/>
      <sheetName val="Trade Summary"/>
      <sheetName val="Valuation"/>
      <sheetName val="BaseWeight"/>
      <sheetName val="#REF"/>
      <sheetName val="Chart1"/>
      <sheetName val="1-Building type - A1(Rev-4)"/>
      <sheetName val="2-Building type - A2(Rev-4)"/>
      <sheetName val="4-Building type - A4(Rev-4)"/>
      <sheetName val="7-Building type - A7(Rev-4)"/>
      <sheetName val="8-Building type - A8(Rev-4)"/>
      <sheetName val="9-Building type - A9(Rev-4)"/>
      <sheetName val="10-Building type - A10(Rev-4)"/>
      <sheetName val="12-Building type - A12(Rev-4)"/>
      <sheetName val="14-Building type - A14(Rev-4)"/>
      <sheetName val="Sheet4"/>
      <sheetName val="C1ㅇ"/>
      <sheetName val="BS8666-2005"/>
      <sheetName val="DATA"/>
      <sheetName val="Addition-ProtectionSummary"/>
      <sheetName val="No_09"/>
      <sheetName val="No_10"/>
      <sheetName val="Concrete_DEV"/>
      <sheetName val="Ra__stair"/>
      <sheetName val="An_STAIR"/>
      <sheetName val="Concrete_(2)"/>
      <sheetName val="shuttering_(2)"/>
      <sheetName val="_GULF"/>
      <sheetName val="Raw_Data"/>
      <sheetName val="Trade_Summary"/>
      <sheetName val="1-Building_type_-_A1(Rev-4)"/>
      <sheetName val="2-Building_type_-_A2(Rev-4)"/>
      <sheetName val="4-Building_type_-_A4(Rev-4)"/>
      <sheetName val="7-Building_type_-_A7(Rev-4)"/>
      <sheetName val="8-Building_type_-_A8(Rev-4)"/>
      <sheetName val="9-Building_type_-_A9(Rev-4)"/>
      <sheetName val="10-Building_type_-_A10(Rev-4)"/>
      <sheetName val="12-Building_type_-_A12(Rev-4)"/>
      <sheetName val="14-Building_type_-_A14(Rev-4)"/>
      <sheetName val="No_091"/>
      <sheetName val="No_101"/>
      <sheetName val="Concrete_DEV1"/>
      <sheetName val="Ra__stair1"/>
      <sheetName val="An_STAIR1"/>
      <sheetName val="Concrete_(2)1"/>
      <sheetName val="shuttering_(2)1"/>
      <sheetName val="_GULF1"/>
      <sheetName val="Raw_Data1"/>
      <sheetName val="Trade_Summary1"/>
      <sheetName val="1-Building_type_-_A1(Rev-4)1"/>
      <sheetName val="2-Building_type_-_A2(Rev-4)1"/>
      <sheetName val="4-Building_type_-_A4(Rev-4)1"/>
      <sheetName val="7-Building_type_-_A7(Rev-4)1"/>
      <sheetName val="8-Building_type_-_A8(Rev-4)1"/>
      <sheetName val="9-Building_type_-_A9(Rev-4)1"/>
      <sheetName val="10-Building_type_-_A10(Rev-4)1"/>
      <sheetName val="12-Building_type_-_A12(Rev-4)1"/>
      <sheetName val="14-Building_type_-_A14(Rev-4)1"/>
      <sheetName val="No_092"/>
      <sheetName val="No_102"/>
      <sheetName val="Concrete_DEV2"/>
      <sheetName val="Ra__stair2"/>
      <sheetName val="An_STAIR2"/>
      <sheetName val="Concrete_(2)2"/>
      <sheetName val="shuttering_(2)2"/>
      <sheetName val="_GULF2"/>
      <sheetName val="Raw_Data2"/>
      <sheetName val="Trade_Summary2"/>
      <sheetName val="1-Building_type_-_A1(Rev-4)2"/>
      <sheetName val="2-Building_type_-_A2(Rev-4)2"/>
      <sheetName val="4-Building_type_-_A4(Rev-4)2"/>
      <sheetName val="7-Building_type_-_A7(Rev-4)2"/>
      <sheetName val="8-Building_type_-_A8(Rev-4)2"/>
      <sheetName val="9-Building_type_-_A9(Rev-4)2"/>
      <sheetName val="10-Building_type_-_A10(Rev-4)2"/>
      <sheetName val="12-Building_type_-_A12(Rev-4)2"/>
      <sheetName val="14-Building_type_-_A14(Rev-4)2"/>
      <sheetName val="内訳書"/>
      <sheetName val="概総括1"/>
      <sheetName val="A"/>
      <sheetName val="S3 Architectural"/>
      <sheetName val="Equipment"/>
      <sheetName val="MAIN"/>
      <sheetName val="BOQ PL"/>
      <sheetName val="Factors"/>
      <sheetName val="Summary"/>
      <sheetName val="NOV fx 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44.xml><?xml version="1.0" encoding="utf-8"?>
<externalLink xmlns="http://schemas.openxmlformats.org/spreadsheetml/2006/main">
  <externalBook xmlns:r="http://schemas.openxmlformats.org/officeDocument/2006/relationships" r:id="rId1">
    <sheetNames>
      <sheetName val="DATA"/>
      <sheetName val="PRILIMINERIES"/>
      <sheetName val="SUMMARY"/>
      <sheetName val="Test pile"/>
      <sheetName val="Pile"/>
      <sheetName val="B O Q"/>
      <sheetName val="RESOURCES"/>
      <sheetName val="BASIC RATES"/>
      <sheetName val="RATE BUILTUP"/>
      <sheetName val="RATE SUMMARY"/>
      <sheetName val="RESOURCE SUMMARY"/>
      <sheetName val="HELP"/>
      <sheetName val="STARTUP"/>
      <sheetName val="Test_pile"/>
      <sheetName val="B_O_Q"/>
      <sheetName val="BASIC_RATES"/>
      <sheetName val="RATE_BUILTUP"/>
      <sheetName val="RATE_SUMMARY"/>
      <sheetName val="RESOURCE_SUMMARY"/>
      <sheetName val="Price"/>
      <sheetName val="3C"/>
      <sheetName val="Americas"/>
      <sheetName val="Cash2"/>
      <sheetName val="Z"/>
      <sheetName val="factors"/>
      <sheetName val=" Factor  "/>
      <sheetName val="Histry Price"/>
      <sheetName val="sep_data"/>
      <sheetName val="Enclo.compar.EMP-RND"/>
      <sheetName val="Factor F Data"/>
      <sheetName val="A"/>
      <sheetName val="BOQ"/>
      <sheetName val="Civil Works"/>
      <sheetName val="B-2"/>
      <sheetName val="Sheet1"/>
      <sheetName val="Ragama"/>
      <sheetName val="d-safe DELUXE"/>
      <sheetName val="FS"/>
      <sheetName val="Price List"/>
      <sheetName val="ELE Summary"/>
      <sheetName val="Rates"/>
      <sheetName val="Input"/>
      <sheetName val="Room Type"/>
      <sheetName val="Basement2 DB"/>
      <sheetName val="MAIN"/>
      <sheetName val="SSuppli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45.xml><?xml version="1.0" encoding="utf-8"?>
<externalLink xmlns="http://schemas.openxmlformats.org/spreadsheetml/2006/main">
  <externalBook xmlns:r="http://schemas.openxmlformats.org/officeDocument/2006/relationships" r:id="rId1">
    <sheetNames>
      <sheetName val="AC HALL &amp; SERVICE ANNEXE"/>
      <sheetName val="NON AC HALL-type-A"/>
      <sheetName val="NON AC HALL-type-B"/>
      <sheetName val="Admin. block"/>
      <sheetName val="Food Court"/>
      <sheetName val="Sheet1"/>
      <sheetName val="boq workings"/>
      <sheetName val="COLUMN"/>
      <sheetName val="#REF"/>
      <sheetName val="beam-reinft"/>
      <sheetName val="concrete"/>
      <sheetName val="_REF"/>
      <sheetName val="dBase"/>
      <sheetName val="slipsumpR"/>
      <sheetName val="SPT vs PHI"/>
      <sheetName val="BLK2"/>
      <sheetName val="BLK3"/>
      <sheetName val="E &amp; R"/>
      <sheetName val="radar"/>
      <sheetName val="UG"/>
      <sheetName val="India F&amp;S Template"/>
      <sheetName val="Design"/>
      <sheetName val="Debits as on 12.04.08"/>
      <sheetName val="girder"/>
      <sheetName val="Rocker"/>
      <sheetName val="98Price"/>
      <sheetName val="CASHFLOWS"/>
      <sheetName val="SUMMARY"/>
      <sheetName val="Highway"/>
      <sheetName val="GWC"/>
      <sheetName val="NWC"/>
      <sheetName val="P&amp;L-BDMC"/>
      <sheetName val="AC_HALL_&amp;_SERVICE_ANNEXE"/>
      <sheetName val="NON_AC_HALL-type-A"/>
      <sheetName val="NON_AC_HALL-type-B"/>
      <sheetName val="Admin__block"/>
      <sheetName val="Food_Court"/>
      <sheetName val="boq_workings"/>
      <sheetName val="SPT_vs_PHI"/>
      <sheetName val="E_&amp;_R"/>
      <sheetName val="India_F&amp;S_Template"/>
      <sheetName val="Debits_as_on_12_04_08"/>
      <sheetName val="Materials Cost(PCC)"/>
      <sheetName val="R20_R30_work"/>
      <sheetName val="AC_HALL_&amp;_SERVICE_ANNEXE2"/>
      <sheetName val="NON_AC_HALL-type-A2"/>
      <sheetName val="NON_AC_HALL-type-B2"/>
      <sheetName val="Admin__block2"/>
      <sheetName val="Food_Court2"/>
      <sheetName val="boq_workings2"/>
      <sheetName val="SPT_vs_PHI2"/>
      <sheetName val="E_&amp;_R2"/>
      <sheetName val="India_F&amp;S_Template2"/>
      <sheetName val="Debits_as_on_12_04_082"/>
      <sheetName val="AC_HALL_&amp;_SERVICE_ANNEXE1"/>
      <sheetName val="NON_AC_HALL-type-A1"/>
      <sheetName val="NON_AC_HALL-type-B1"/>
      <sheetName val="Admin__block1"/>
      <sheetName val="Food_Court1"/>
      <sheetName val="boq_workings1"/>
      <sheetName val="SPT_vs_PHI1"/>
      <sheetName val="E_&amp;_R1"/>
      <sheetName val="India_F&amp;S_Template1"/>
      <sheetName val="Debits_as_on_12_04_081"/>
      <sheetName val="AC_HALL_&amp;_SERVICE_ANNEXE3"/>
      <sheetName val="NON_AC_HALL-type-A3"/>
      <sheetName val="NON_AC_HALL-type-B3"/>
      <sheetName val="Admin__block3"/>
      <sheetName val="Food_Court3"/>
      <sheetName val="boq_workings3"/>
      <sheetName val="SPT_vs_PHI3"/>
      <sheetName val="E_&amp;_R3"/>
      <sheetName val="India_F&amp;S_Template3"/>
      <sheetName val="Debits_as_on_12_04_083"/>
      <sheetName val="AC_HALL_&amp;_SERVICE_ANNEXE4"/>
      <sheetName val="NON_AC_HALL-type-A4"/>
      <sheetName val="NON_AC_HALL-type-B4"/>
      <sheetName val="Admin__block4"/>
      <sheetName val="Food_Court4"/>
      <sheetName val="boq_workings4"/>
      <sheetName val="SPT_vs_PHI4"/>
      <sheetName val="E_&amp;_R4"/>
      <sheetName val="India_F&amp;S_Template4"/>
      <sheetName val="Debits_as_on_12_04_084"/>
      <sheetName val="AC_HALL_&amp;_SERVICE_ANNEXE5"/>
      <sheetName val="NON_AC_HALL-type-A5"/>
      <sheetName val="NON_AC_HALL-type-B5"/>
      <sheetName val="Admin__block5"/>
      <sheetName val="Food_Court5"/>
      <sheetName val="boq_workings5"/>
      <sheetName val="SPT_vs_PHI5"/>
      <sheetName val="E_&amp;_R5"/>
      <sheetName val="India_F&amp;S_Template5"/>
      <sheetName val="Debits_as_on_12_04_085"/>
      <sheetName val="AC_HALL_&amp;_SERVICE_ANNEXE6"/>
      <sheetName val="NON_AC_HALL-type-A6"/>
      <sheetName val="NON_AC_HALL-type-B6"/>
      <sheetName val="Admin__block6"/>
      <sheetName val="Food_Court6"/>
      <sheetName val="boq_workings6"/>
      <sheetName val="SPT_vs_PHI6"/>
      <sheetName val="E_&amp;_R6"/>
      <sheetName val="India_F&amp;S_Template6"/>
      <sheetName val="Debits_as_on_12_04_086"/>
      <sheetName val="AC_HALL_&amp;_SERVICE_ANNEXE7"/>
      <sheetName val="NON_AC_HALL-type-A7"/>
      <sheetName val="NON_AC_HALL-type-B7"/>
      <sheetName val="Admin__block7"/>
      <sheetName val="Food_Court7"/>
      <sheetName val="boq_workings7"/>
      <sheetName val="SPT_vs_PHI7"/>
      <sheetName val="E_&amp;_R7"/>
      <sheetName val="India_F&amp;S_Template7"/>
      <sheetName val="Debits_as_on_12_04_087"/>
      <sheetName val="AC_HALL_&amp;_SERVICE_ANNEXE8"/>
      <sheetName val="NON_AC_HALL-type-A8"/>
      <sheetName val="NON_AC_HALL-type-B8"/>
      <sheetName val="Admin__block8"/>
      <sheetName val="Food_Court8"/>
      <sheetName val="boq_workings8"/>
      <sheetName val="SPT_vs_PHI8"/>
      <sheetName val="E_&amp;_R8"/>
      <sheetName val="India_F&amp;S_Template8"/>
      <sheetName val="Debits_as_on_12_04_088"/>
      <sheetName val="AC_HALL_&amp;_SERVICE_ANNEXE14"/>
      <sheetName val="NON_AC_HALL-type-A14"/>
      <sheetName val="NON_AC_HALL-type-B14"/>
      <sheetName val="Admin__block14"/>
      <sheetName val="Food_Court14"/>
      <sheetName val="boq_workings14"/>
      <sheetName val="SPT_vs_PHI14"/>
      <sheetName val="E_&amp;_R14"/>
      <sheetName val="India_F&amp;S_Template14"/>
      <sheetName val="Debits_as_on_12_04_0814"/>
      <sheetName val="AC_HALL_&amp;_SERVICE_ANNEXE10"/>
      <sheetName val="NON_AC_HALL-type-A10"/>
      <sheetName val="NON_AC_HALL-type-B10"/>
      <sheetName val="Admin__block10"/>
      <sheetName val="Food_Court10"/>
      <sheetName val="boq_workings10"/>
      <sheetName val="SPT_vs_PHI10"/>
      <sheetName val="E_&amp;_R10"/>
      <sheetName val="India_F&amp;S_Template10"/>
      <sheetName val="Debits_as_on_12_04_0810"/>
      <sheetName val="AC_HALL_&amp;_SERVICE_ANNEXE9"/>
      <sheetName val="NON_AC_HALL-type-A9"/>
      <sheetName val="NON_AC_HALL-type-B9"/>
      <sheetName val="Admin__block9"/>
      <sheetName val="Food_Court9"/>
      <sheetName val="boq_workings9"/>
      <sheetName val="SPT_vs_PHI9"/>
      <sheetName val="E_&amp;_R9"/>
      <sheetName val="India_F&amp;S_Template9"/>
      <sheetName val="Debits_as_on_12_04_089"/>
      <sheetName val="AC_HALL_&amp;_SERVICE_ANNEXE11"/>
      <sheetName val="NON_AC_HALL-type-A11"/>
      <sheetName val="NON_AC_HALL-type-B11"/>
      <sheetName val="Admin__block11"/>
      <sheetName val="Food_Court11"/>
      <sheetName val="boq_workings11"/>
      <sheetName val="SPT_vs_PHI11"/>
      <sheetName val="E_&amp;_R11"/>
      <sheetName val="India_F&amp;S_Template11"/>
      <sheetName val="Debits_as_on_12_04_0811"/>
      <sheetName val="AC_HALL_&amp;_SERVICE_ANNEXE12"/>
      <sheetName val="NON_AC_HALL-type-A12"/>
      <sheetName val="NON_AC_HALL-type-B12"/>
      <sheetName val="Admin__block12"/>
      <sheetName val="Food_Court12"/>
      <sheetName val="boq_workings12"/>
      <sheetName val="SPT_vs_PHI12"/>
      <sheetName val="E_&amp;_R12"/>
      <sheetName val="India_F&amp;S_Template12"/>
      <sheetName val="Debits_as_on_12_04_0812"/>
      <sheetName val="AC_HALL_&amp;_SERVICE_ANNEXE13"/>
      <sheetName val="NON_AC_HALL-type-A13"/>
      <sheetName val="NON_AC_HALL-type-B13"/>
      <sheetName val="Admin__block13"/>
      <sheetName val="Food_Court13"/>
      <sheetName val="boq_workings13"/>
      <sheetName val="SPT_vs_PHI13"/>
      <sheetName val="E_&amp;_R13"/>
      <sheetName val="India_F&amp;S_Template13"/>
      <sheetName val="Debits_as_on_12_04_0813"/>
      <sheetName val="AC_HALL_&amp;_SERVICE_ANNEXE20"/>
      <sheetName val="NON_AC_HALL-type-A20"/>
      <sheetName val="NON_AC_HALL-type-B20"/>
      <sheetName val="Admin__block20"/>
      <sheetName val="Food_Court20"/>
      <sheetName val="boq_workings20"/>
      <sheetName val="SPT_vs_PHI20"/>
      <sheetName val="E_&amp;_R20"/>
      <sheetName val="India_F&amp;S_Template20"/>
      <sheetName val="Debits_as_on_12_04_0820"/>
      <sheetName val="AC_HALL_&amp;_SERVICE_ANNEXE15"/>
      <sheetName val="NON_AC_HALL-type-A15"/>
      <sheetName val="NON_AC_HALL-type-B15"/>
      <sheetName val="Admin__block15"/>
      <sheetName val="Food_Court15"/>
      <sheetName val="boq_workings15"/>
      <sheetName val="SPT_vs_PHI15"/>
      <sheetName val="E_&amp;_R15"/>
      <sheetName val="India_F&amp;S_Template15"/>
      <sheetName val="Debits_as_on_12_04_0815"/>
      <sheetName val="AC_HALL_&amp;_SERVICE_ANNEXE16"/>
      <sheetName val="NON_AC_HALL-type-A16"/>
      <sheetName val="NON_AC_HALL-type-B16"/>
      <sheetName val="Admin__block16"/>
      <sheetName val="Food_Court16"/>
      <sheetName val="boq_workings16"/>
      <sheetName val="SPT_vs_PHI16"/>
      <sheetName val="E_&amp;_R16"/>
      <sheetName val="India_F&amp;S_Template16"/>
      <sheetName val="Debits_as_on_12_04_0816"/>
      <sheetName val="AC_HALL_&amp;_SERVICE_ANNEXE17"/>
      <sheetName val="NON_AC_HALL-type-A17"/>
      <sheetName val="NON_AC_HALL-type-B17"/>
      <sheetName val="Admin__block17"/>
      <sheetName val="Food_Court17"/>
      <sheetName val="boq_workings17"/>
      <sheetName val="SPT_vs_PHI17"/>
      <sheetName val="E_&amp;_R17"/>
      <sheetName val="India_F&amp;S_Template17"/>
      <sheetName val="Debits_as_on_12_04_0817"/>
      <sheetName val="AC_HALL_&amp;_SERVICE_ANNEXE18"/>
      <sheetName val="NON_AC_HALL-type-A18"/>
      <sheetName val="NON_AC_HALL-type-B18"/>
      <sheetName val="Admin__block18"/>
      <sheetName val="Food_Court18"/>
      <sheetName val="boq_workings18"/>
      <sheetName val="SPT_vs_PHI18"/>
      <sheetName val="E_&amp;_R18"/>
      <sheetName val="India_F&amp;S_Template18"/>
      <sheetName val="Debits_as_on_12_04_0818"/>
      <sheetName val="AC_HALL_&amp;_SERVICE_ANNEXE19"/>
      <sheetName val="NON_AC_HALL-type-A19"/>
      <sheetName val="NON_AC_HALL-type-B19"/>
      <sheetName val="Admin__block19"/>
      <sheetName val="Food_Court19"/>
      <sheetName val="boq_workings19"/>
      <sheetName val="SPT_vs_PHI19"/>
      <sheetName val="E_&amp;_R19"/>
      <sheetName val="India_F&amp;S_Template19"/>
      <sheetName val="Debits_as_on_12_04_0819"/>
      <sheetName val="AC_HALL_&amp;_SERVICE_ANNEXE21"/>
      <sheetName val="NON_AC_HALL-type-A21"/>
      <sheetName val="NON_AC_HALL-type-B21"/>
      <sheetName val="Admin__block21"/>
      <sheetName val="Food_Court21"/>
      <sheetName val="boq_workings21"/>
      <sheetName val="SPT_vs_PHI21"/>
      <sheetName val="E_&amp;_R21"/>
      <sheetName val="India_F&amp;S_Template21"/>
      <sheetName val="Debits_as_on_12_04_0821"/>
      <sheetName val="AC_HALL_&amp;_SERVICE_ANNEXE22"/>
      <sheetName val="NON_AC_HALL-type-A22"/>
      <sheetName val="NON_AC_HALL-type-B22"/>
      <sheetName val="Admin__block22"/>
      <sheetName val="Food_Court22"/>
      <sheetName val="boq_workings22"/>
      <sheetName val="SPT_vs_PHI22"/>
      <sheetName val="E_&amp;_R22"/>
      <sheetName val="India_F&amp;S_Template22"/>
      <sheetName val="Debits_as_on_12_04_0822"/>
      <sheetName val="AC_HALL_&amp;_SERVICE_ANNEXE23"/>
      <sheetName val="NON_AC_HALL-type-A23"/>
      <sheetName val="NON_AC_HALL-type-B23"/>
      <sheetName val="Admin__block23"/>
      <sheetName val="Food_Court23"/>
      <sheetName val="boq_workings23"/>
      <sheetName val="SPT_vs_PHI23"/>
      <sheetName val="E_&amp;_R23"/>
      <sheetName val="India_F&amp;S_Template23"/>
      <sheetName val="Debits_as_on_12_04_0823"/>
      <sheetName val="AC_HALL_&amp;_SERVICE_ANNEXE24"/>
      <sheetName val="NON_AC_HALL-type-A24"/>
      <sheetName val="NON_AC_HALL-type-B24"/>
      <sheetName val="Admin__block24"/>
      <sheetName val="Food_Court24"/>
      <sheetName val="boq_workings24"/>
      <sheetName val="SPT_vs_PHI24"/>
      <sheetName val="E_&amp;_R24"/>
      <sheetName val="India_F&amp;S_Template24"/>
      <sheetName val="Debits_as_on_12_04_0824"/>
      <sheetName val="precast RC element"/>
      <sheetName val="Materials Cost"/>
      <sheetName val="col-reinft1"/>
      <sheetName val="2gii"/>
      <sheetName val="Rate Analysis"/>
      <sheetName val="site fab&amp;ernstr"/>
      <sheetName val="DATA"/>
      <sheetName val="Direct cost shed A-2 "/>
      <sheetName val="Definitions"/>
      <sheetName val="Sheet2"/>
      <sheetName val="RA-markate"/>
      <sheetName val="HQ-TO"/>
      <sheetName val="SOR"/>
      <sheetName val="p&amp;m"/>
      <sheetName val="IO List"/>
      <sheetName val="KKC Brkdwn"/>
      <sheetName val="5X"/>
      <sheetName val="Fee Rate Summary"/>
      <sheetName val="Material "/>
      <sheetName val="Labour &amp; Plant"/>
      <sheetName val="office"/>
      <sheetName val="Lab"/>
      <sheetName val="upa"/>
      <sheetName val="Equip Item Dets"/>
      <sheetName val="Pipe Item Dets"/>
      <sheetName val="Civil Item Dets"/>
      <sheetName val="Inst Item Dets"/>
      <sheetName val="Elec Item Dets"/>
      <sheetName val="Paint Item Dets"/>
      <sheetName val="A"/>
      <sheetName val="TDC COA Sumry"/>
      <sheetName val="COA Sumry by Area"/>
      <sheetName val="COA Sumry by Contr"/>
      <sheetName val="COA Sumry by RG"/>
      <sheetName val="TDC COA Grp Sumry"/>
      <sheetName val="TDC Item Dets-Full"/>
      <sheetName val="TDC Item Dets-IPM-Full"/>
      <sheetName val="TDC Item Dets"/>
      <sheetName val="TDC Item Sumry"/>
      <sheetName val="TDC Key Qty Sumry"/>
      <sheetName val="List - Components"/>
      <sheetName val="List - Equipment"/>
      <sheetName val="Project Metrics"/>
      <sheetName val="COA Sumry - Std Imp"/>
      <sheetName val="Contr TDC - Std Imp"/>
      <sheetName val="Item Sumry - Std Imp"/>
      <sheetName val="Proj TIC - Std Imp"/>
      <sheetName val="Unit Costs - Std Imp"/>
      <sheetName val="Unit MH - Std Imp"/>
      <sheetName val="FlatBottomClarifier (Not used)"/>
      <sheetName val="CABLERET"/>
      <sheetName val="BOQ"/>
      <sheetName val="conc-foot-gradeslab"/>
      <sheetName val="Spread"/>
      <sheetName val="Site Expenses"/>
      <sheetName val="Settings"/>
      <sheetName val="Cash2"/>
      <sheetName val="Z"/>
      <sheetName val="CASHFLO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Set>
  </externalBook>
</externalLink>
</file>

<file path=xl/externalLinks/externalLink46.xml><?xml version="1.0" encoding="utf-8"?>
<externalLink xmlns="http://schemas.openxmlformats.org/spreadsheetml/2006/main">
  <externalBook xmlns:r="http://schemas.openxmlformats.org/officeDocument/2006/relationships" r:id="rId1">
    <sheetNames>
      <sheetName val="CSA"/>
      <sheetName val="MainSummary"/>
      <sheetName val="Bill 1"/>
      <sheetName val="Bill 2"/>
      <sheetName val="Bill 3"/>
      <sheetName val="Bill A4"/>
      <sheetName val="Bill A5"/>
      <sheetName val="Bill A6"/>
      <sheetName val="Bill A7"/>
      <sheetName val="Bill A8"/>
      <sheetName val="Bill A9.1"/>
      <sheetName val="Bill A9.2"/>
      <sheetName val="Bill B4"/>
      <sheetName val="Bill B5"/>
      <sheetName val="Bill B6"/>
      <sheetName val="Bill B7"/>
      <sheetName val="Bill B8"/>
      <sheetName val="Bill B9.1"/>
      <sheetName val="Bill B9.2"/>
      <sheetName val="Bill C4"/>
      <sheetName val="Bill C5"/>
      <sheetName val="Bill C6"/>
      <sheetName val="Bill C7"/>
      <sheetName val="Bill C8"/>
      <sheetName val="Bill 10"/>
      <sheetName val="Bill 11"/>
      <sheetName val="BUR1-Data"/>
      <sheetName val="BUR2-Ewk"/>
      <sheetName val="BUR3-DrnRC"/>
      <sheetName val="BUR4-Rd"/>
      <sheetName val="BUR5-Pile"/>
      <sheetName val="BUR6-Misc"/>
      <sheetName val="Notes"/>
      <sheetName val="BURform"/>
      <sheetName val="Sample"/>
      <sheetName val="Summary"/>
      <sheetName val="ID Office-R1 - 23.8.2012"/>
      <sheetName val="Schnieder Price List-July 20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47.xml><?xml version="1.0" encoding="utf-8"?>
<externalLink xmlns="http://schemas.openxmlformats.org/spreadsheetml/2006/main">
  <externalBook xmlns:r="http://schemas.openxmlformats.org/officeDocument/2006/relationships" r:id="rId1">
    <sheetNames>
      <sheetName val="Bid Sum (3)"/>
      <sheetName val="Sumprice adjust store 2012"/>
      <sheetName val="#REF"/>
      <sheetName val="Sheet1"/>
      <sheetName val="Sumprice%20adjust%20store%20201"/>
      <sheetName val="Sumprice adjust store 2012.xls"/>
      <sheetName val="BUR4-Rd"/>
      <sheetName val="BUR3-DrnRC"/>
      <sheetName val=" Factor  "/>
      <sheetName val="Histry Price"/>
    </sheetNames>
    <definedNames>
      <definedName name="STOP"/>
      <definedName name="STOP2"/>
      <definedName name="STOP2E"/>
      <definedName name="STOP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8.xml><?xml version="1.0" encoding="utf-8"?>
<externalLink xmlns="http://schemas.openxmlformats.org/spreadsheetml/2006/main">
  <externalBook xmlns:r="http://schemas.openxmlformats.org/officeDocument/2006/relationships" r:id="rId1">
    <sheetNames>
      <sheetName val="Comments"/>
      <sheetName val="Summary"/>
      <sheetName val="Summary (TEPS)"/>
      <sheetName val="Q Summary"/>
      <sheetName val="M Summary (TEPS)"/>
      <sheetName val="Q Summary (TEPS)"/>
      <sheetName val="P&amp;L"/>
      <sheetName val="Backlog (TEPS)"/>
      <sheetName val="by Business"/>
      <sheetName val="by Business (TEPS)"/>
      <sheetName val="FCF Summary"/>
      <sheetName val="FCF Summary (TEPS)"/>
      <sheetName val="Balance Sheet"/>
      <sheetName val="Balance Sheet (TEPS)"/>
      <sheetName val="Risks &amp; Opps (TEPS)"/>
      <sheetName val="Bridges (TEPS)"/>
      <sheetName val="Backlog_Analysis (TEPS)"/>
      <sheetName val="Primary WC"/>
      <sheetName val="RONA"/>
      <sheetName val="Headcount"/>
      <sheetName val="Cash2"/>
      <sheetName val="Z"/>
      <sheetName val="Ragama"/>
      <sheetName val="Price"/>
      <sheetName val="3C"/>
      <sheetName val="inter"/>
      <sheetName val="기계내역서"/>
      <sheetName val="INPUT"/>
      <sheetName val="概総括1"/>
      <sheetName val="Lookup"/>
      <sheetName val="Cash Flow Worksheet"/>
      <sheetName val="BOM"/>
      <sheetName val="Assumptions"/>
      <sheetName val="RSM and Distributors"/>
      <sheetName val="B-2"/>
      <sheetName val="apr_data"/>
      <sheetName val="Factors"/>
      <sheetName val="Schedules"/>
      <sheetName val="Prices"/>
      <sheetName val="data"/>
      <sheetName val="Sheet2"/>
      <sheetName val="Sheet5"/>
      <sheetName val="Import Siemens"/>
      <sheetName val="ELE Summary"/>
      <sheetName val="total components with Rates"/>
      <sheetName val="AEX_IMPORTS_on 320"/>
      <sheetName val="B-3"/>
      <sheetName val="A"/>
      <sheetName val="Raw Data"/>
      <sheetName val="Exchange Rates(rounded)"/>
      <sheetName val="Material 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49.xml><?xml version="1.0" encoding="utf-8"?>
<externalLink xmlns="http://schemas.openxmlformats.org/spreadsheetml/2006/main">
  <externalBook xmlns:r="http://schemas.openxmlformats.org/officeDocument/2006/relationships" r:id="rId1">
    <sheetNames>
      <sheetName val="SPR "/>
      <sheetName val="BOM"/>
      <sheetName val="IMDB"/>
      <sheetName val="Pricelist"/>
      <sheetName val="RSM and Distributors"/>
      <sheetName val="Market Segmentation"/>
      <sheetName val="INPUT"/>
      <sheetName val="Cash Flow Worksheet"/>
      <sheetName val="Assumptions"/>
      <sheetName val="apr_data"/>
      <sheetName val="SSuppliers"/>
      <sheetName val="Sheet1"/>
      <sheetName val="APPT"/>
      <sheetName val="APPT_SGL"/>
      <sheetName val="Phone_Sale"/>
      <sheetName val="Bill 3 - Site Works"/>
      <sheetName val="aug_data"/>
      <sheetName val="Factors"/>
      <sheetName val="Kaatsu H.A.M.T.T.C.-7 jan 10"/>
      <sheetName val="Price"/>
      <sheetName val="3C"/>
      <sheetName val="Super"/>
      <sheetName val=" Factor  "/>
      <sheetName val="Histry Price"/>
      <sheetName val="Rate analysis 1"/>
      <sheetName val="Schedules"/>
      <sheetName val="A"/>
      <sheetName val="Summary"/>
      <sheetName val="Cash2"/>
      <sheetName val="Z"/>
      <sheetName val="SCHEDULE"/>
      <sheetName val="Ele Price"/>
      <sheetName val="BOQ PL"/>
      <sheetName val="Factor F Data"/>
      <sheetName val="RESOURCES"/>
      <sheetName val="BASIC RATES"/>
      <sheetName val="Interimbill-01"/>
      <sheetName val="BOQ Com"/>
      <sheetName val="ID Office-R1 - 23.8.2012"/>
      <sheetName val="Schnieder Price List-July 2012"/>
      <sheetName val="NOV fx rates"/>
      <sheetName val="Bill 5 - Carpark"/>
      <sheetName val="Admin"/>
      <sheetName val="Prior_C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50.xml><?xml version="1.0" encoding="utf-8"?>
<externalLink xmlns="http://schemas.openxmlformats.org/spreadsheetml/2006/main">
  <externalBook xmlns:r="http://schemas.openxmlformats.org/officeDocument/2006/relationships" r:id="rId1">
    <sheetNames>
      <sheetName val="EW BOQ"/>
      <sheetName val="WW1 BOQ"/>
      <sheetName val="BOQ Offer - Cost"/>
      <sheetName val="Point Qty &amp; Load"/>
      <sheetName val="Load Sch, Cable Sel &amp; Qty"/>
      <sheetName val="QTO"/>
      <sheetName val="Price Sheet"/>
      <sheetName val="Price Sheet (New)"/>
      <sheetName val="Factor Sheet"/>
      <sheetName val="Cost Factor Sheet"/>
      <sheetName val="CCTV"/>
      <sheetName val="FIRE"/>
      <sheetName val="Other ELV"/>
      <sheetName val="LV Fed - ELV Wire, B Born Qty."/>
      <sheetName val="Guest Rm DB Cable"/>
      <sheetName val="Other DB's"/>
      <sheetName val="ELV Cables"/>
      <sheetName val="CT &amp; CL"/>
      <sheetName val="Sheet1"/>
      <sheetName val="Sheet2"/>
      <sheetName val="Sheet3"/>
      <sheetName val="Sheet6"/>
      <sheetName val="BN 01"/>
      <sheetName val="FORM5"/>
      <sheetName val="Ragama"/>
      <sheetName val="基本ﾃﾞｰﾀ"/>
      <sheetName val="Admin"/>
      <sheetName val="Prior_CM"/>
      <sheetName val="Rate Sheet"/>
      <sheetName val="OLD PRICES"/>
      <sheetName val="Homagama Grounds-9.7.2013"/>
      <sheetName val="BOI - Katunayaka-9.8.2013"/>
      <sheetName val="Factors"/>
      <sheetName val="Backlog Consol"/>
      <sheetName val="INPUT"/>
      <sheetName val="Lookup"/>
      <sheetName val="50000"/>
      <sheetName val="B-2"/>
      <sheetName val=" Factor  "/>
      <sheetName val="Histry Pri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51.xml><?xml version="1.0" encoding="utf-8"?>
<externalLink xmlns="http://schemas.openxmlformats.org/spreadsheetml/2006/main">
  <externalBook xmlns:r="http://schemas.openxmlformats.org/officeDocument/2006/relationships" r:id="rId1">
    <sheetNames>
      <sheetName val="LFTNG"/>
      <sheetName val="Summary"/>
      <sheetName val="ELE_BOQ"/>
      <sheetName val="FD_BOQ"/>
      <sheetName val="FD_EQ"/>
      <sheetName val="Maintain "/>
      <sheetName val="EV_FC"/>
      <sheetName val="LPS"/>
      <sheetName val="EV_DB"/>
      <sheetName val="FC"/>
      <sheetName val="EV_Cable"/>
      <sheetName val="PW"/>
      <sheetName val="L_SW"/>
      <sheetName val="CMS"/>
      <sheetName val="ISO"/>
      <sheetName val="Other"/>
      <sheetName val="Sheet6"/>
      <sheetName val="PRE_MEP"/>
      <sheetName val="Staff_MEP"/>
      <sheetName val="Fac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2.xml><?xml version="1.0" encoding="utf-8"?>
<externalLink xmlns="http://schemas.openxmlformats.org/spreadsheetml/2006/main">
  <externalBook xmlns:r="http://schemas.openxmlformats.org/officeDocument/2006/relationships" r:id="rId1">
    <sheetNames>
      <sheetName val="Control"/>
      <sheetName val="Le BoQ"/>
      <sheetName val="Pivot"/>
      <sheetName val="CT9_Quo"/>
      <sheetName val="SCIB_Proforma"/>
      <sheetName val="SCIB_Data"/>
      <sheetName val=" Factor  "/>
      <sheetName val="Histry Pri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3.xml><?xml version="1.0" encoding="utf-8"?>
<externalLink xmlns="http://schemas.openxmlformats.org/spreadsheetml/2006/main">
  <externalBook xmlns:r="http://schemas.openxmlformats.org/officeDocument/2006/relationships" r:id="rId1">
    <sheetNames>
      <sheetName val="1-G1"/>
      <sheetName val="2-G2"/>
      <sheetName val="3-G6"/>
      <sheetName val="4-G9"/>
      <sheetName val="5-G4"/>
      <sheetName val="6-G11"/>
      <sheetName val="7-G12"/>
      <sheetName val="8-G29A"/>
      <sheetName val="9-G29B"/>
      <sheetName val="10-G29C"/>
      <sheetName val="11-G29D"/>
      <sheetName val="12-G29F"/>
      <sheetName val="13-G5 "/>
      <sheetName val="14-29E"/>
      <sheetName val="15-G31"/>
      <sheetName val="16-G36"/>
      <sheetName val="17-G33"/>
      <sheetName val="18-G34"/>
      <sheetName val="19-G32 - RS wall"/>
      <sheetName val="20-bridges"/>
      <sheetName val="21-underpass"/>
      <sheetName val="Sheet1"/>
      <sheetName val="D1"/>
      <sheetName val="D8 underpass WP-D592"/>
      <sheetName val="D10 "/>
      <sheetName val="D14"/>
      <sheetName val="WP-NW01"/>
      <sheetName val="WP-SN01-01 &amp; 02"/>
      <sheetName val="WP-WE02"/>
      <sheetName val="D16"/>
      <sheetName val="D17"/>
      <sheetName val="D18"/>
      <sheetName val="E1"/>
      <sheetName val="WP-EW01"/>
      <sheetName val="WP-NS-01"/>
      <sheetName val="WP-NS-02"/>
      <sheetName val="HUD YOLU DUVAR 8 MT"/>
      <sheetName val="13-G5_"/>
      <sheetName val="19-G32_-_RS_wall"/>
      <sheetName val="D8_underpass_WP-D592"/>
      <sheetName val="D10_"/>
      <sheetName val="WP-SN01-01_&amp;_02"/>
      <sheetName val="HUD_YOLU_DUVAR_8_MT"/>
      <sheetName val="Price Sheet"/>
      <sheetName val="Factor Sheet"/>
      <sheetName val="Factors"/>
      <sheetName val="BOQ PL"/>
      <sheetName val="Ele Price"/>
      <sheetName val="GIAVLIEU"/>
      <sheetName val="Analysis"/>
      <sheetName val="Detai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54.xml><?xml version="1.0" encoding="utf-8"?>
<externalLink xmlns="http://schemas.openxmlformats.org/spreadsheetml/2006/main">
  <externalBook xmlns:r="http://schemas.openxmlformats.org/officeDocument/2006/relationships" r:id="rId1">
    <sheetNames>
      <sheetName val="Index"/>
      <sheetName val="Balance sheet"/>
      <sheetName val="Balance Sheet FX"/>
      <sheetName val="Cash Flow Worksheet"/>
      <sheetName val="Cash Flow by Quarter"/>
      <sheetName val="Summary by quarter"/>
      <sheetName val="FCF Analysis"/>
      <sheetName val="Debt Rollforward"/>
      <sheetName val="DO NOT USE"/>
      <sheetName val="0000"/>
      <sheetName val="Net Debt Roll"/>
      <sheetName val=" Factor  "/>
      <sheetName val="Histry Price"/>
      <sheetName val="Input"/>
      <sheetName val="BN 01"/>
      <sheetName val="ID Office-R1 - 23.8.2012"/>
      <sheetName val="Schnieder Price List-July 2012"/>
      <sheetName val="APPT"/>
      <sheetName val="APPT_SGL"/>
      <sheetName val="Phone_Sale"/>
      <sheetName val="total"/>
      <sheetName val="Rates"/>
      <sheetName val="QTY Pipe Laying"/>
      <sheetName val="NATION"/>
      <sheetName val="RBD"/>
      <sheetName val="NonPerp"/>
      <sheetName val="Perp"/>
      <sheetName val="apr_data"/>
      <sheetName val="Sheet2"/>
      <sheetName val="INPUT - Recommended Schedules"/>
      <sheetName val="RESOURCES"/>
      <sheetName val="BASIC RATES"/>
      <sheetName val="ELE Summary"/>
      <sheetName val="Factors"/>
      <sheetName val="RSM and Distributors"/>
      <sheetName val="D_Cntnts"/>
      <sheetName val="E_Summary"/>
      <sheetName val="Seachells-Pools-25.2.2014"/>
      <sheetName val="Det Import"/>
      <sheetName val="data"/>
      <sheetName val="Sheet1"/>
      <sheetName val="Price"/>
      <sheetName val="3C"/>
      <sheetName val="Cash2"/>
      <sheetName val="Z"/>
      <sheetName val="ICAM_Prices_Raw"/>
      <sheetName val="Admin"/>
      <sheetName val="S3 Architectu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55.xml><?xml version="1.0" encoding="utf-8"?>
<externalLink xmlns="http://schemas.openxmlformats.org/spreadsheetml/2006/main">
  <externalBook xmlns:r="http://schemas.openxmlformats.org/officeDocument/2006/relationships" r:id="rId1">
    <sheetNames>
      <sheetName val="Sheet1"/>
      <sheetName val="Sheet2"/>
      <sheetName val="Rep_FY'05_Qtr1"/>
      <sheetName val="rePS"/>
      <sheetName val="Unit_Sold"/>
      <sheetName val="pROD"/>
      <sheetName val="ADSC_UNITS"/>
      <sheetName val="sgl"/>
      <sheetName val="ssp"/>
      <sheetName val="ssp (2)"/>
      <sheetName val="qsp"/>
      <sheetName val="Companion_NMC"/>
      <sheetName val="Companion_SGL"/>
      <sheetName val="Companion Retrieve"/>
      <sheetName val="GPS"/>
      <sheetName val="Safewatch"/>
      <sheetName val="APPT"/>
      <sheetName val="APPT_SGL"/>
      <sheetName val="Conversion"/>
      <sheetName val="Phone_Sale"/>
      <sheetName val="sl"/>
      <sheetName val="UnitslessPhone"/>
      <sheetName val="Comma"/>
      <sheetName val="BN 01"/>
      <sheetName val="Fcst Tool"/>
      <sheetName val="Cash Flow Worksheet"/>
      <sheetName val="INPUT"/>
      <sheetName val="apr_data"/>
      <sheetName val="Total Operations"/>
      <sheetName val="White Group"/>
      <sheetName val="MACHINERY"/>
      <sheetName val="MATERIAL"/>
      <sheetName val="SUBCON OR OTHER"/>
      <sheetName val="aug_data"/>
      <sheetName val="Histry Price"/>
      <sheetName val="Oracle Account Master"/>
      <sheetName val="NATION"/>
      <sheetName val="Admin"/>
      <sheetName val="JOB COSTING SHEET HVAC"/>
      <sheetName val="Cash2"/>
      <sheetName val="Z"/>
      <sheetName val="ELE Summary"/>
      <sheetName val="1A"/>
      <sheetName val=" Factor  "/>
      <sheetName val="Building's PA"/>
      <sheetName val="Factors"/>
      <sheetName val="Seachells-Pools-25.2.2014"/>
      <sheetName val="ID Office-R1 - 23.8.2012"/>
      <sheetName val="Schnieder Price List-July 2012"/>
      <sheetName val="jul_data"/>
      <sheetName val="Keels-6.2.2014"/>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6.xml><?xml version="1.0" encoding="utf-8"?>
<externalLink xmlns="http://schemas.openxmlformats.org/spreadsheetml/2006/main">
  <externalBook xmlns:r="http://schemas.openxmlformats.org/officeDocument/2006/relationships" r:id="rId1">
    <sheetNames>
      <sheetName val="No.09"/>
      <sheetName val="BALUSTRADES"/>
      <sheetName val="STAIR"/>
      <sheetName val="No.10"/>
      <sheetName val="Concrete DEV"/>
      <sheetName val="Ra  stair"/>
      <sheetName val="An STAIR"/>
      <sheetName val="Concrete"/>
      <sheetName val="shuttering"/>
      <sheetName val="Finishes"/>
      <sheetName val="Concrete (2)"/>
      <sheetName val="shuttering (2)"/>
      <sheetName val="FINI2"/>
      <sheetName val="기계내역서"/>
      <sheetName val=" GULF"/>
      <sheetName val="BaseWeight"/>
      <sheetName val="#REF"/>
      <sheetName val="Raw Data"/>
      <sheetName val="Valuation"/>
      <sheetName val="#1-1b"/>
      <sheetName val="Admin"/>
      <sheetName val="Assumptions"/>
      <sheetName val="@risk rents and incentives"/>
      <sheetName val="Car park lease"/>
      <sheetName val="Opening Cash Position"/>
      <sheetName val="Net rent analysis"/>
      <sheetName val="AC"/>
      <sheetName val="Addition-ProtectionSummary"/>
      <sheetName val="No_09"/>
      <sheetName val="No_10"/>
      <sheetName val="Concrete_DEV"/>
      <sheetName val="Ra__stair"/>
      <sheetName val="An_STAIR"/>
      <sheetName val="Concrete_(2)"/>
      <sheetName val="shuttering_(2)"/>
      <sheetName val="_GULF"/>
      <sheetName val="Raw_Data"/>
      <sheetName val="No_091"/>
      <sheetName val="No_101"/>
      <sheetName val="Concrete_DEV1"/>
      <sheetName val="Ra__stair1"/>
      <sheetName val="An_STAIR1"/>
      <sheetName val="Concrete_(2)1"/>
      <sheetName val="shuttering_(2)1"/>
      <sheetName val="_GULF1"/>
      <sheetName val="Raw_Data1"/>
      <sheetName val="No_092"/>
      <sheetName val="No_102"/>
      <sheetName val="Concrete_DEV2"/>
      <sheetName val="Ra__stair2"/>
      <sheetName val="An_STAIR2"/>
      <sheetName val="Concrete_(2)2"/>
      <sheetName val="shuttering_(2)2"/>
      <sheetName val="_GULF2"/>
      <sheetName val="Raw_Data2"/>
      <sheetName val="C3"/>
      <sheetName val="EC(Rev)"/>
      <sheetName val="FitOutConfCentre"/>
      <sheetName val="Trade Summary"/>
      <sheetName val="Chart1"/>
      <sheetName val="1-Building type - A1(Rev-4)"/>
      <sheetName val="2-Building type - A2(Rev-4)"/>
      <sheetName val="4-Building type - A4(Rev-4)"/>
      <sheetName val="7-Building type - A7(Rev-4)"/>
      <sheetName val="8-Building type - A8(Rev-4)"/>
      <sheetName val="9-Building type - A9(Rev-4)"/>
      <sheetName val="10-Building type - A10(Rev-4)"/>
      <sheetName val="12-Building type - A12(Rev-4)"/>
      <sheetName val="14-Building type - A14(Rev-4)"/>
      <sheetName val="Sheet4"/>
      <sheetName val="BS8666-2005"/>
      <sheetName val="DATA"/>
      <sheetName val="B-3.2 EB"/>
      <sheetName val="Total Operations"/>
      <sheetName val="White Group"/>
      <sheetName val="概総括1"/>
      <sheetName val="Prices"/>
      <sheetName val="Factors"/>
      <sheetName val="ID Office-R1 - 23.8.2012"/>
      <sheetName val="Schnieder Price List-July 2012"/>
      <sheetName val="금융비용"/>
      <sheetName val="PA"/>
      <sheetName val="Workings"/>
      <sheetName val="AEX_IMPORTS"/>
      <sheetName val="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57.xml><?xml version="1.0" encoding="utf-8"?>
<externalLink xmlns="http://schemas.openxmlformats.org/spreadsheetml/2006/main">
  <externalBook xmlns:r="http://schemas.openxmlformats.org/officeDocument/2006/relationships" r:id="rId1">
    <sheetNames>
      <sheetName val="C _Daywk"/>
      <sheetName val="D_Cntnts"/>
      <sheetName val="D1_Prelim"/>
      <sheetName val="D2_Dmltn"/>
      <sheetName val="D3_EW"/>
      <sheetName val="D4_Misc"/>
      <sheetName val="D5_PS"/>
      <sheetName val="E_Summary"/>
      <sheetName val="F_Breakdown"/>
      <sheetName val="B3S1_opt1"/>
      <sheetName val="B3S1_opt2"/>
      <sheetName val="B4S2_Opt1"/>
      <sheetName val="B4S2_Opt2"/>
      <sheetName val="B5-1"/>
      <sheetName val="B6_Grail"/>
      <sheetName val="Guard"/>
      <sheetName val="RoadsEW"/>
      <sheetName val="Strg_EW"/>
      <sheetName val="Bill 5 - Carpark"/>
      <sheetName val="INPUT - Recommended Schedules"/>
      <sheetName val="Zones"/>
      <sheetName val="Cost Sheet"/>
      <sheetName val="Factors"/>
      <sheetName val="ID Office-R1 - 23.8.2012"/>
      <sheetName val="Schnieder Price List-July 2012"/>
      <sheetName val="Cost Factor Sheet"/>
      <sheetName val="Load Sch, Cable Sel &amp; Qty"/>
      <sheetName val="Factor Sheet"/>
      <sheetName val="Price sheet"/>
      <sheetName val="Factors &amp; Temp Calc"/>
      <sheetName val="Americas"/>
      <sheetName val="Sheet2"/>
      <sheetName val="SCHEDULE"/>
      <sheetName val="Ragama"/>
      <sheetName val="NATION"/>
      <sheetName val="#3E1_GCR"/>
      <sheetName val="w't table"/>
      <sheetName val="aug_data"/>
      <sheetName val="APPT"/>
      <sheetName val="APPT_SGL"/>
      <sheetName val="Phone_Sale"/>
      <sheetName val=" Factor  "/>
      <sheetName val="Histry Price"/>
      <sheetName val="Enclo.compar.EMP-RND"/>
      <sheetName val="A"/>
      <sheetName val="V3100 Prices_Raw"/>
      <sheetName val="ELE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58.xml><?xml version="1.0" encoding="utf-8"?>
<externalLink xmlns="http://schemas.openxmlformats.org/spreadsheetml/2006/main">
  <externalBook xmlns:r="http://schemas.openxmlformats.org/officeDocument/2006/relationships" r:id="rId1">
    <sheetNames>
      <sheetName val="Cov"/>
      <sheetName val="Bill 01 - Preliminaries"/>
      <sheetName val="Sub Sum 1 "/>
      <sheetName val="Bill 03 - Civil Works"/>
      <sheetName val="Sub Sum 3"/>
      <sheetName val="Bill 04 - water supply tb "/>
      <sheetName val="Sub Sum 4"/>
      <sheetName val="Bill 05 - Electrical tb"/>
      <sheetName val="Sub Sum 5"/>
      <sheetName val="Bill 06 - Miscellaneous"/>
      <sheetName val="Sub Sum 6"/>
      <sheetName val="Main Summary"/>
      <sheetName val="Ragama"/>
      <sheetName val="Schedules"/>
      <sheetName val="Factors"/>
      <sheetName val="inter"/>
      <sheetName val="Rates"/>
      <sheetName val="QTY Pipe Laying"/>
      <sheetName val="MOS"/>
      <sheetName val="GAE8'97"/>
      <sheetName val="Cash2"/>
      <sheetName val="Z"/>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59.xml><?xml version="1.0" encoding="utf-8"?>
<externalLink xmlns="http://schemas.openxmlformats.org/spreadsheetml/2006/main">
  <externalBook xmlns:r="http://schemas.openxmlformats.org/officeDocument/2006/relationships" r:id="rId1">
    <sheetNames>
      <sheetName val="Cover Card"/>
      <sheetName val="Summary"/>
      <sheetName val="CERTIFICATE"/>
      <sheetName val="Bill of Quantity"/>
      <sheetName val="Bill of Quantity (2)"/>
      <sheetName val="CERTIFICATE (2)"/>
      <sheetName val="APPRLICATION - 1"/>
      <sheetName val="Application"/>
      <sheetName val="Prelims"/>
      <sheetName val="Bill of Quantity (3)"/>
      <sheetName val="(1) - Preliminaries"/>
      <sheetName val="(2) Site works"/>
      <sheetName val="(3) Building - (A)"/>
      <sheetName val="(4) Building - (B)"/>
      <sheetName val="Factor Sheet"/>
      <sheetName val="apr_data"/>
      <sheetName val="주식"/>
      <sheetName val="1-G1"/>
      <sheetName val="ANALISYS"/>
      <sheetName val="#REF"/>
      <sheetName val="Fac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0.xml><?xml version="1.0" encoding="utf-8"?>
<externalLink xmlns="http://schemas.openxmlformats.org/spreadsheetml/2006/main">
  <externalBook xmlns:r="http://schemas.openxmlformats.org/officeDocument/2006/relationships" r:id="rId1">
    <sheetNames>
      <sheetName val="Summary"/>
      <sheetName val="PILE CAP"/>
      <sheetName val="BEAM"/>
      <sheetName val="SLAB"/>
      <sheetName val="WALL"/>
      <sheetName val="COLUMN"/>
      <sheetName val="General"/>
      <sheetName val="Sheet5"/>
      <sheetName val="Sheet6"/>
      <sheetName val="Sheet7"/>
      <sheetName val="Sheet8"/>
      <sheetName val="Sheet9"/>
      <sheetName val="Sheet10"/>
      <sheetName val="Sheet11"/>
      <sheetName val="Sheet12"/>
      <sheetName val="Sheet13"/>
      <sheetName val="Sheet14"/>
      <sheetName val="Sheet15"/>
      <sheetName val="Sheet16"/>
      <sheetName val="#REF!"/>
      <sheetName val="柱"/>
      <sheetName val="sn"/>
      <sheetName val="Setting"/>
      <sheetName val="总量统计"/>
      <sheetName val="RA-markate"/>
      <sheetName val="10"/>
      <sheetName val="节点（12-2立面）"/>
      <sheetName val="附件二"/>
      <sheetName val="GS"/>
      <sheetName val="dw list"/>
      <sheetName val="A翼写字楼"/>
      <sheetName val="S-Hotel"/>
      <sheetName val="EXRATE"/>
      <sheetName val="下拉菜单"/>
      <sheetName val="第一部分定价"/>
      <sheetName val="Combo"/>
      <sheetName val="Mp-team 1"/>
      <sheetName val="KDB"/>
      <sheetName val="21"/>
      <sheetName val="基 础"/>
      <sheetName val="开办费"/>
      <sheetName val="取费系数"/>
      <sheetName val="SR6SUM"/>
      <sheetName val="92#"/>
      <sheetName val="Data"/>
      <sheetName val="基本资料"/>
      <sheetName val="3"/>
      <sheetName val="5"/>
      <sheetName val="投标材料清单 "/>
      <sheetName val="XLR_NoRangeSheet"/>
      <sheetName val="单位库"/>
      <sheetName val="清单汇总"/>
      <sheetName val="土建工程综合单价表"/>
      <sheetName val="土建工程综合单价组价明细表"/>
      <sheetName val="BQMP"/>
      <sheetName val="BQMPALOC"/>
      <sheetName val="A-summary"/>
      <sheetName val="8.2-EX Summary"/>
      <sheetName val="貨品科目"/>
      <sheetName val="单价分析过程"/>
      <sheetName val="改加胶玻璃、室外栏杆"/>
      <sheetName val="8"/>
      <sheetName val="工程材料"/>
      <sheetName val="Open"/>
      <sheetName val="建筑面积 "/>
      <sheetName val="rebrand"/>
      <sheetName val="7"/>
      <sheetName val="資料庫"/>
      <sheetName val="Main"/>
      <sheetName val="计算稿"/>
      <sheetName val="国产"/>
      <sheetName val="汇总"/>
      <sheetName val="Toolbox"/>
      <sheetName val="II-2 "/>
      <sheetName val="Z8"/>
      <sheetName val="Z2"/>
      <sheetName val="Z1"/>
      <sheetName val="Bill-2.1（1）"/>
      <sheetName val="地连墙"/>
      <sheetName val="2012-9科目余额表 (6)"/>
      <sheetName val="科目余额表 (5)"/>
      <sheetName val="工料测量师报告"/>
      <sheetName val="7.1APP3"/>
      <sheetName val="1"/>
      <sheetName val="G2TempSheet"/>
      <sheetName val="2.1设计部"/>
      <sheetName val="일반공사"/>
      <sheetName val="常用项目"/>
      <sheetName val="1#非桩基础 "/>
      <sheetName val="投标总结"/>
      <sheetName val="塔楼给排水清单 "/>
      <sheetName val="15#裙楼土建"/>
      <sheetName val="16#裙楼土建"/>
      <sheetName val="一号清单开办费"/>
      <sheetName val="15#塔楼土建"/>
      <sheetName val="裙楼土建成本分析"/>
      <sheetName val="17#非桩基础"/>
      <sheetName val="高层塔楼土建成本分析"/>
      <sheetName val="17#裙楼土建"/>
      <sheetName val="15#非桩基础"/>
      <sheetName val="16#非桩基础"/>
      <sheetName val="地库土建"/>
      <sheetName val="18#裙楼土建 "/>
      <sheetName val="11#塔楼土建"/>
      <sheetName val="18#非桩基础 "/>
      <sheetName val="10#裙楼土建"/>
      <sheetName val="Sheet1"/>
      <sheetName val="暗渠以西人防地库（暂定）"/>
      <sheetName val="应供量清单"/>
      <sheetName val="1 开办费汇总"/>
      <sheetName val="Sheet4"/>
      <sheetName val="合格证 (2)"/>
      <sheetName val="明細表"/>
      <sheetName val="银行账户"/>
      <sheetName val="月报表"/>
      <sheetName val="POWER ASSUMPTIONS"/>
      <sheetName val="材料"/>
      <sheetName val="T(B)Summary"/>
      <sheetName val="Contents"/>
      <sheetName val="工程量"/>
      <sheetName val="ANL"/>
      <sheetName val="1320CT"/>
      <sheetName val="名称"/>
      <sheetName val="2"/>
      <sheetName val="6"/>
      <sheetName val="面积合计（藏）"/>
      <sheetName val="4"/>
      <sheetName val="设置"/>
      <sheetName val="费率及线密度"/>
      <sheetName val="Estimate Details"/>
      <sheetName val="钢筋费用细目"/>
      <sheetName val="做法表"/>
      <sheetName val="内围地梁钢筋说明"/>
      <sheetName val="4、综合单价分析表"/>
      <sheetName val="材料价格"/>
      <sheetName val="工程量A"/>
      <sheetName val="清单"/>
      <sheetName val="单价报价明细表"/>
      <sheetName val="报价明细表"/>
      <sheetName val="费率表"/>
      <sheetName val="Financ. Overview"/>
      <sheetName val="eqpmad2"/>
      <sheetName val="施工开办费"/>
      <sheetName val="REIN_HSE"/>
      <sheetName val="A3地块围护结构"/>
      <sheetName val="S"/>
      <sheetName val="A"/>
      <sheetName val="ID"/>
      <sheetName val="M&amp;E"/>
      <sheetName val="FS"/>
      <sheetName val="M-Par"/>
      <sheetName val="Col"/>
      <sheetName val="Wall(int)"/>
      <sheetName val="Wall(ext) "/>
      <sheetName val="Reinf"/>
      <sheetName val="Summary of Cost"/>
      <sheetName val="材料表"/>
      <sheetName val="G单价分析"/>
      <sheetName val="H单价分析"/>
      <sheetName val="N单价分析 "/>
      <sheetName val="C单价分析 "/>
      <sheetName val="一层电梯厅单价分析"/>
      <sheetName val="二层电梯厅单价分析"/>
      <sheetName val="参数"/>
      <sheetName val="管理费、营业费、财务费"/>
      <sheetName val="开办费表"/>
      <sheetName val="dm"/>
      <sheetName val="Configuration"/>
      <sheetName val="8.2施工电梯租赁"/>
      <sheetName val="展示中心通风系统"/>
      <sheetName val="甲"/>
      <sheetName val="公共应急广播"/>
      <sheetName val="消防"/>
      <sheetName val="ZB"/>
      <sheetName val="面积指标"/>
      <sheetName val="HW-SW Support"/>
      <sheetName val="Alcatel Final RFQ"/>
      <sheetName val="Input Item Qties"/>
      <sheetName val="HP"/>
      <sheetName val="NE"/>
      <sheetName val="SUN"/>
      <sheetName val="SW"/>
      <sheetName val="Quick Input1"/>
      <sheetName val="ben"/>
      <sheetName val="核算项目余额表"/>
      <sheetName val="雨棚"/>
      <sheetName val="정부노임단가"/>
      <sheetName val="coa"/>
      <sheetName val="장비당단가 (1)"/>
      <sheetName val="变量单"/>
      <sheetName val="SOR"/>
      <sheetName val="代号(线密度)藏"/>
      <sheetName val="Data Sheet"/>
      <sheetName val="감리을"/>
      <sheetName val="主材价格"/>
      <sheetName val="1."/>
      <sheetName val="计算表2"/>
      <sheetName val="含量表"/>
      <sheetName val="目录"/>
      <sheetName val="西塔项目工程名称 链接"/>
      <sheetName val="MOHKG"/>
      <sheetName val="设计部"/>
      <sheetName val="铝合金"/>
      <sheetName val="汇总表"/>
      <sheetName val="商铺零星计算"/>
      <sheetName val="住户大堂"/>
      <sheetName val="索引用表"/>
      <sheetName val="点表"/>
      <sheetName val="墙面工程"/>
      <sheetName val="基础项目"/>
      <sheetName val="5期B栋会所装饰精装修"/>
      <sheetName val="E系列"/>
      <sheetName val="BA-Pl"/>
      <sheetName val="cashflow-commercial"/>
      <sheetName val="NPV"/>
      <sheetName val="报价单"/>
      <sheetName val="包干费用表"/>
      <sheetName val="地梁"/>
      <sheetName val="GRSummary"/>
      <sheetName val="JOA首頁"/>
      <sheetName val="Criteria"/>
      <sheetName val="柱计算"/>
      <sheetName val="编制说明"/>
      <sheetName val="BQ2-住宅部分"/>
      <sheetName val="BQ2-商业街部分"/>
      <sheetName val="预算200326"/>
      <sheetName val="Wl. Fin."/>
      <sheetName val="D1#地库汇总BQ3.1-SUM"/>
      <sheetName val="A6#小高层地上汇总BQ5.1-SUM"/>
      <sheetName val="A7#小高层地上汇总BQ6.1-SUM"/>
      <sheetName val="A11#高层地上汇总BQ7.1-SUM"/>
      <sheetName val="A12#小高层地上汇总BQ8.1-SUM"/>
      <sheetName val="A15#高层汇总BQ9.1-SUM"/>
      <sheetName val="A16#高层汇总BQ10.1-SUM "/>
      <sheetName val="S1#裙楼地上汇总BQ4.1-SUM"/>
      <sheetName val="BQ2.10"/>
      <sheetName val="中海城三期（01A及01E小学）"/>
      <sheetName val="中海城四期（02C）"/>
      <sheetName val="主要项目单价分析表 "/>
      <sheetName val="电线"/>
      <sheetName val="电缆"/>
      <sheetName val="型材表"/>
      <sheetName val="材料单价表"/>
      <sheetName val="配置表"/>
      <sheetName val="磨具余料庫"/>
      <sheetName val="SW-TEO"/>
      <sheetName val="G1102地块一区（省一建） "/>
      <sheetName val="二号清单"/>
      <sheetName val="单位"/>
      <sheetName val="面积表"/>
      <sheetName val="S1单价表"/>
      <sheetName val="BQ3-1"/>
      <sheetName val="BQ5.3-1"/>
      <sheetName val="计算表"/>
      <sheetName val="03定额库"/>
      <sheetName val="94定额库"/>
      <sheetName val="封面"/>
      <sheetName val="清单库"/>
      <sheetName val="单价分析表格式"/>
      <sheetName val="1#"/>
      <sheetName val="BQ2.1~基础工程及土方工程清单"/>
      <sheetName val="BQ2.2~GDG9#网点土方清单"/>
      <sheetName val="BQ3.1.1~地下室1土建清单"/>
      <sheetName val="BQ3.1.2~地下室1机电清单"/>
      <sheetName val="BQ4.1.1~GDG9#土建清单"/>
      <sheetName val="BQ4.1.2~GDG9#机电清单"/>
      <sheetName val="BQ5.1.1~GD6#土建清单"/>
      <sheetName val="BQ5.1.2~GD6#机电清单"/>
      <sheetName val="BQ5.2.1~GD7+GDG8#土建清单"/>
      <sheetName val="BQ5.2.2~GD7+GDG8#机电清单"/>
      <sheetName val="BQ5.3.1~GD8+GDG10#土建清单"/>
      <sheetName val="BQ5.3.2~GD8+GDG10#机电清单"/>
      <sheetName val="BQ5.4.1~GD9#土建清单 "/>
      <sheetName val="BQ5.4.2~GD9#机电清单"/>
      <sheetName val="BQ4.1.1至4.1.4"/>
      <sheetName val="计算稿-3#楼"/>
      <sheetName val="电视监控"/>
      <sheetName val="Hic_150EOffice"/>
      <sheetName val="投标价目总计"/>
      <sheetName val="00000ppy"/>
      <sheetName val="一层·C区"/>
      <sheetName val="CD"/>
      <sheetName val="单价表"/>
      <sheetName val="before"/>
      <sheetName val="Construction"/>
      <sheetName val="Modified Store"/>
      <sheetName val="工程量计算式"/>
      <sheetName val="材料名称标准表"/>
      <sheetName val="B1-1清单外装修"/>
      <sheetName val="数据"/>
      <sheetName val="机房工程B"/>
      <sheetName val="MC"/>
      <sheetName val="7#强电"/>
      <sheetName val="土建地上商业部分"/>
      <sheetName val="XL4Poppy"/>
      <sheetName val="14.桥架"/>
      <sheetName val="三号清单之电气工程综合单价分析"/>
      <sheetName val="三号清单之给排水工程综合单价分析"/>
      <sheetName val="企业格式单价分析表"/>
      <sheetName val="BQ"/>
      <sheetName val="Sheet1 (11)"/>
      <sheetName val="第二章 - 可视对讲系统"/>
      <sheetName val="工程计算书"/>
      <sheetName val="推拉"/>
      <sheetName val="G.1R-Shou COP Gf"/>
      <sheetName val="报价细目表"/>
      <sheetName val="PUR资料库"/>
      <sheetName val="甲指乙供材料报价表"/>
      <sheetName val="1-销售订单"/>
      <sheetName val="Settings"/>
      <sheetName val="Budget vs Projection (CCL)"/>
      <sheetName val="压缩厂房"/>
      <sheetName val="数据有效性"/>
      <sheetName val="#REF"/>
      <sheetName val="清单1-裙楼Ea"/>
      <sheetName val="JCT80"/>
      <sheetName val="Category"/>
      <sheetName val="Sheet2"/>
      <sheetName val="AC"/>
      <sheetName val="건축내역"/>
      <sheetName val="C"/>
      <sheetName val="室内汇总"/>
      <sheetName val="CSCCincSKR"/>
      <sheetName val="Assumption"/>
      <sheetName val="Hao Ji Xin"/>
      <sheetName val="2 别墅硬装"/>
      <sheetName val="土建"/>
      <sheetName val="2.1 电力监控系统"/>
      <sheetName val="SRC-B3U2"/>
      <sheetName val="Cost Summary"/>
      <sheetName val="cable-data"/>
      <sheetName val="主要材料价格表 (2)"/>
      <sheetName val="单价分析表（组价）"/>
      <sheetName val="单价分析表（中建鼎元）"/>
      <sheetName val="单价分析表（杭州艺涛）"/>
      <sheetName val="综合单价分析表"/>
      <sheetName val="2区原方案钢筋网片"/>
      <sheetName val="Bill-2.7"/>
      <sheetName val="Summary T(A)"/>
      <sheetName val="직접비_Origin(315,430)"/>
      <sheetName val="Earth"/>
      <sheetName val="BOL"/>
      <sheetName val="INPUT"/>
      <sheetName val="BN 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Set>
  </externalBook>
</externalLink>
</file>

<file path=xl/externalLinks/externalLink61.xml><?xml version="1.0" encoding="utf-8"?>
<externalLink xmlns="http://schemas.openxmlformats.org/spreadsheetml/2006/main">
  <externalBook xmlns:r="http://schemas.openxmlformats.org/officeDocument/2006/relationships" r:id="rId1">
    <sheetNames>
      <sheetName val="00000000"/>
      <sheetName val="bayantel"/>
      <sheetName val="Summary"/>
      <sheetName val="GEA"/>
      <sheetName val="Cash Flow"/>
      <sheetName val="Chart1"/>
      <sheetName val="Cash Flow Worksheet"/>
      <sheetName val="B-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62.xml><?xml version="1.0" encoding="utf-8"?>
<externalLink xmlns="http://schemas.openxmlformats.org/spreadsheetml/2006/main">
  <externalBook xmlns:r="http://schemas.openxmlformats.org/officeDocument/2006/relationships" r:id="rId1">
    <sheetNames>
      <sheetName val="SUMMARY"/>
      <sheetName val="배관집계표"/>
      <sheetName val="기계내역서"/>
      <sheetName val="배관내역서"/>
      <sheetName val="내역서"/>
      <sheetName val="자재비"/>
      <sheetName val="실행총괄표"/>
      <sheetName val="실행내역서"/>
      <sheetName val="Manpower (Rev.0)"/>
      <sheetName val="Dia-in"/>
      <sheetName val="MPBD (철거)"/>
      <sheetName val="Dia-in Factor"/>
      <sheetName val="Dia-sum"/>
      <sheetName val="Sum"/>
      <sheetName val="Sheet2"/>
      <sheetName val="Sheet3"/>
      <sheetName val="mvac_Offer"/>
      <sheetName val="mvac_BOQ"/>
      <sheetName val="P"/>
      <sheetName val="Factors"/>
      <sheetName val="APP. B"/>
      <sheetName val="App. A(contd)"/>
      <sheetName val="Schedules"/>
      <sheetName val="Room Type"/>
      <sheetName val="Basement2 DB"/>
      <sheetName val="Price Sheet"/>
      <sheetName val="Cash2"/>
      <sheetName val="Z"/>
      <sheetName val="sheet1"/>
      <sheetName val="실행(1)"/>
      <sheetName val="금액내역서"/>
      <sheetName val="Material"/>
      <sheetName val="갑지"/>
      <sheetName val="CAT_5"/>
      <sheetName val="Activity(new)"/>
      <sheetName val="Total(new)"/>
      <sheetName val="산근"/>
      <sheetName val="XZLC004_PART2"/>
      <sheetName val="수입"/>
      <sheetName val="BREAKDOWN(철거설치)"/>
      <sheetName val="입찰견적-1"/>
      <sheetName val="DCS"/>
      <sheetName val="ANALYSER"/>
      <sheetName val="실행철강하도"/>
      <sheetName val="B"/>
      <sheetName val="CalCu"/>
      <sheetName val="전력"/>
      <sheetName val="M3산출"/>
      <sheetName val="BAND(200)"/>
      <sheetName val="EL 표면적"/>
      <sheetName val="15100"/>
      <sheetName val="전기"/>
      <sheetName val="XZLC003_PART1"/>
      <sheetName val="PIPE"/>
      <sheetName val="FLANGE"/>
      <sheetName val="VALVE"/>
      <sheetName val="당초"/>
      <sheetName val="AcctLook"/>
      <sheetName val="Detail"/>
      <sheetName val="Schedule"/>
      <sheetName val="CPM챠트"/>
      <sheetName val="Curves"/>
      <sheetName val="Note"/>
      <sheetName val="Heads"/>
      <sheetName val="Dbase"/>
      <sheetName val="Tables"/>
      <sheetName val="Page 2"/>
      <sheetName val="IMPEADENCE MAP 취수장"/>
      <sheetName val="980820"/>
      <sheetName val="집계표(OPTION)"/>
      <sheetName val="M"/>
      <sheetName val="#REF"/>
      <sheetName val="노임단가"/>
      <sheetName val="할증 "/>
      <sheetName val="WING3"/>
      <sheetName val="NO.3.PTA PLANT SD COST"/>
      <sheetName val="재료비"/>
      <sheetName val="nde_request"/>
      <sheetName val="TEST1"/>
      <sheetName val="공사내역"/>
      <sheetName val="DB"/>
      <sheetName val="Final(1)summary"/>
      <sheetName val="REDUCER"/>
      <sheetName val="변수 정의"/>
      <sheetName val="$bhp"/>
      <sheetName val="Linkage"/>
      <sheetName val="자바라1"/>
      <sheetName val="해외 연수비용 계산-삭제"/>
      <sheetName val="해외 기술훈련비 (합계)"/>
      <sheetName val="MTL(AG)"/>
      <sheetName val="97년추정손익계산서"/>
      <sheetName val="산출근거#2-3"/>
      <sheetName val="Administrative Prices"/>
      <sheetName val="백분율"/>
      <sheetName val="DHEQSUPT"/>
      <sheetName val="GAEYO"/>
      <sheetName val="COVER"/>
      <sheetName val="inter"/>
      <sheetName val="TIE-INS"/>
      <sheetName val="수주현황2월"/>
      <sheetName val="VLOOKUP"/>
      <sheetName val="cal-foamglass"/>
      <sheetName val="97 사업추정(WEKI)"/>
      <sheetName val="PROCURE"/>
      <sheetName val="간접비내역-1"/>
      <sheetName val="간접비 총괄표"/>
      <sheetName val="Eq. Mobilization"/>
      <sheetName val="EQUIPMENT -2"/>
      <sheetName val="CODE"/>
      <sheetName val="BQMPALOC"/>
      <sheetName val="DATA"/>
      <sheetName val="건축내역"/>
      <sheetName val="M-EQPT-Z"/>
      <sheetName val="임율 Data"/>
      <sheetName val="뜃맟뭁돽띿맟?-BLDG"/>
      <sheetName val="tank list"/>
      <sheetName val="SKETCH"/>
      <sheetName val="REINF."/>
      <sheetName val="LOADS"/>
      <sheetName val="CHECK1"/>
      <sheetName val="Bill 04 - water supply tb "/>
      <sheetName val="BOQ"/>
      <sheetName val="Bill 24"/>
      <sheetName val="Day work"/>
      <sheetName val="Option"/>
      <sheetName val="Doha WBS Clean"/>
      <sheetName val="Proj Cost Sumry"/>
      <sheetName val="Raw Data"/>
      <sheetName val=" GULF"/>
      <sheetName val="FitOutConfCentre"/>
      <sheetName val="PLT-SUM"/>
      <sheetName val="S3 Architectural"/>
      <sheetName val="PriceSummary"/>
      <sheetName val="뜃맟뭁돽띿맟_-BLDG"/>
      <sheetName val="Super"/>
      <sheetName val="B-2"/>
      <sheetName val="RESOURCES"/>
      <sheetName val="BASIC RATES"/>
      <sheetName val=" Factor  "/>
      <sheetName val="Histry Price"/>
      <sheetName val="Ragama"/>
      <sheetName val="Rate analysis 1"/>
      <sheetName val="4"/>
      <sheetName val="Cost summary"/>
      <sheetName val="Cost Factor Sheet"/>
      <sheetName val="Load Sch, Cable Sel &amp; Qty"/>
      <sheetName val="Factor Sheet"/>
      <sheetName val="Cash Flow Worksheet"/>
      <sheetName val="BN 01"/>
      <sheetName val="Factor"/>
      <sheetName val="COLUMN"/>
      <sheetName val="Rates"/>
      <sheetName val="QTY Pipe Laying"/>
      <sheetName val="Material Prices"/>
      <sheetName val="BOQ PL"/>
      <sheetName val="Ele Price"/>
      <sheetName val="B-3"/>
      <sheetName val="B-3.2 EB"/>
      <sheetName val="残数量確認用"/>
      <sheetName val="Elec price list"/>
      <sheetName val="Quantity"/>
      <sheetName val="1.2 STAFF Scedule"/>
      <sheetName val="Plumbing "/>
      <sheetName val="CASHFLOW"/>
      <sheetName val="WB"/>
      <sheetName val="C1ㅇ"/>
      <sheetName val="GRSummary"/>
      <sheetName val="C3"/>
      <sheetName val="#3E1_GCR"/>
      <sheetName val="cp-e1"/>
      <sheetName val="Struct_Earth"/>
      <sheetName val="NPV"/>
      <sheetName val="Reference"/>
      <sheetName val="HC"/>
      <sheetName val="Zones"/>
      <sheetName val="6PILE  (돌출)"/>
      <sheetName val="NATION"/>
      <sheetName val="IPO Shit"/>
      <sheetName val="Financial Outputs"/>
      <sheetName val="ADT Financial Build"/>
      <sheetName val="ADT LBO"/>
      <sheetName val="Ex-ADTCo LBO"/>
      <sheetName val="Total TEFS LBO"/>
      <sheetName val="ADT Output Dumbed Down for KKR"/>
      <sheetName val="Bill.10"/>
      <sheetName val="Bill 5 - Carpark"/>
      <sheetName val="Goodwill Calculation"/>
      <sheetName val="E"/>
      <sheetName val="Tit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Set>
  </externalBook>
</externalLink>
</file>

<file path=xl/externalLinks/externalLink63.xml><?xml version="1.0" encoding="utf-8"?>
<externalLink xmlns="http://schemas.openxmlformats.org/spreadsheetml/2006/main">
  <externalBook xmlns:r="http://schemas.openxmlformats.org/officeDocument/2006/relationships" r:id="rId1">
    <sheetNames>
      <sheetName val="FIRE PROTECTION BOQ"/>
      <sheetName val="FIRE PROTECTION BOQ R1"/>
      <sheetName val="Modules"/>
      <sheetName val="BOQ"/>
      <sheetName val="Take-Off"/>
      <sheetName val="Sheet1"/>
      <sheetName val="GP"/>
      <sheetName val="Import Schedule"/>
      <sheetName val="Equipment Schedule"/>
      <sheetName val="Spares"/>
      <sheetName val="Workings"/>
      <sheetName val="Panel"/>
      <sheetName val="Details"/>
      <sheetName val="Homagama Grounds-9.7.2013"/>
      <sheetName val="NATION"/>
      <sheetName val="Price Sheet"/>
      <sheetName val="GIAVLIEU"/>
      <sheetName val="1-G1"/>
      <sheetName val="Analysis"/>
      <sheetName val="Bill 1"/>
      <sheetName val="Bill 2"/>
      <sheetName val="Bill 3"/>
      <sheetName val="Bill 4"/>
      <sheetName val="Bill 5"/>
      <sheetName val="Bill 6"/>
      <sheetName val="Bill 7"/>
      <sheetName val="금융비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64.xml><?xml version="1.0" encoding="utf-8"?>
<externalLink xmlns="http://schemas.openxmlformats.org/spreadsheetml/2006/main">
  <externalBook xmlns:r="http://schemas.openxmlformats.org/officeDocument/2006/relationships" r:id="rId1">
    <sheetNames>
      <sheetName val="PA.CERT.-JUNE (2)"/>
      <sheetName val="LTR "/>
      <sheetName val="CASHFLOW"/>
      <sheetName val="CASHFLOW (2)"/>
      <sheetName val="PA.CERT.-JAN"/>
      <sheetName val="PA.CERT.-FEB"/>
      <sheetName val="PA.CERT.-MARCH"/>
      <sheetName val="PA.CERT.-APRIL"/>
      <sheetName val="PA.CERT.-MAY"/>
      <sheetName val="PA.CERT.-JUNE"/>
      <sheetName val="PA.CERT.-JULY"/>
      <sheetName val="PA.CERT.-AUG"/>
      <sheetName val="PA.CERT.-SEPT"/>
      <sheetName val="PA.CERT.-OCT"/>
      <sheetName val="PA.CERT.-NOV."/>
      <sheetName val="PA.CERT.-DEC."/>
      <sheetName val="PA.CERT.-JAN-2002"/>
      <sheetName val="PA.CERT.-FEB-2002"/>
      <sheetName val="PA.CERT.-MAR-2002"/>
      <sheetName val="SUMM.FOR-CASHFLOW"/>
      <sheetName val="Factor F Data"/>
      <sheetName val="기계내역서"/>
      <sheetName val="Ragama"/>
      <sheetName val=" Factor  "/>
      <sheetName val="Histry Price"/>
      <sheetName val="Bill 3 - Site Works"/>
      <sheetName val="BOQ"/>
      <sheetName val="sum-all"/>
      <sheetName val="Factors"/>
      <sheetName val="ancillary"/>
      <sheetName val="Start"/>
      <sheetName val="PA_CERT_-JUNE_(2)"/>
      <sheetName val="LTR_"/>
      <sheetName val="CASHFLOW_(2)"/>
      <sheetName val="PA_CERT_-JAN"/>
      <sheetName val="PA_CERT_-FEB"/>
      <sheetName val="PA_CERT_-MARCH"/>
      <sheetName val="PA_CERT_-APRIL"/>
      <sheetName val="PA_CERT_-MAY"/>
      <sheetName val="PA_CERT_-JUNE"/>
      <sheetName val="PA_CERT_-JULY"/>
      <sheetName val="PA_CERT_-AUG"/>
      <sheetName val="PA_CERT_-SEPT"/>
      <sheetName val="PA_CERT_-OCT"/>
      <sheetName val="PA_CERT_-NOV_"/>
      <sheetName val="PA_CERT_-DEC_"/>
      <sheetName val="PA_CERT_-JAN-2002"/>
      <sheetName val="PA_CERT_-FEB-2002"/>
      <sheetName val="PA_CERT_-MAR-2002"/>
      <sheetName val="SUMM_FOR-CASHFLOW"/>
      <sheetName val="ICAM_Prices_Raw"/>
      <sheetName val="Sheet1"/>
      <sheetName val="Zones"/>
      <sheetName val="MACHINERY"/>
      <sheetName val="MATERIAL"/>
      <sheetName val="SUBCON OR OTHER"/>
      <sheetName val="금융비용"/>
      <sheetName val="data"/>
      <sheetName val="Factor"/>
      <sheetName val="Kaatsu H.A.M.T.T.C.-7 jan 10"/>
      <sheetName val="Oracle Account Master"/>
      <sheetName val="Input"/>
      <sheetName val="NOV fx rates"/>
      <sheetName val="Raw Data"/>
      <sheetName val="Admin"/>
      <sheetName val="Prior_CM"/>
      <sheetName val="ABSTRACT"/>
      <sheetName val="Sheet2"/>
      <sheetName val="산근"/>
      <sheetName val="AU Zone"/>
      <sheetName val="B-3.2 EB"/>
      <sheetName val="TBLS"/>
      <sheetName val="EV_FC"/>
      <sheetName val="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65.xml><?xml version="1.0" encoding="utf-8"?>
<externalLink xmlns="http://schemas.openxmlformats.org/spreadsheetml/2006/main">
  <externalBook xmlns:r="http://schemas.openxmlformats.org/officeDocument/2006/relationships" r:id="rId1">
    <sheetNames>
      <sheetName val="PA"/>
      <sheetName val="Workings"/>
      <sheetName val="Local+Labour"/>
      <sheetName val="AEX_IMPORTS"/>
      <sheetName val="Prelim"/>
      <sheetName val="costing for cabling "/>
      <sheetName val="Cabling"/>
      <sheetName val="Equipment Schedule"/>
      <sheetName val="Take-Off"/>
      <sheetName val="B-3.2 EB"/>
      <sheetName val="INPUT - Recommended Schedules"/>
      <sheetName val="RESOURCES"/>
      <sheetName val="BASIC RATES"/>
      <sheetName val="Factors"/>
      <sheetName val="App. A(contd)"/>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66.xml><?xml version="1.0" encoding="utf-8"?>
<externalLink xmlns="http://schemas.openxmlformats.org/spreadsheetml/2006/main">
  <externalBook xmlns:r="http://schemas.openxmlformats.org/officeDocument/2006/relationships" r:id="rId1">
    <sheetNames>
      <sheetName val="Graphs"/>
      <sheetName val="CONTROL BOX"/>
      <sheetName val="Summary"/>
      <sheetName val="NATIONAL"/>
      <sheetName val="REG010"/>
      <sheetName val="REG030"/>
      <sheetName val="REG040"/>
      <sheetName val="REG050"/>
      <sheetName val="REG060"/>
      <sheetName val="GP101"/>
      <sheetName val="GP102"/>
      <sheetName val="GP103"/>
      <sheetName val="GP106"/>
      <sheetName val="GP301"/>
      <sheetName val="GP303"/>
      <sheetName val="GP304"/>
      <sheetName val="GP305"/>
      <sheetName val="GP306"/>
      <sheetName val="GP401"/>
      <sheetName val="GP402"/>
      <sheetName val="GP404"/>
      <sheetName val="GP405"/>
      <sheetName val="GP406"/>
      <sheetName val="GP407"/>
      <sheetName val="GP501"/>
      <sheetName val="GP502"/>
      <sheetName val="GP503"/>
      <sheetName val="GP504"/>
      <sheetName val="GP505"/>
      <sheetName val="GP601"/>
      <sheetName val="GP602"/>
      <sheetName val="GP603"/>
      <sheetName val="GP604"/>
      <sheetName val="GP606"/>
      <sheetName val="DT430"/>
      <sheetName val="DT353"/>
      <sheetName val="NATION"/>
      <sheetName val="CLOSING"/>
      <sheetName val="DEALER DATA"/>
      <sheetName val="APPT"/>
      <sheetName val="ADSC REV"/>
      <sheetName val="OS REV"/>
      <sheetName val="ANSC PER UNIT NEW"/>
      <sheetName val="ANSC PER UNIT RESALE"/>
      <sheetName val="TOTAL ANSC PER UNIT"/>
      <sheetName val="UNITS NEW"/>
      <sheetName val="UNITS RESALE"/>
      <sheetName val="OS NEW"/>
      <sheetName val="ADSC NEW"/>
      <sheetName val="ADSC UNITS NEW"/>
      <sheetName val="ANSC NEW"/>
      <sheetName val="ANSC RESALE"/>
      <sheetName val="PHONE SALES ANSC NEW"/>
      <sheetName val="PHONE SALES ANSC RESALE"/>
      <sheetName val="PHONE UNITS NEW"/>
      <sheetName val="Price Sheet"/>
      <sheetName val="Goodwill Calculation"/>
      <sheetName val="Cash Flow Worksheet"/>
      <sheetName val="aug_data"/>
      <sheetName val="Zones"/>
      <sheetName val="Rates"/>
      <sheetName val="INPUT - Recommended Schedules"/>
      <sheetName val="50000"/>
      <sheetName val="Calc Inputs"/>
      <sheetName val="Americas"/>
      <sheetName val="CCTV_EST1"/>
      <sheetName val="Factors"/>
      <sheetName val="Super"/>
      <sheetName val="Fcst Tool"/>
      <sheetName val="apr_data"/>
      <sheetName val="APPT_SGL"/>
      <sheetName val="B-2"/>
      <sheetName val="Phone_Sale"/>
      <sheetName val="Cost Sheet"/>
      <sheetName val="Bill 5 - Carpark"/>
      <sheetName val="BN 01"/>
      <sheetName val="Sheet3"/>
      <sheetName val="1-Excavation"/>
      <sheetName val="2-Substructure"/>
      <sheetName val="3-Concrete"/>
      <sheetName val="4-Masonry"/>
      <sheetName val="5-Thermal &amp; Moisture"/>
      <sheetName val="Price"/>
      <sheetName val="3C"/>
      <sheetName val="total"/>
      <sheetName val="BOQ ACMV-MU"/>
      <sheetName val="RSM and Distributors"/>
      <sheetName val="Assumptions"/>
      <sheetName val="基本ﾃﾞｰ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Set>
  </externalBook>
</externalLink>
</file>

<file path=xl/externalLinks/externalLink67.xml><?xml version="1.0" encoding="utf-8"?>
<externalLink xmlns="http://schemas.openxmlformats.org/spreadsheetml/2006/main">
  <externalBook xmlns:r="http://schemas.openxmlformats.org/officeDocument/2006/relationships" r:id="rId1">
    <sheetNames>
      <sheetName val="laroux"/>
      <sheetName val="Factors"/>
      <sheetName val="note"/>
      <sheetName val="BOQ Pier"/>
      <sheetName val="BOQ Reno."/>
      <sheetName val="Chiller, AHU , FCU,VAV,CAV"/>
      <sheetName val="Cooling "/>
      <sheetName val="Expamtion Tank"/>
      <sheetName val="Water Treatment"/>
      <sheetName val="Pump"/>
      <sheetName val="Fan"/>
      <sheetName val="Insulation"/>
      <sheetName val="PIPE"/>
      <sheetName val="VALVE"/>
      <sheetName val="DUCT SHEET"/>
      <sheetName val="DAMPER"/>
      <sheetName val="Sound Attenuator"/>
      <sheetName val="Louver &amp; Grille"/>
      <sheetName val="VVa"/>
      <sheetName val="13A"/>
      <sheetName val="costing sheet"/>
      <sheetName val="Assumptions"/>
      <sheetName val="Keels-6.2.2014"/>
      <sheetName val="FlowHmgma Grds-9.7.2013-details"/>
      <sheetName val="Sheet3"/>
      <sheetName val="Seachells-Pools-25.2.2014"/>
      <sheetName val="MAIN"/>
      <sheetName val="Legend"/>
      <sheetName val="FAS-C(4)"/>
      <sheetName val="ACS(1)"/>
      <sheetName val="CCTV(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68.xml><?xml version="1.0" encoding="utf-8"?>
<externalLink xmlns="http://schemas.openxmlformats.org/spreadsheetml/2006/main">
  <externalBook xmlns:r="http://schemas.openxmlformats.org/officeDocument/2006/relationships" r:id="rId1">
    <sheetNames>
      <sheetName val="A"/>
      <sheetName val="B"/>
      <sheetName val="C"/>
      <sheetName val="D"/>
      <sheetName val="E"/>
      <sheetName val="G"/>
      <sheetName val="H"/>
      <sheetName val="I"/>
      <sheetName val="J"/>
      <sheetName val="K"/>
      <sheetName val="L"/>
      <sheetName val="M"/>
      <sheetName val="N"/>
      <sheetName val="O"/>
      <sheetName val="P"/>
      <sheetName val="Q"/>
      <sheetName val="R"/>
      <sheetName val="S"/>
      <sheetName val="T"/>
      <sheetName val="U"/>
      <sheetName val="V"/>
      <sheetName val="W"/>
      <sheetName val="X"/>
      <sheetName val="Y"/>
      <sheetName val="Z"/>
      <sheetName val="AA"/>
      <sheetName val="Cash1"/>
      <sheetName val="Cash2"/>
      <sheetName val="Cash_Sum"/>
      <sheetName val="Scope"/>
      <sheetName val="mvac_Offer"/>
      <sheetName val="mvac_BOQ"/>
      <sheetName val="Summary"/>
      <sheetName val="Factors"/>
      <sheetName val="#REF"/>
      <sheetName val="PLT-SUM"/>
      <sheetName val="Factor F Data"/>
      <sheetName val="Room Type"/>
      <sheetName val="Basement2 DB"/>
      <sheetName val="Factor Sheet"/>
      <sheetName val="Cost Factor Sheet"/>
      <sheetName val="기계내역서"/>
      <sheetName val="inter"/>
      <sheetName val="Raw Data"/>
      <sheetName val="Super"/>
      <sheetName val="CASHFLOW"/>
      <sheetName val="WB"/>
      <sheetName val="B-2"/>
      <sheetName val="katsayı"/>
      <sheetName val="Testing"/>
      <sheetName val="Qo-1585"/>
      <sheetName val="ANALIZ"/>
      <sheetName val="③赤紙(日文)"/>
      <sheetName val="KADIKES2"/>
      <sheetName val="Co_Ef"/>
      <sheetName val="Co Eff"/>
      <sheetName val="C1ㅇ"/>
      <sheetName val="Base BM-rebar"/>
      <sheetName val="TESİSAT"/>
      <sheetName val="List"/>
      <sheetName val="BOQ"/>
      <sheetName val="Fit Out B2a"/>
      <sheetName val="FOL - Bar"/>
      <sheetName val="Option"/>
      <sheetName val="Calendar"/>
      <sheetName val="C3"/>
      <sheetName val="Base_BM-rebar"/>
      <sheetName val="Raw_Data"/>
      <sheetName val="COST"/>
      <sheetName val="FitOutConfCentre"/>
      <sheetName val="Day work"/>
      <sheetName val="Payments and Cash Calls"/>
      <sheetName val="1"/>
      <sheetName val="Schedules"/>
      <sheetName val="SubmitCal"/>
      <sheetName val="Register"/>
      <sheetName val="DBs"/>
      <sheetName val="laroux"/>
      <sheetName val="Summary "/>
      <sheetName val="VVa"/>
      <sheetName val="BOQ-FD PA"/>
      <sheetName val="Price List FD PA"/>
      <sheetName val="Cost Sheet"/>
      <sheetName val="fire detection offer"/>
      <sheetName val="fire detection cost"/>
      <sheetName val="Price List"/>
      <sheetName val="S3 Architectural"/>
      <sheetName val="Basis"/>
      <sheetName val="RESOURCES"/>
      <sheetName val="BASIC RATES"/>
      <sheetName val="Main Sum (Hotel &amp; Residences)"/>
      <sheetName val="Staff Acco."/>
      <sheetName val="upa"/>
      <sheetName val="1A"/>
      <sheetName val="Ragama"/>
      <sheetName val="ID Office-R1 - 23.8.2012"/>
      <sheetName val="Schnieder Price List-July 2012"/>
      <sheetName val="MDB-25.8.2014"/>
      <sheetName val="3A"/>
      <sheetName val="Valible One BOQ"/>
      <sheetName val="4"/>
      <sheetName val="apr_data"/>
      <sheetName val="APPT"/>
      <sheetName val="APPT_SGL"/>
      <sheetName val="Phone_Sale"/>
      <sheetName val="FORM5"/>
      <sheetName val="MACHINERY"/>
      <sheetName val="MATERIAL"/>
      <sheetName val="SUBCON OR OTHER"/>
      <sheetName val="Rates"/>
      <sheetName val="QTY Pipe Laying"/>
      <sheetName val="Competitors"/>
      <sheetName val="SECTION 10-TSE"/>
      <sheetName val="1-G1"/>
      <sheetName val="Section 2-SCHEDULE OF DAYWORK"/>
      <sheetName val="SCHEDULE"/>
      <sheetName val="MATERIAL'S PRICE"/>
      <sheetName val="UTILITIES"/>
      <sheetName val="PRECAST lightconc-II"/>
      <sheetName val="bau"/>
      <sheetName val="MAPP"/>
      <sheetName val="rek det 1-3"/>
      <sheetName val="Factor"/>
      <sheetName val="갑지"/>
      <sheetName val="NonPerp"/>
      <sheetName val="Perp"/>
      <sheetName val="Kaatsu H.A.M.T.T.C.-7 jan 10"/>
      <sheetName val="LS Price List"/>
      <sheetName val="วัดใต้"/>
      <sheetName val="Keels-6.2.2014"/>
      <sheetName val="Cover"/>
      <sheetName val="JOB COSTING SHEET HVAC"/>
      <sheetName val="aug_data"/>
      <sheetName val="INPUT - Recommended Schedules"/>
      <sheetName val="Bill 04 - water supply tb "/>
      <sheetName val="B-3"/>
      <sheetName val="Prices"/>
      <sheetName val="NOV fx rates"/>
      <sheetName val="Sheet3"/>
      <sheetName val="Chiller"/>
      <sheetName val="Price"/>
      <sheetName val="3C"/>
      <sheetName val="Water Supply System"/>
      <sheetName val="Fcst Tool"/>
      <sheetName val="内訳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69.xml><?xml version="1.0" encoding="utf-8"?>
<externalLink xmlns="http://schemas.openxmlformats.org/spreadsheetml/2006/main">
  <externalBook xmlns:r="http://schemas.openxmlformats.org/officeDocument/2006/relationships" r:id="rId1">
    <sheetNames>
      <sheetName val="AFP"/>
      <sheetName val="CW Summary"/>
      <sheetName val="Bill 3 - Site Works"/>
      <sheetName val="Bill 4 - Mntc Shed"/>
      <sheetName val="Bill 5 - Magic planet"/>
      <sheetName val="Bill 6 - Mall Enh"/>
      <sheetName val="Bill 7 - Anchor store"/>
      <sheetName val="V.O Log"/>
      <sheetName val="MoS- Summary"/>
      <sheetName val="Mat'ls Unfixed - Elec"/>
      <sheetName val="B-2"/>
      <sheetName val="Sheet1"/>
      <sheetName val="Detail"/>
      <sheetName val="Structure working"/>
      <sheetName val="p&amp;m"/>
      <sheetName val="PRECAST lightconc-II"/>
      <sheetName val="Stru lintel"/>
      <sheetName val="LEVEL SHEET"/>
      <sheetName val="RCC,Ret. Wall"/>
      <sheetName val="1-G1"/>
      <sheetName val="CW_Summary"/>
      <sheetName val="Bill_3_-_Site_Works"/>
      <sheetName val="Bill_4_-_Mntc_Shed"/>
      <sheetName val="Bill_5_-_Magic_planet"/>
      <sheetName val="Bill_6_-_Mall_Enh"/>
      <sheetName val="Bill_7_-_Anchor_store"/>
      <sheetName val="V_O_Log"/>
      <sheetName val="MoS-_Summary"/>
      <sheetName val="Mat'ls_Unfixed_-_Elec"/>
      <sheetName val="CW_Summary1"/>
      <sheetName val="Bill_3_-_Site_Works1"/>
      <sheetName val="Bill_4_-_Mntc_Shed1"/>
      <sheetName val="Bill_5_-_Magic_planet1"/>
      <sheetName val="Bill_6_-_Mall_Enh1"/>
      <sheetName val="Bill_7_-_Anchor_store1"/>
      <sheetName val="V_O_Log1"/>
      <sheetName val="MoS-_Summary1"/>
      <sheetName val="Mat'ls_Unfixed_-_Elec1"/>
      <sheetName val="CW_Summary4"/>
      <sheetName val="Bill_3_-_Site_Works4"/>
      <sheetName val="Bill_4_-_Mntc_Shed4"/>
      <sheetName val="Bill_5_-_Magic_planet4"/>
      <sheetName val="Bill_6_-_Mall_Enh4"/>
      <sheetName val="Bill_7_-_Anchor_store4"/>
      <sheetName val="V_O_Log4"/>
      <sheetName val="MoS-_Summary4"/>
      <sheetName val="Mat'ls_Unfixed_-_Elec4"/>
      <sheetName val="CW_Summary2"/>
      <sheetName val="Bill_3_-_Site_Works2"/>
      <sheetName val="Bill_4_-_Mntc_Shed2"/>
      <sheetName val="Bill_5_-_Magic_planet2"/>
      <sheetName val="Bill_6_-_Mall_Enh2"/>
      <sheetName val="Bill_7_-_Anchor_store2"/>
      <sheetName val="V_O_Log2"/>
      <sheetName val="MoS-_Summary2"/>
      <sheetName val="Mat'ls_Unfixed_-_Elec2"/>
      <sheetName val="CW_Summary3"/>
      <sheetName val="Bill_3_-_Site_Works3"/>
      <sheetName val="Bill_4_-_Mntc_Shed3"/>
      <sheetName val="Bill_5_-_Magic_planet3"/>
      <sheetName val="Bill_6_-_Mall_Enh3"/>
      <sheetName val="Bill_7_-_Anchor_store3"/>
      <sheetName val="V_O_Log3"/>
      <sheetName val="MoS-_Summary3"/>
      <sheetName val="Mat'ls_Unfixed_-_Elec3"/>
      <sheetName val="CW_Summary5"/>
      <sheetName val="Bill_3_-_Site_Works5"/>
      <sheetName val="Bill_4_-_Mntc_Shed5"/>
      <sheetName val="Bill_5_-_Magic_planet5"/>
      <sheetName val="Bill_6_-_Mall_Enh5"/>
      <sheetName val="Bill_7_-_Anchor_store5"/>
      <sheetName val="V_O_Log5"/>
      <sheetName val="MoS-_Summary5"/>
      <sheetName val="Mat'ls_Unfixed_-_Elec5"/>
      <sheetName val="3"/>
      <sheetName val="PDA2"/>
      <sheetName val="Rate Analysis"/>
      <sheetName val="Super"/>
      <sheetName val="#REF"/>
      <sheetName val="10.Linkway"/>
      <sheetName val="11.Bus Shelter-Bay"/>
      <sheetName val="Design"/>
      <sheetName val="Cost Factor Sheet"/>
      <sheetName val="Cash2"/>
      <sheetName val="Z"/>
      <sheetName val="FitOutConfCentre"/>
      <sheetName val="Factors"/>
      <sheetName val="Room Type"/>
      <sheetName val="Basement2 DB"/>
      <sheetName val="Summary"/>
      <sheetName val="BOM"/>
      <sheetName val="ID Office-R1 - 23.8.2012"/>
      <sheetName val="Schnieder Price List-July 2012"/>
      <sheetName val="基本ﾃﾞｰﾀ"/>
      <sheetName val="Price Sheet"/>
      <sheetName val="Factor Sheet"/>
      <sheetName val="BN 01"/>
      <sheetName val="Dist Controls"/>
      <sheetName val="File Settings"/>
      <sheetName val="Forecast"/>
      <sheetName val=" Factor  "/>
      <sheetName val="Histry Price"/>
      <sheetName val="BOQ Com"/>
      <sheetName val="NATION"/>
      <sheetName val="aug_data"/>
      <sheetName val="pilecap"/>
      <sheetName val="CERTIFICATE"/>
      <sheetName val="Americas"/>
      <sheetName val="Cctmst"/>
      <sheetName val="GS"/>
      <sheetName val="Assumptions"/>
      <sheetName val="@risk rents and incentives"/>
      <sheetName val="Car park lease"/>
      <sheetName val="Net rent analysis"/>
      <sheetName val="Details"/>
      <sheetName val="Cost Sheet"/>
      <sheetName val="Price"/>
      <sheetName val="3C"/>
      <sheetName val="BOQ"/>
      <sheetName val="Bill 04 - water supply tb "/>
      <sheetName val="Import Schedule"/>
      <sheetName val="Financial Summary"/>
      <sheetName val="Kaatsu H.A.M.T.T.C.-7 jan 10"/>
      <sheetName val="Staff Acco."/>
      <sheetName val="Admin"/>
      <sheetName val="Prior_CM"/>
      <sheetName val="ICAM_Prices_Raw"/>
      <sheetName val="Medical"/>
      <sheetName val="apr_data"/>
      <sheetName val="BOQ ACMV-MU"/>
      <sheetName val="SLS CM"/>
      <sheetName val="Schedules"/>
      <sheetName val="Cash Flow Worksheet"/>
      <sheetName val="M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Set>
  </externalBook>
</externalLink>
</file>

<file path=xl/externalLinks/externalLink70.xml><?xml version="1.0" encoding="utf-8"?>
<externalLink xmlns="http://schemas.openxmlformats.org/spreadsheetml/2006/main">
  <externalBook xmlns:r="http://schemas.openxmlformats.org/officeDocument/2006/relationships" r:id="rId1">
    <sheetNames>
      <sheetName val="000000"/>
      <sheetName val="laroux"/>
      <sheetName val="XXXXXXXX"/>
      <sheetName val="Histry Price"/>
      <sheetName val="Norms"/>
      <sheetName val=" Factor  "/>
      <sheetName val="Summary"/>
      <sheetName val="Factor Sheet"/>
      <sheetName val="Cost Factor Sheet"/>
      <sheetName val="RATE"/>
      <sheetName val="NEW PRODUCT SALES FORCE"/>
      <sheetName val="ID Office-R1 - 23.8.2012"/>
      <sheetName val="Schnieder Price List-July 2012"/>
      <sheetName val="BOQ"/>
      <sheetName val="Histry_Price"/>
      <sheetName val="_Factor__"/>
      <sheetName val="B-2"/>
      <sheetName val="Factors"/>
      <sheetName val="MOS"/>
      <sheetName val="BQMPALOC"/>
      <sheetName val="Material Prices"/>
      <sheetName val="data"/>
      <sheetName val="Raw Data"/>
      <sheetName val="Homagama Grounds-9.7.2013"/>
      <sheetName val="BOI - Katunayaka-9.8.20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71.xml><?xml version="1.0" encoding="utf-8"?>
<externalLink xmlns="http://schemas.openxmlformats.org/spreadsheetml/2006/main">
  <externalBook xmlns:r="http://schemas.openxmlformats.org/officeDocument/2006/relationships" r:id="rId1">
    <sheetNames>
      <sheetName val="TSI"/>
      <sheetName val="Build Up rate"/>
      <sheetName val="Tender Analysis"/>
      <sheetName val="Schedule 1 ~ schedule 4"/>
      <sheetName val="Schedule1~schedule 4(wo profit)"/>
      <sheetName val="ID Office-R1 - 23.8.2012"/>
      <sheetName val="Schnieder Price List-July 2012"/>
      <sheetName val="Keels-6.2.201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72.xml><?xml version="1.0" encoding="utf-8"?>
<externalLink xmlns="http://schemas.openxmlformats.org/spreadsheetml/2006/main">
  <externalBook xmlns:r="http://schemas.openxmlformats.org/officeDocument/2006/relationships" r:id="rId1">
    <sheetNames>
      <sheetName val="Segments"/>
      <sheetName val="submit v. revised"/>
      <sheetName val="Americas"/>
      <sheetName val="EMEA"/>
      <sheetName val="AP"/>
      <sheetName val="Summary - FY09 Compare"/>
      <sheetName val="G&amp;A and R&amp;D"/>
      <sheetName val="Summary"/>
      <sheetName val="Worksheet"/>
      <sheetName val="Inputs"/>
      <sheetName val="reg wksht"/>
      <sheetName val="NATION"/>
      <sheetName val="OLD PRICES"/>
      <sheetName val="aug_data"/>
      <sheetName val="Price Sheet"/>
      <sheetName val="INPUT - Recommended Schedules"/>
      <sheetName val="WB"/>
      <sheetName val="JOB COSTING SHEET ELEC"/>
      <sheetName val="Dist Controls"/>
      <sheetName val="File Settings"/>
      <sheetName val="Forecast"/>
      <sheetName val="Chiller"/>
      <sheetName val="sys_System"/>
      <sheetName val="Admin"/>
      <sheetName val="HyperionEnt"/>
      <sheetName val="BN 01"/>
      <sheetName val="B-3.2 EB"/>
      <sheetName val="Cost summary"/>
      <sheetName val="Bill 3 - Site Works"/>
      <sheetName val="BOQ"/>
      <sheetName val="Cost Sheet"/>
      <sheetName val="Factors"/>
      <sheetName val="CAP"/>
      <sheetName val="A"/>
      <sheetName val="Details"/>
      <sheetName val="Medical"/>
      <sheetName val="Total"/>
      <sheetName val="apr_data"/>
      <sheetName val="Cash Flow Worksheet"/>
      <sheetName val="may_data"/>
      <sheetName val="Cash2"/>
      <sheetName val="Z"/>
      <sheetName val="tables"/>
      <sheetName val="Calc Inputs"/>
      <sheetName val="Ragama"/>
      <sheetName val="内訳書"/>
      <sheetName val="CCTV_EST1"/>
      <sheetName val="INPUT"/>
      <sheetName val="APPT"/>
      <sheetName val="APPT_SGL"/>
      <sheetName val="Phone_Sale"/>
      <sheetName val="BOQ ACMV-MU"/>
      <sheetName val="D"/>
      <sheetName val="G"/>
      <sheetName val="E"/>
      <sheetName val="SE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73.xml><?xml version="1.0" encoding="utf-8"?>
<externalLink xmlns="http://schemas.openxmlformats.org/spreadsheetml/2006/main">
  <externalBook xmlns:r="http://schemas.openxmlformats.org/officeDocument/2006/relationships" r:id="rId1">
    <sheetNames>
      <sheetName val="Instructions  for Rate Entry"/>
      <sheetName val="Summary"/>
      <sheetName val="Bill 1"/>
      <sheetName val="Bill 2"/>
      <sheetName val="Bill 3"/>
      <sheetName val="Bill 4"/>
      <sheetName val="Bill 5"/>
      <sheetName val="Bill 6"/>
      <sheetName val="Bill 7"/>
      <sheetName val="Basis"/>
      <sheetName val="Assumptions"/>
      <sheetName val="@risk rents and incentives"/>
      <sheetName val="Car park lease"/>
      <sheetName val="Net rent analysis"/>
      <sheetName val="Currency"/>
      <sheetName val="Details"/>
      <sheetName val="Div.2"/>
      <sheetName val="boq"/>
      <sheetName val="ancillary"/>
      <sheetName val="REINF-WTM"/>
      <sheetName val="EC(Rev)"/>
      <sheetName val="FitOutConfCentre"/>
      <sheetName val="Bill"/>
      <sheetName val="Trade Summary"/>
      <sheetName val="Zones"/>
      <sheetName val="Final Summary"/>
      <sheetName val="B-2"/>
      <sheetName val="概総括1"/>
      <sheetName val="ANALISYS"/>
      <sheetName val="#REF"/>
      <sheetName val="Factor Sheet"/>
      <sheetName val="Sheet2"/>
      <sheetName val="Cost Factor Sheet"/>
      <sheetName val="Bill 5 - Carpark"/>
      <sheetName val="AEX_IMPORTS"/>
      <sheetName val="주식"/>
      <sheetName val="CERTIFICATE"/>
      <sheetName val="SCHEDULE"/>
      <sheetName val="Fac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74.xml><?xml version="1.0" encoding="utf-8"?>
<externalLink xmlns="http://schemas.openxmlformats.org/spreadsheetml/2006/main">
  <externalBook xmlns:r="http://schemas.openxmlformats.org/officeDocument/2006/relationships" r:id="rId1">
    <sheetNames>
      <sheetName val="INPUT - Recommended Schedules"/>
      <sheetName val="P&amp;L Phasing"/>
      <sheetName val="P&amp;L 06 Regions"/>
      <sheetName val="P&amp;L 07 Regions"/>
      <sheetName val="Revenue_GM by Product"/>
      <sheetName val="Bookings Trend"/>
      <sheetName val="G&amp;A Detail FY07"/>
      <sheetName val="FCF"/>
      <sheetName val=" WC Metrics"/>
      <sheetName val="ROIC"/>
      <sheetName val="Headcount TFS"/>
      <sheetName val="Sheet1"/>
      <sheetName val="Sept 06 fx"/>
      <sheetName val="Targets"/>
      <sheetName val="aug_data"/>
      <sheetName val="OLD PRICES"/>
      <sheetName val="Americas"/>
      <sheetName val="Cost Sheet"/>
      <sheetName val="Factors"/>
      <sheetName val="Sheet2"/>
      <sheetName val="PLT-SUM"/>
      <sheetName val="HyperionEnt"/>
      <sheetName val="d-safe DELUXE"/>
      <sheetName val="sep_data"/>
      <sheetName val="Dist Controls"/>
      <sheetName val="File Settings"/>
      <sheetName val="Forecast"/>
      <sheetName val="Admin"/>
      <sheetName val="Schedules"/>
      <sheetName val="Cash Flow Worksheet"/>
      <sheetName val="B-3.2 EB"/>
      <sheetName val="概総括1"/>
      <sheetName val="Cost Factor Sheet"/>
      <sheetName val="NATION"/>
      <sheetName val="Bill 3 - Site Works"/>
      <sheetName val="Keels-6.2.2014"/>
      <sheetName val="MOS"/>
      <sheetName val="PA"/>
      <sheetName val="Workings"/>
      <sheetName val="AEX_IMPORTS"/>
      <sheetName val="Total"/>
      <sheetName val="jul_data"/>
      <sheetName val="Total Operations"/>
      <sheetName val="White Group"/>
      <sheetName val="apr_data"/>
      <sheetName val="Price Sheet"/>
      <sheetName val="③赤紙(日文)"/>
      <sheetName val="CERTIFICATE"/>
      <sheetName val="금융비용"/>
      <sheetName val="V3100 Prices_Raw"/>
      <sheetName val="CF"/>
      <sheetName val="RSM and Distributors"/>
      <sheetName val="BO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75.xml><?xml version="1.0" encoding="utf-8"?>
<externalLink xmlns="http://schemas.openxmlformats.org/spreadsheetml/2006/main">
  <externalBook xmlns:r="http://schemas.openxmlformats.org/officeDocument/2006/relationships" r:id="rId1">
    <sheetNames>
      <sheetName val="SELL"/>
      <sheetName val="EXCLUDE"/>
      <sheetName val="VENDER"/>
      <sheetName val="sum-sys"/>
      <sheetName val="Summary Item"/>
      <sheetName val="AIR"/>
      <sheetName val="Plumbing"/>
      <sheetName val="Fire"/>
      <sheetName val="Process"/>
      <sheetName val="Outdoor work"/>
      <sheetName val="DETAIL "/>
      <sheetName val="X-042586_Toyota GW Emi(toc)"/>
      <sheetName val="RC.footing"/>
      <sheetName val="covere"/>
      <sheetName val="CR100"/>
      <sheetName val="Sheet1"/>
      <sheetName val="目次"/>
      <sheetName val="SH-A"/>
      <sheetName val="SH-B"/>
      <sheetName val="SH-D"/>
      <sheetName val="SH-E"/>
      <sheetName val="SH-F"/>
      <sheetName val="SH-G"/>
      <sheetName val="SH-C"/>
      <sheetName val="제출계산서"/>
      <sheetName val="SAN REDUCED 1"/>
      <sheetName val="Design"/>
      <sheetName val="Net-Valve-1"/>
      <sheetName val="FR"/>
      <sheetName val="ตารางส่วนลด EE."/>
      <sheetName val="Main Sum (Hotel &amp; Residences)"/>
      <sheetName val="Surface"/>
      <sheetName val="SUM-AIR-Submit"/>
      <sheetName val="S-Curve S.1"/>
      <sheetName val="Summary_Item"/>
      <sheetName val="Outdoor_work"/>
      <sheetName val="DETAIL_"/>
      <sheetName val="RC_footing"/>
      <sheetName val="SAN_REDUCED_1"/>
      <sheetName val="Summary_Item2"/>
      <sheetName val="Outdoor_work2"/>
      <sheetName val="DETAIL_2"/>
      <sheetName val="RC_footing2"/>
      <sheetName val="SAN_REDUCED_12"/>
      <sheetName val="Summary_Item1"/>
      <sheetName val="Outdoor_work1"/>
      <sheetName val="DETAIL_1"/>
      <sheetName val="RC_footing1"/>
      <sheetName val="SAN_REDUCED_11"/>
      <sheetName val="1_Interior L1_L3"/>
      <sheetName val="3.OVERALL"/>
      <sheetName val="Sun_b"/>
      <sheetName val="STRUCTURE"/>
      <sheetName val="見積書"/>
      <sheetName val="splinkler"/>
      <sheetName val="LB020A(月)"/>
      <sheetName val="7251-06540"/>
      <sheetName val="Factor F Data"/>
      <sheetName val="สรุปราคา (EMC)"/>
      <sheetName val="Summary SN FP"/>
      <sheetName val="Wvð"/>
      <sheetName val="2TUP"/>
      <sheetName val="Vehicle Number"/>
      <sheetName val="Summary_Item3"/>
      <sheetName val="Outdoor_work3"/>
      <sheetName val="DETAIL_3"/>
      <sheetName val="RC_footing3"/>
      <sheetName val="X-042586_Toyota_GW_Emi(toc)"/>
      <sheetName val="SAN_REDUCED_13"/>
      <sheetName val="ตารางส่วนลด_EE_"/>
      <sheetName val="S-Curve_S_1"/>
      <sheetName val="Main_Sum_(Hotel_&amp;_Residences)"/>
      <sheetName val="1_Interior_L1_L3"/>
      <sheetName val="3_OVERALL"/>
      <sheetName val="X-042586_Toyota_GW_Emi(toc)1"/>
      <sheetName val="X-042586_Toyota_GW_Emi(toc)2"/>
      <sheetName val="Summary_Item5"/>
      <sheetName val="Outdoor_work5"/>
      <sheetName val="DETAIL_5"/>
      <sheetName val="RC_footing5"/>
      <sheetName val="X-042586_Toyota_GW_Emi(toc)4"/>
      <sheetName val="SAN_REDUCED_15"/>
      <sheetName val="ตารางส่วนลด_EE_2"/>
      <sheetName val="Main_Sum_(Hotel_&amp;_Residences)2"/>
      <sheetName val="1_Interior_L1_L32"/>
      <sheetName val="S-Curve_S_12"/>
      <sheetName val="Summary_Item4"/>
      <sheetName val="Outdoor_work4"/>
      <sheetName val="DETAIL_4"/>
      <sheetName val="RC_footing4"/>
      <sheetName val="X-042586_Toyota_GW_Emi(toc)3"/>
      <sheetName val="SAN_REDUCED_14"/>
      <sheetName val="ตารางส่วนลด_EE_1"/>
      <sheetName val="Main_Sum_(Hotel_&amp;_Residences)1"/>
      <sheetName val="1_Interior_L1_L31"/>
      <sheetName val="S-Curve_S_11"/>
      <sheetName val="ใบปะหน้า-A"/>
      <sheetName val="ใบปะหน้า-B"/>
      <sheetName val="ใบปะหน้า-C"/>
      <sheetName val="Main Summary"/>
      <sheetName val="BK Unit Rate"/>
      <sheetName val="ราคาF6"/>
      <sheetName val="SH_A"/>
      <sheetName val="SH_B"/>
      <sheetName val="SH_E"/>
      <sheetName val="SH_F"/>
      <sheetName val="ภูมิทัศน์"/>
      <sheetName val="Summary"/>
      <sheetName val="磨煤加压"/>
      <sheetName val="21"/>
      <sheetName val="BQ-E20-02(Rp)"/>
      <sheetName val="S3 Architectural"/>
      <sheetName val="建築代価"/>
      <sheetName val="A1.2"/>
      <sheetName val="Summary_Item8"/>
      <sheetName val="Outdoor_work8"/>
      <sheetName val="DETAIL_8"/>
      <sheetName val="RC_footing8"/>
      <sheetName val="X-042586_Toyota_GW_Emi(toc)5"/>
      <sheetName val="SAN_REDUCED_18"/>
      <sheetName val="ตารางส่วนลด_EE_5"/>
      <sheetName val="S-Curve_S_15"/>
      <sheetName val="Main_Sum_(Hotel_&amp;_Residences)5"/>
      <sheetName val="1_Interior_L1_L35"/>
      <sheetName val="3_OVERALL5"/>
      <sheetName val="3_OVERALL1"/>
      <sheetName val="3_OVERALL2"/>
      <sheetName val="Summary_Item6"/>
      <sheetName val="Outdoor_work6"/>
      <sheetName val="DETAIL_6"/>
      <sheetName val="RC_footing6"/>
      <sheetName val="SAN_REDUCED_16"/>
      <sheetName val="ตารางส่วนลด_EE_3"/>
      <sheetName val="S-Curve_S_13"/>
      <sheetName val="Main_Sum_(Hotel_&amp;_Residences)3"/>
      <sheetName val="1_Interior_L1_L33"/>
      <sheetName val="3_OVERALL3"/>
      <sheetName val="Summary_Item7"/>
      <sheetName val="Outdoor_work7"/>
      <sheetName val="DETAIL_7"/>
      <sheetName val="RC_footing7"/>
      <sheetName val="SAN_REDUCED_17"/>
      <sheetName val="ตารางส่วนลด_EE_4"/>
      <sheetName val="S-Curve_S_14"/>
      <sheetName val="Main_Sum_(Hotel_&amp;_Residences)4"/>
      <sheetName val="1_Interior_L1_L34"/>
      <sheetName val="3_OVERALL4"/>
      <sheetName val="ค่าขนส่ง(6ล้อ)"/>
      <sheetName val="ค่าขนส่ง(พ่วง)"/>
      <sheetName val="Mat"/>
      <sheetName val="boq"/>
      <sheetName val="BQ1-Type A"/>
      <sheetName val="stair"/>
      <sheetName val="footing"/>
      <sheetName val="BOQ1 (2)"/>
      <sheetName val="area converter"/>
      <sheetName val="Summary_SN_FP"/>
      <sheetName val="Site Expenses"/>
      <sheetName val="Unit rate Architecture"/>
      <sheetName val="   合同台账  "/>
      <sheetName val="成本动态台帐"/>
      <sheetName val="Référentiel"/>
      <sheetName val="SUM-MAT"/>
      <sheetName val="Resi. Areas"/>
      <sheetName val="ราคารวม"/>
      <sheetName val="สรุป_EMC"/>
      <sheetName val="Kmit cover"/>
      <sheetName val="FSW"/>
      <sheetName val="Prosum"/>
      <sheetName val="Sheet2"/>
      <sheetName val="แบบ A"/>
      <sheetName val="แบบ B"/>
      <sheetName val="แบบ C"/>
      <sheetName val="แบบ D"/>
      <sheetName val="แบบ E"/>
      <sheetName val="แบบ G"/>
      <sheetName val="แบบ H"/>
      <sheetName val="แบบ L"/>
      <sheetName val="แบบ M"/>
      <sheetName val="แบบ N"/>
      <sheetName val="แบบ P"/>
      <sheetName val="แบบ S"/>
      <sheetName val="แบบ T"/>
      <sheetName val="แบบ TP"/>
      <sheetName val="แบบ V"/>
      <sheetName val="แบบ Y"/>
      <sheetName val="PL"/>
      <sheetName val="Data"/>
      <sheetName val="要員計画（旧）"/>
      <sheetName val="Bill No. 2 - Carpark"/>
      <sheetName val="LpC"/>
      <sheetName val="SOR"/>
      <sheetName val="Main Sum _Hotel _ Residences_"/>
      <sheetName val="PROG-1"/>
      <sheetName val="MTL$-INTER"/>
      <sheetName val="วัดใต้"/>
      <sheetName val="สรุปราคาค่าก่อสร้าง_EMC"/>
      <sheetName val="Super"/>
      <sheetName val="Build Up rate"/>
      <sheetName val="CF Input"/>
      <sheetName val="Certificates"/>
      <sheetName val="DATA INPUT"/>
      <sheetName val="LOP current status"/>
      <sheetName val="2.2a&amp;i"/>
      <sheetName val="ob_complete"/>
      <sheetName val="Tax Expense"/>
      <sheetName val="งานระบบไฟฟ้าและสื่อสาร"/>
      <sheetName val="ประมาณการประตูหน้าต่าง "/>
      <sheetName val="STAIR-A"/>
      <sheetName val="Criteria"/>
      <sheetName val="FitOutConfCentre"/>
      <sheetName val="EXF"/>
      <sheetName val="Lookup data"/>
      <sheetName val="Solieu"/>
      <sheetName val=" Factor  "/>
      <sheetName val="Histry Price"/>
      <sheetName val="Calendar"/>
      <sheetName val="BOX Cryostat Details"/>
      <sheetName val="Driver Linac Layout"/>
      <sheetName val="Inputs"/>
      <sheetName val="Magnet Details"/>
      <sheetName val="GAE8'97"/>
      <sheetName val="Fac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Set>
  </externalBook>
</externalLink>
</file>

<file path=xl/externalLinks/externalLink76.xml><?xml version="1.0" encoding="utf-8"?>
<externalLink xmlns="http://schemas.openxmlformats.org/spreadsheetml/2006/main">
  <externalBook xmlns:r="http://schemas.openxmlformats.org/officeDocument/2006/relationships" r:id="rId1">
    <sheetNames>
      <sheetName val="QSU-53"/>
      <sheetName val="APP. B"/>
      <sheetName val="App. A(contd)"/>
      <sheetName val="App. A2"/>
      <sheetName val="App. L Prilims"/>
      <sheetName val="BOQ"/>
      <sheetName val="App. C"/>
      <sheetName val="App. C (2)"/>
      <sheetName val="App. C (3)"/>
      <sheetName val="App. C (4)"/>
      <sheetName val="App. C (5)"/>
      <sheetName val="Vari"/>
      <sheetName val="TDS1"/>
      <sheetName val="TDS2"/>
      <sheetName val="Finish"/>
      <sheetName val="Plu"/>
      <sheetName val="Extra"/>
      <sheetName val="Rebar"/>
      <sheetName val="Bound"/>
      <sheetName val="Provisional sums-External works"/>
      <sheetName val="App. L Shell Structure"/>
      <sheetName val="Progress"/>
      <sheetName val="App. E 1 "/>
      <sheetName val="App. E  (2)"/>
      <sheetName val="Annex 1"/>
      <sheetName val="App. Con"/>
      <sheetName val="App. Con (2)"/>
      <sheetName val="Sheet1"/>
      <sheetName val="Bill 1"/>
      <sheetName val="Bill 2"/>
      <sheetName val="Bill 3"/>
      <sheetName val="Bill 4"/>
      <sheetName val="Bill 5"/>
      <sheetName val="Bill 6"/>
      <sheetName val="Bill 7"/>
      <sheetName val="Title"/>
      <sheetName val="Cost Factor Sheet"/>
      <sheetName val="Admin"/>
      <sheetName val="Ra  stair"/>
      <sheetName val="Price Sheet"/>
      <sheetName val="Details"/>
      <sheetName val="GIAVLIEU"/>
      <sheetName val="Det Import"/>
      <sheetName val="Factors"/>
      <sheetName val="Raw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77.xml><?xml version="1.0" encoding="utf-8"?>
<externalLink xmlns="http://schemas.openxmlformats.org/spreadsheetml/2006/main">
  <externalBook xmlns:r="http://schemas.openxmlformats.org/officeDocument/2006/relationships" r:id="rId1">
    <sheetNames>
      <sheetName val="BOC-CIVIL_Preambles"/>
      <sheetName val="Summary"/>
      <sheetName val="4.1 BOC-CIVIL_CLE"/>
      <sheetName val="CLE "/>
      <sheetName val="CLE RC"/>
      <sheetName val="STEEL STRUCTURE"/>
      <sheetName val="C2fell tree"/>
      <sheetName val="OTHERS"/>
      <sheetName val="finishes"/>
      <sheetName val="ARER"/>
      <sheetName val="BUR"/>
      <sheetName val=" Factor  "/>
      <sheetName val="Histry Price"/>
      <sheetName val="Calendar"/>
      <sheetName val="Cov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8.xml><?xml version="1.0" encoding="utf-8"?>
<externalLink xmlns="http://schemas.openxmlformats.org/spreadsheetml/2006/main">
  <externalBook xmlns:r="http://schemas.openxmlformats.org/officeDocument/2006/relationships" r:id="rId1">
    <sheetNames>
      <sheetName val="Ex summery"/>
      <sheetName val="Preliminary"/>
      <sheetName val="BOQ_PA _analogue"/>
      <sheetName val="AEX_IMPORTS_on 320"/>
      <sheetName val="Local+Labour_analogue"/>
      <sheetName val="wiring &amp; cable tray"/>
      <sheetName val="Cable_Takeoff"/>
      <sheetName val="Total + 20% (2)"/>
      <sheetName val="DIMO Expenses (2)"/>
      <sheetName val="BOQ_PA"/>
      <sheetName val="App. A(contd)"/>
      <sheetName val="RW_Option"/>
      <sheetName val="Structural work"/>
      <sheetName val="Electrical Systems"/>
      <sheetName val="Plumbing Systems"/>
      <sheetName val="Air Conditioning"/>
      <sheetName val="External work"/>
      <sheetName val="Factors"/>
      <sheetName val="CERTIFICATE"/>
      <sheetName val="RESOURCES"/>
      <sheetName val="BASIC RATES"/>
      <sheetName val="Equipment Schedule"/>
      <sheetName val="Workings"/>
      <sheetName val="Take-Off"/>
      <sheetName val="SubmitCal"/>
      <sheetName val="주식"/>
      <sheetName val="1-G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9.xml><?xml version="1.0" encoding="utf-8"?>
<externalLink xmlns="http://schemas.openxmlformats.org/spreadsheetml/2006/main">
  <externalBook xmlns:r="http://schemas.openxmlformats.org/officeDocument/2006/relationships" r:id="rId1">
    <sheetNames>
      <sheetName val="laroux"/>
      <sheetName val="Factors"/>
      <sheetName val="VVa"/>
      <sheetName val="BOQ Com (2)"/>
      <sheetName val="Rate analysis 1"/>
      <sheetName val="Rate analysis 2"/>
      <sheetName val="Sheet1"/>
      <sheetName val="EStimate"/>
      <sheetName val="Schedules"/>
      <sheetName val="Chiller"/>
      <sheetName val="inter"/>
      <sheetName val="B-2"/>
      <sheetName val="MACHINERY"/>
      <sheetName val="MATERIAL"/>
      <sheetName val="SUBCON OR OTHER"/>
      <sheetName val="Sheet2"/>
      <sheetName val="Bill 5 - Carpark"/>
      <sheetName val="BQMPALOC"/>
      <sheetName val="BOQ"/>
      <sheetName val="기계내역서"/>
      <sheetName val="D_Cntnts"/>
      <sheetName val="E_Summary"/>
      <sheetName val="Cover"/>
      <sheetName val="BOQ PL"/>
      <sheetName val="Ele Price"/>
      <sheetName val="costing sheet"/>
      <sheetName val="SSuppliers"/>
      <sheetName val="NATION"/>
      <sheetName val="Furniture"/>
      <sheetName val="Summary"/>
      <sheetName val="HyperionEnt"/>
      <sheetName val="Americas"/>
      <sheetName val="Price Sheet"/>
      <sheetName val="Total Operations"/>
      <sheetName val="White Group"/>
      <sheetName val="Cash Flow Worksheet"/>
      <sheetName val="Cash2"/>
      <sheetName val="Z"/>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80.xml><?xml version="1.0" encoding="utf-8"?>
<externalLink xmlns="http://schemas.openxmlformats.org/spreadsheetml/2006/main">
  <externalBook xmlns:r="http://schemas.openxmlformats.org/officeDocument/2006/relationships" r:id="rId1">
    <sheetNames>
      <sheetName val="Calendar"/>
      <sheetName val="FINANCING"/>
      <sheetName val="#REF"/>
      <sheetName val="PRICES"/>
      <sheetName val="OVERHEADS"/>
      <sheetName val="Calendaruseful"/>
      <sheetName val="UG PIPING"/>
      <sheetName val="DETAIL "/>
      <sheetName val=" Factor  "/>
      <sheetName val="Histry Price"/>
      <sheetName val="BUR"/>
      <sheetName val="b_balju"/>
      <sheetName val="Schedu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1.xml><?xml version="1.0" encoding="utf-8"?>
<externalLink xmlns="http://schemas.openxmlformats.org/spreadsheetml/2006/main">
  <externalBook xmlns:r="http://schemas.openxmlformats.org/officeDocument/2006/relationships" r:id="rId1">
    <sheetNames>
      <sheetName val="0000"/>
      <sheetName val="JOB COSTING SHEET HVAC"/>
      <sheetName val="SUMMARY"/>
      <sheetName val="HVAC."/>
      <sheetName val="JOB COSTING SHEET ELEC"/>
      <sheetName val="bar wt."/>
      <sheetName val="BR"/>
      <sheetName val="제출내역 (2)"/>
      <sheetName val="#REF"/>
      <sheetName val="Chiller"/>
      <sheetName val="B-2"/>
      <sheetName val="Sheet2"/>
      <sheetName val="Detail"/>
      <sheetName val="CASH"/>
      <sheetName val="CCTV_EST1"/>
      <sheetName val="BOM"/>
      <sheetName val="ID Office-R1 - 23.8.2012"/>
      <sheetName val="Schnieder Price List-July 2012"/>
      <sheetName val="Cost Factor Sheet"/>
      <sheetName val="Load Sch, Cable Sel &amp; Qty"/>
      <sheetName val="Factor Sheet"/>
      <sheetName val="Price Sheet"/>
      <sheetName val="Sheet1"/>
      <sheetName val="Super"/>
      <sheetName val="B-3.2 EB"/>
      <sheetName val="Ragama"/>
      <sheetName val="A"/>
      <sheetName val="Input"/>
      <sheetName val="APPT"/>
      <sheetName val="APPT_SGL"/>
      <sheetName val="Phone_Sale"/>
      <sheetName val="4"/>
      <sheetName val="Bill 3 - Site Works"/>
      <sheetName val="Americas"/>
      <sheetName val="PLT-SUM"/>
      <sheetName val="PRECAST lightconc-II"/>
      <sheetName val="D_Cntnts"/>
      <sheetName val="E_Summary"/>
      <sheetName val="Factors"/>
      <sheetName val="Cost Sheet"/>
      <sheetName val="CASHFLOW"/>
      <sheetName val="PLUMBING WORK ADDITIONS"/>
      <sheetName val="HyperionEnt"/>
      <sheetName val="Material Prices"/>
      <sheetName val="BN 01"/>
      <sheetName val="SCHEDULE"/>
      <sheetName val="Keels-6.2.2014"/>
      <sheetName val="FlowHmgma Grds-9.7.2013-details"/>
      <sheetName val="INPUT - Recommended Schedules"/>
      <sheetName val="Admin"/>
      <sheetName val="Prior_CM"/>
      <sheetName val="Civil Works"/>
      <sheetName val="Price"/>
      <sheetName val="BOQ"/>
      <sheetName val="Cash Flow Worksheet"/>
      <sheetName val="NonPerp"/>
      <sheetName val="Perp"/>
      <sheetName val="Room Type"/>
      <sheetName val="Basement2 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2.xml><?xml version="1.0" encoding="utf-8"?>
<externalLink xmlns="http://schemas.openxmlformats.org/spreadsheetml/2006/main">
  <externalBook xmlns:r="http://schemas.openxmlformats.org/officeDocument/2006/relationships" r:id="rId1">
    <sheetNames>
      <sheetName val="jul_data"/>
      <sheetName val="aug_data"/>
      <sheetName val="sep_data"/>
      <sheetName val="SUMMARY"/>
      <sheetName val="Q4 Ops"/>
      <sheetName val="July Ops"/>
      <sheetName val="Aug Ops"/>
      <sheetName val="Sep Ops"/>
      <sheetName val="Cost Sheet"/>
      <sheetName val="Factors"/>
      <sheetName val="Variables"/>
      <sheetName val="NATION"/>
      <sheetName val="APPT"/>
      <sheetName val="APPT_SGL"/>
      <sheetName val="Phone_Sale"/>
      <sheetName val="Americas"/>
      <sheetName val="A"/>
      <sheetName val="may_data"/>
      <sheetName val="Admin"/>
      <sheetName val="Sheet3"/>
      <sheetName val="SLS CM"/>
      <sheetName val="INPUT - Recommended Schedules"/>
      <sheetName val="CCTV_EST1"/>
      <sheetName val="RSM and Distributors"/>
      <sheetName val="B-2"/>
      <sheetName val="Sheet2"/>
      <sheetName val="Price Sheet"/>
      <sheetName val="D_Cntnts"/>
      <sheetName val="E_Summary"/>
      <sheetName val="Total Operations"/>
      <sheetName val="White Group"/>
      <sheetName val="Zones"/>
      <sheetName val="Furniture"/>
      <sheetName val="JOB COSTING SHEET ELEC"/>
      <sheetName val="Bill 04 - water supply tb "/>
      <sheetName val="Cost Summary"/>
      <sheetName val="CAP"/>
      <sheetName val="apr_data"/>
      <sheetName val="Cash Flow Worksheet"/>
      <sheetName val="1A"/>
      <sheetName val="BOQ"/>
      <sheetName val="JOB COSTING SHEET HVAC"/>
      <sheetName val="Oracle Account Master"/>
      <sheetName val="Cover"/>
      <sheetName val="BQMPALO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3.xml><?xml version="1.0" encoding="utf-8"?>
<externalLink xmlns="http://schemas.openxmlformats.org/spreadsheetml/2006/main">
  <externalBook xmlns:r="http://schemas.openxmlformats.org/officeDocument/2006/relationships" r:id="rId1">
    <sheetNames>
      <sheetName val="LETTER"/>
      <sheetName val="GENERAL SUMMARY"/>
      <sheetName val="PLUMBING WORK ADDITIONS"/>
      <sheetName val="PLUMBING WORK OMISSIONS"/>
      <sheetName val="D.I.MANHOLE COVER."/>
      <sheetName val="ACO FULBORA - GRATING"/>
      <sheetName val="Homagama Grounds-9.7.2013"/>
      <sheetName val="BOI - Katunayaka-9.8.2013"/>
      <sheetName val="Price Sheet"/>
      <sheetName val="D_Cntnts"/>
      <sheetName val="E_Summary"/>
      <sheetName val=" Factor  "/>
      <sheetName val="Histry Price"/>
      <sheetName val="B-2"/>
      <sheetName val="Factors"/>
      <sheetName val="BOQ PL"/>
      <sheetName val="Ele Price"/>
      <sheetName val="Cost Sheet"/>
      <sheetName val="PRECAST lightconc-II"/>
      <sheetName val="GENERAL_SUMMARY"/>
      <sheetName val="PLUMBING_WORK_ADDITIONS"/>
      <sheetName val="PLUMBING_WORK_OMISSIONS"/>
      <sheetName val="D_I_MANHOLE_COVER_"/>
      <sheetName val="ACO_FULBORA_-_GRATING"/>
      <sheetName val="Homagama_Grounds-9_7_2013"/>
      <sheetName val="BOI_-_Katunayaka-9_8_2013"/>
      <sheetName val="Price_Sheet"/>
      <sheetName val="_Factor__"/>
      <sheetName val="Histry_Price"/>
      <sheetName val="GENERAL_SUMMARY1"/>
      <sheetName val="PLUMBING_WORK_ADDITIONS1"/>
      <sheetName val="PLUMBING_WORK_OMISSIONS1"/>
      <sheetName val="D_I_MANHOLE_COVER_1"/>
      <sheetName val="ACO_FULBORA_-_GRATING1"/>
      <sheetName val="Homagama_Grounds-9_7_20131"/>
      <sheetName val="BOI_-_Katunayaka-9_8_20131"/>
      <sheetName val="Price_Sheet1"/>
      <sheetName val="_Factor__1"/>
      <sheetName val="Histry_Price1"/>
      <sheetName val="BOQ_PL"/>
      <sheetName val="Ele_Price"/>
      <sheetName val="Cost_Sheet"/>
      <sheetName val="PRECAST_lightconc-II"/>
      <sheetName val="GENERAL_SUMMARY2"/>
      <sheetName val="PLUMBING_WORK_ADDITIONS2"/>
      <sheetName val="PLUMBING_WORK_OMISSIONS2"/>
      <sheetName val="D_I_MANHOLE_COVER_2"/>
      <sheetName val="ACO_FULBORA_-_GRATING2"/>
      <sheetName val="Homagama_Grounds-9_7_20132"/>
      <sheetName val="BOI_-_Katunayaka-9_8_20132"/>
      <sheetName val="Price_Sheet2"/>
      <sheetName val="_Factor__2"/>
      <sheetName val="Histry_Price2"/>
      <sheetName val="BOQ_PL1"/>
      <sheetName val="Ele_Price1"/>
      <sheetName val="Cost_Sheet1"/>
      <sheetName val="PRECAST_lightconc-II1"/>
      <sheetName val="Sheet2"/>
      <sheetName val="Zones"/>
      <sheetName val="Factor Sheet"/>
      <sheetName val="Cost Factor Sheet"/>
      <sheetName val="Bill 3 - Site Works"/>
      <sheetName val="INPUT - Recommended Schedules"/>
      <sheetName val="Rate analysis 1"/>
      <sheetName val="Summary"/>
      <sheetName val="Analisa &amp; Upah"/>
      <sheetName val="RW_Option"/>
      <sheetName val="Structural work"/>
      <sheetName val="Electrical Systems"/>
      <sheetName val="Plumbing Systems"/>
      <sheetName val="Air Conditioning"/>
      <sheetName val="External work"/>
      <sheetName val="BOQ"/>
      <sheetName val="35"/>
      <sheetName val="Load Sch, Cable Sel &amp; Qty"/>
      <sheetName val="FACTOR I"/>
      <sheetName val="ID Office-R1 - 23.8.2012"/>
      <sheetName val="Schnieder Price List-July 2012"/>
      <sheetName val="Keels-6.2.2014"/>
      <sheetName val="FlowHmgma Grds-9.7.2013-details"/>
      <sheetName val="Daf 1"/>
      <sheetName val="CASHFLOW"/>
      <sheetName val="Americas"/>
      <sheetName val="Ragama"/>
      <sheetName val="ANALISYS"/>
      <sheetName val="#REF"/>
      <sheetName val="Room Type"/>
      <sheetName val="Basement2 DB"/>
      <sheetName val="4"/>
      <sheetName val="LS Price List"/>
      <sheetName val="Price"/>
      <sheetName val="3C"/>
      <sheetName val="Cash2"/>
      <sheetName val="z"/>
      <sheetName val="analysis"/>
      <sheetName val="Det Import"/>
      <sheetName val="AEX_IMPORTS_on 320"/>
      <sheetName val="BK Unit Rate"/>
      <sheetName val="Rate Sheet"/>
      <sheetName val="D"/>
      <sheetName val="G"/>
      <sheetName val="E"/>
      <sheetName val="aug_data"/>
      <sheetName val="AU Zone"/>
      <sheetName val="RATE"/>
      <sheetName val="tables"/>
      <sheetName val="G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84.xml><?xml version="1.0" encoding="utf-8"?>
<externalLink xmlns="http://schemas.openxmlformats.org/spreadsheetml/2006/main">
  <externalBook xmlns:r="http://schemas.openxmlformats.org/officeDocument/2006/relationships" r:id="rId1">
    <sheetNames>
      <sheetName val="Beg"/>
      <sheetName val="5Pg P&amp;L"/>
      <sheetName val="YTDComp"/>
      <sheetName val="MthlyComp"/>
      <sheetName val="Trend"/>
      <sheetName val="Sales Prod"/>
      <sheetName val="Closeouts"/>
      <sheetName val="Manpower"/>
      <sheetName val="SAB101"/>
      <sheetName val="SAB101(Exp)"/>
      <sheetName val="SumPNL"/>
      <sheetName val="SumSP"/>
      <sheetName val="Trend Sum"/>
      <sheetName val="Resi COA"/>
      <sheetName val="Comm COA"/>
      <sheetName val="Resi Install"/>
      <sheetName val="Comm Install"/>
      <sheetName val="Conv Install"/>
      <sheetName val="Resi Sales"/>
      <sheetName val="Comm Sales"/>
      <sheetName val="Input"/>
      <sheetName val="Trial Balance"/>
      <sheetName val="HyperionEnt"/>
      <sheetName val="Dist Controls"/>
      <sheetName val="File Settings"/>
      <sheetName val="Forecast"/>
      <sheetName val="Lookup"/>
      <sheetName val="Schedules"/>
      <sheetName val="Backlog Consol"/>
      <sheetName val="data"/>
      <sheetName val="Sheet1"/>
      <sheetName val="Exchange Rates(rounded)"/>
      <sheetName val="Summary"/>
      <sheetName val="RESOURCES"/>
      <sheetName val="BASIC RATES"/>
      <sheetName val="CQ by Entity"/>
      <sheetName val="FY by Entity"/>
      <sheetName val="INDEX"/>
      <sheetName val="NQ by Entity"/>
      <sheetName val="CQ Bridge"/>
      <sheetName val="CQ Orders"/>
      <sheetName val="Org Growth"/>
      <sheetName val="Monthly Trend Act MOR pv"/>
      <sheetName val="NEW PRODUCT SALES FORCE"/>
      <sheetName val="Legend"/>
      <sheetName val="Database"/>
      <sheetName val="Date Ranges"/>
      <sheetName val="JOB COSTING SHEET HVAC"/>
      <sheetName val="Admin"/>
      <sheetName val="Prior_CM"/>
      <sheetName val="OLD PRICES"/>
      <sheetName val="Cover"/>
      <sheetName val="Factors &amp; Temp Calc"/>
      <sheetName val="Bill 5 - Carpark"/>
      <sheetName val="RSM and Distributors"/>
      <sheetName val="Assumptions"/>
      <sheetName val="may_data"/>
      <sheetName val="Keels-6.2.2014"/>
      <sheetName val="BQMPALOC"/>
      <sheetName val="Cost summary"/>
      <sheetName val="Cost Sheet"/>
      <sheetName val="INPUT - Recommended Schedules"/>
      <sheetName val="Fac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85.xml><?xml version="1.0" encoding="utf-8"?>
<externalLink xmlns="http://schemas.openxmlformats.org/spreadsheetml/2006/main">
  <externalBook xmlns:r="http://schemas.openxmlformats.org/officeDocument/2006/relationships" r:id="rId1">
    <sheetNames>
      <sheetName val="SCHEDULE"/>
      <sheetName val="Shape Codes"/>
      <sheetName val="Database"/>
      <sheetName val="Help"/>
      <sheetName val="Setup"/>
      <sheetName val="About"/>
      <sheetName val="More"/>
      <sheetName val="page"/>
      <sheetName val="Info"/>
      <sheetName val="check"/>
      <sheetName val="schedule nos"/>
      <sheetName val="FitOutConfCentre"/>
      <sheetName val="Competitors"/>
      <sheetName val="AEX_IMPORTS_on 320"/>
      <sheetName val="Architectural works"/>
      <sheetName val="HyperionEnt"/>
      <sheetName val="Details"/>
      <sheetName val="1-G1"/>
      <sheetName val="PA"/>
      <sheetName val="Workings"/>
      <sheetName val="AEX_IMPORTS"/>
      <sheetName val="Factors"/>
      <sheetName val="Building's PA"/>
      <sheetName val="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86.xml><?xml version="1.0" encoding="utf-8"?>
<externalLink xmlns="http://schemas.openxmlformats.org/spreadsheetml/2006/main">
  <externalBook xmlns:r="http://schemas.openxmlformats.org/officeDocument/2006/relationships" r:id="rId1">
    <sheetNames>
      <sheetName val="Instructions"/>
      <sheetName val="Check"/>
      <sheetName val="Admin"/>
      <sheetName val="FY04 Total Inv"/>
      <sheetName val="FY04 Elec Inv"/>
      <sheetName val="FY04Mech Inv"/>
      <sheetName val="Total_Inv"/>
      <sheetName val="Perp"/>
      <sheetName val="NonPerp"/>
      <sheetName val="RIF Source"/>
      <sheetName val="SPA"/>
      <sheetName val="Graph Data"/>
      <sheetName val="Org. Chart"/>
      <sheetName val="Market Position"/>
      <sheetName val="Market Strategy"/>
      <sheetName val="Key Customers &amp; Proj"/>
      <sheetName val="Contract Sales Reps"/>
      <sheetName val="Ace Pipeline"/>
      <sheetName val="Service Sales Reps "/>
      <sheetName val="Operational Process"/>
      <sheetName val="(1) Headcount"/>
      <sheetName val="(2) Elec Contract YTD"/>
      <sheetName val="(3) Elec Contract FY"/>
      <sheetName val="(4) Sprinkler Contract YTD"/>
      <sheetName val="(5) Sprinkler Contract FY"/>
      <sheetName val="(6) RIF"/>
      <sheetName val="(7) Elec Service YTD"/>
      <sheetName val="(8) Elec Service FY"/>
      <sheetName val="(9) Sprinkler Service YTD"/>
      <sheetName val="(10) Sprinkler Service FY"/>
      <sheetName val="(11) Suppression YTD"/>
      <sheetName val="(12) Suppression FY"/>
      <sheetName val="(13) SGA"/>
      <sheetName val="(14) P&amp;L MTD"/>
      <sheetName val="(15) P&amp;LYTD"/>
      <sheetName val="(16) P&amp;L Qtr Fcst"/>
      <sheetName val="(17) P&amp;L Full Year Fcst"/>
      <sheetName val="(18) Bookings"/>
      <sheetName val="(19) Backlog"/>
      <sheetName val="(20) Bklg Turns"/>
      <sheetName val="(21) Rev Chart"/>
      <sheetName val="(22) GM Chart"/>
      <sheetName val="(23) Product Line Chart"/>
      <sheetName val="(24) Backlog Including TIP $"/>
      <sheetName val="(25) Overtime "/>
      <sheetName val="(26) Cash Flow AR "/>
      <sheetName val="(27) Accounts Payable"/>
      <sheetName val="(28) Cash Flow_CIP"/>
      <sheetName val="VRP"/>
      <sheetName val="Cash Flow_AR (Cont)"/>
      <sheetName val="Cash Flow_Inv"/>
      <sheetName val="Six Sigma"/>
      <sheetName val="Safety"/>
      <sheetName val="R &amp; O Template"/>
      <sheetName val="Bridge"/>
      <sheetName val="Bill 5 - Carpark"/>
      <sheetName val="Electrical"/>
      <sheetName val="JOB COSTING SHEET HVAC"/>
      <sheetName val="Sheet2"/>
      <sheetName val="Backlog Consol"/>
      <sheetName val="A"/>
      <sheetName val="13A"/>
      <sheetName val="Input"/>
      <sheetName val="Price"/>
      <sheetName val="AU Zone"/>
      <sheetName val="HyperionEnt"/>
      <sheetName val="apr_data"/>
      <sheetName val="概総括1"/>
      <sheetName val="D"/>
      <sheetName val="G"/>
      <sheetName val="E"/>
      <sheetName val="INPUT - Recommended Schedules"/>
      <sheetName val="RBD"/>
      <sheetName val="Histry Price"/>
      <sheetName val="BOM"/>
      <sheetName val="Factors"/>
      <sheetName val="Rate analysis 1"/>
      <sheetName val="PLUMBING WORK ADDITIONS"/>
      <sheetName val="基本ﾃﾞｰﾀ"/>
      <sheetName val="NATION"/>
      <sheetName val="BOQ"/>
      <sheetName val="Furniture"/>
      <sheetName val="sep_data"/>
      <sheetName val="CQ by Entity"/>
      <sheetName val="FY by Entity"/>
      <sheetName val="INDEX"/>
      <sheetName val="NQ by Entity"/>
      <sheetName val="CQ Bridge"/>
      <sheetName val="CQ Orders"/>
      <sheetName val="Org Growth"/>
      <sheetName val="Monthly Trend Act MOR p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Set>
  </externalBook>
</externalLink>
</file>

<file path=xl/externalLinks/externalLink87.xml><?xml version="1.0" encoding="utf-8"?>
<externalLink xmlns="http://schemas.openxmlformats.org/spreadsheetml/2006/main">
  <externalBook xmlns:r="http://schemas.openxmlformats.org/officeDocument/2006/relationships" r:id="rId1">
    <sheetNames>
      <sheetName val="CIF-Proposal"/>
      <sheetName val="Det Import"/>
      <sheetName val="SCHEDULE"/>
      <sheetName val="OLD PRICES"/>
      <sheetName val="Price Sheet"/>
      <sheetName val="Equipment Schedule"/>
      <sheetName val="Workings"/>
      <sheetName val="Take-Off"/>
      <sheetName val="AEX_IMPORTS"/>
      <sheetName val="ANALISYS"/>
      <sheetName val="#REF"/>
      <sheetName val="주식"/>
      <sheetName val="#3E1_GCR"/>
      <sheetName val="FAC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88.xml><?xml version="1.0" encoding="utf-8"?>
<externalLink xmlns="http://schemas.openxmlformats.org/spreadsheetml/2006/main">
  <externalBook xmlns:r="http://schemas.openxmlformats.org/officeDocument/2006/relationships" r:id="rId1">
    <sheetNames>
      <sheetName val="Tender BOQ"/>
      <sheetName val="AEX_IMPORTS_gen"/>
      <sheetName val="Local+Labour"/>
      <sheetName val="costing for cabling "/>
      <sheetName val="Building's PA"/>
      <sheetName val="SubmitCal"/>
      <sheetName val="Electrical"/>
      <sheetName val="PA"/>
      <sheetName val="Workings"/>
      <sheetName val="AEX_IMPORTS"/>
      <sheetName val="CERTIFICATE"/>
      <sheetName val="App. A(contd)"/>
      <sheetName val="CF"/>
      <sheetName val="Bill 1"/>
      <sheetName val="Bill 2"/>
      <sheetName val="Bill 3"/>
      <sheetName val="Bill 4"/>
      <sheetName val="Bill 5"/>
      <sheetName val="Bill 6"/>
      <sheetName val="Bill 7"/>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89.xml><?xml version="1.0" encoding="utf-8"?>
<externalLink xmlns="http://schemas.openxmlformats.org/spreadsheetml/2006/main">
  <externalBook xmlns:r="http://schemas.openxmlformats.org/officeDocument/2006/relationships" r:id="rId1">
    <sheetNames>
      <sheetName val="CARPARK"/>
      <sheetName val="Summary"/>
      <sheetName val="Grand Summary"/>
      <sheetName val="GS1"/>
      <sheetName val="1A"/>
      <sheetName val="Any Other Works"/>
      <sheetName val="1B"/>
      <sheetName val="1C"/>
      <sheetName val="1D "/>
      <sheetName val="GS2"/>
      <sheetName val="2A"/>
      <sheetName val="2B "/>
      <sheetName val="2C"/>
      <sheetName val="2D"/>
      <sheetName val="2E"/>
      <sheetName val="GS3"/>
      <sheetName val="3A"/>
      <sheetName val="3B"/>
      <sheetName val="GS4"/>
      <sheetName val="4A"/>
      <sheetName val="4B"/>
      <sheetName val="4C"/>
      <sheetName val="4D"/>
      <sheetName val="Capital cost (Sep16)"/>
      <sheetName val="4E"/>
      <sheetName val="5D"/>
      <sheetName val="CCTV_EST1"/>
      <sheetName val="Factors"/>
      <sheetName val="Dist Controls"/>
      <sheetName val="File Settings"/>
      <sheetName val="Forecast"/>
      <sheetName val="Backlog Consol"/>
      <sheetName val="BOM"/>
      <sheetName val="Schedules"/>
      <sheetName val="Cctmst"/>
      <sheetName val="Admin"/>
      <sheetName val="Americas"/>
      <sheetName val="Cost Factor Sheet"/>
      <sheetName val="Load Sch, Cable Sel &amp; Qty"/>
      <sheetName val="Factor Sheet"/>
      <sheetName val="Price Sheet"/>
      <sheetName val="JOB COSTING SHEET HVAC"/>
      <sheetName val="MOS"/>
      <sheetName val="ACS(1)"/>
      <sheetName val="CCTV(old)"/>
      <sheetName val="aug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90.xml><?xml version="1.0" encoding="utf-8"?>
<externalLink xmlns="http://schemas.openxmlformats.org/spreadsheetml/2006/main">
  <externalBook xmlns:r="http://schemas.openxmlformats.org/officeDocument/2006/relationships" r:id="rId1">
    <sheetNames>
      <sheetName val="Inputs"/>
      <sheetName val="Update"/>
      <sheetName val="Driver Linac Layout"/>
      <sheetName val="BOX Cryostat Details"/>
      <sheetName val="Magnet Details"/>
      <sheetName val="DETAIL "/>
      <sheetName val="간선계산"/>
      <sheetName val="Bldg"/>
      <sheetName val="입찰안"/>
      <sheetName val="Calendar"/>
      <sheetName val="Driver_Linac_Layout"/>
      <sheetName val="BOX_Cryostat_Details"/>
      <sheetName val="Magnet_Details"/>
      <sheetName val=" Factor  "/>
      <sheetName val="Histry Price"/>
      <sheetName val="Hauling"/>
      <sheetName val="SH-G"/>
      <sheetName val="SH-C"/>
      <sheetName val="SH-F"/>
      <sheetName val="SH-A"/>
      <sheetName val="Total"/>
      <sheetName val="Summary All"/>
      <sheetName val="03100(SS)"/>
      <sheetName val="Arch"/>
      <sheetName val=" "/>
      <sheetName val="Summary"/>
      <sheetName val="รวมราคาทั้งสิ้น"/>
      <sheetName val="Mat"/>
      <sheetName val="name"/>
      <sheetName val="clg fin"/>
      <sheetName val="PC, G.Slab"/>
      <sheetName val="timber frame"/>
      <sheetName val="Rif_Col"/>
      <sheetName val="Wall Qty"/>
      <sheetName val="Col"/>
      <sheetName val="Flr, Rf Bm"/>
      <sheetName val="wall fin"/>
      <sheetName val="Driver_Linac_Layout1"/>
      <sheetName val="BOX_Cryostat_Details1"/>
      <sheetName val="Magnet_Details1"/>
      <sheetName val="DETAIL_"/>
      <sheetName val="Summary_All"/>
      <sheetName val="ภูมิทัศน์"/>
      <sheetName val="_"/>
      <sheetName val="Driver_Linac_Layout2"/>
      <sheetName val="BOX_Cryostat_Details2"/>
      <sheetName val="Magnet_Details2"/>
      <sheetName val="DETAIL_1"/>
      <sheetName val="Summary_All1"/>
      <sheetName val="_1"/>
      <sheetName val="Main Sum (Hotel &amp; Residences)"/>
      <sheetName val="AOG_blower"/>
      <sheetName val="AOGcond_Fgas"/>
      <sheetName val="AOGcond_Foil"/>
      <sheetName val="AOGmh_Fgas"/>
      <sheetName val="AOGmh_Foil"/>
      <sheetName val="Cond_Turbine"/>
      <sheetName val="Cp_HG"/>
      <sheetName val="Cp_HL"/>
      <sheetName val="deHr"/>
      <sheetName val="Flow"/>
      <sheetName val="H2O"/>
      <sheetName val="MwHrCp"/>
      <sheetName val="Power_STM"/>
      <sheetName val="QUmh"/>
      <sheetName val="RECmh"/>
      <sheetName val="Refrigerator"/>
      <sheetName val="Rx_Air_blower"/>
      <sheetName val="Rxmh"/>
      <sheetName val="RxQUcond"/>
      <sheetName val="RECPUcond"/>
      <sheetName val="W0067"/>
      <sheetName val="WCBR"/>
      <sheetName val="1B"/>
      <sheetName val="BUR"/>
      <sheetName val="전체"/>
      <sheetName val="Kaatsu H.A.M.T.T.C.-7 jan 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91.xml><?xml version="1.0" encoding="utf-8"?>
<externalLink xmlns="http://schemas.openxmlformats.org/spreadsheetml/2006/main">
  <externalBook xmlns:r="http://schemas.openxmlformats.org/officeDocument/2006/relationships" r:id="rId1">
    <sheetNames>
      <sheetName val="#3E1_GCR"/>
      <sheetName val="CP-E1"/>
      <sheetName val="mvac_Offer"/>
      <sheetName val="mvac_BOQ"/>
      <sheetName val="P"/>
      <sheetName val="Summary"/>
      <sheetName val="Factors"/>
      <sheetName val="Building's PA"/>
      <sheetName val="Homagama Grounds-9.7.2013"/>
      <sheetName val="Keels-6.2.2014"/>
      <sheetName val="BOI - Katunayaka-9.8.2013"/>
      <sheetName val="FlowHmgma Grds-9.7.2013-details"/>
      <sheetName val="ANALISYS"/>
      <sheetName val="#REF"/>
      <sheetName val="Details"/>
      <sheetName val="AEX_IMPORTS_on 320"/>
      <sheetName val="1-G1"/>
      <sheetName val="App. A(contd)"/>
      <sheetName val="GIAVLIE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92.xml><?xml version="1.0" encoding="utf-8"?>
<externalLink xmlns="http://schemas.openxmlformats.org/spreadsheetml/2006/main">
  <externalBook xmlns:r="http://schemas.openxmlformats.org/officeDocument/2006/relationships" r:id="rId1">
    <sheetNames>
      <sheetName val="File Settings"/>
      <sheetName val="Dist Controls"/>
      <sheetName val="Forecast"/>
      <sheetName val="EssInBalSheet"/>
      <sheetName val="EssOut"/>
      <sheetName val="Manpower"/>
      <sheetName val="Roster"/>
      <sheetName val="Notes"/>
      <sheetName val="Fcst Trend"/>
      <sheetName val="Input"/>
      <sheetName val="Backlog Consol"/>
      <sheetName val="Keels-6.2.2014"/>
      <sheetName val="FlowHmgma Grds-9.7.2013-details"/>
      <sheetName val="Summary"/>
      <sheetName val="Bill 5 - Carpark"/>
      <sheetName val="HyperionEnt"/>
      <sheetName val="Competitors"/>
      <sheetName val="Ragama"/>
      <sheetName val="NEW PRODUCT SALES FORCE"/>
      <sheetName val="2005 - GAAP"/>
      <sheetName val="Sheet2"/>
      <sheetName val="CQ by Entity"/>
      <sheetName val="FY by Entity"/>
      <sheetName val="INDEX"/>
      <sheetName val="NQ by Entity"/>
      <sheetName val="CQ Bridge"/>
      <sheetName val="CQ Orders"/>
      <sheetName val="Org Growth"/>
      <sheetName val="Monthly Trend Act MOR pv"/>
      <sheetName val="Sheet1"/>
      <sheetName val="Americas"/>
      <sheetName val="total"/>
      <sheetName val="Variables"/>
      <sheetName val="Factors"/>
      <sheetName val="Cctmst"/>
      <sheetName val="Room Type"/>
      <sheetName val="1-Excavation"/>
      <sheetName val="2-Substructure"/>
      <sheetName val="3-Concrete"/>
      <sheetName val="4-Masonry"/>
      <sheetName val="5-Thermal &amp; Moisture"/>
      <sheetName val="Lookup"/>
      <sheetName val="A"/>
      <sheetName val="aug_data"/>
      <sheetName val="Oracle Account Master"/>
      <sheetName val="total components with Rates"/>
      <sheetName val="Admin"/>
      <sheetName val="PLUMBING WORK ADDITIONS"/>
      <sheetName val="Bill 3 - Site Works"/>
      <sheetName val="Rate analysis 1"/>
      <sheetName val="D_Cntnts"/>
      <sheetName val="Legend"/>
      <sheetName val="BOQ PL"/>
      <sheetName val="Ele Pri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93.xml><?xml version="1.0" encoding="utf-8"?>
<externalLink xmlns="http://schemas.openxmlformats.org/spreadsheetml/2006/main">
  <externalBook xmlns:r="http://schemas.openxmlformats.org/officeDocument/2006/relationships" r:id="rId1">
    <sheetNames>
      <sheetName val="0000"/>
      <sheetName val="1-Excavation"/>
      <sheetName val="2-Substructure"/>
      <sheetName val="3-Concrete"/>
      <sheetName val="4-Masonry"/>
      <sheetName val="5-Thermal &amp; Moisture"/>
      <sheetName val="6-Carpentry &amp; Joinery"/>
      <sheetName val="7-Metal Works"/>
      <sheetName val="8-Sanitary ware"/>
      <sheetName val="9-PLUMBING"/>
      <sheetName val="10-Air Con"/>
      <sheetName val="11-ELEC"/>
      <sheetName val="12-Finishes"/>
      <sheetName val="13-Equipment"/>
      <sheetName val="14-External"/>
      <sheetName val="Summary"/>
      <sheetName val="GR.SUMMARY "/>
      <sheetName val="Mosque"/>
      <sheetName val="Bill 1"/>
      <sheetName val="Bill 2"/>
      <sheetName val="Bill 3"/>
      <sheetName val="Bill 4"/>
      <sheetName val="Bill 5"/>
      <sheetName val="Bill 6"/>
      <sheetName val="Bill 7"/>
      <sheetName val="#3E1_GCR"/>
      <sheetName val="Keels-6.2.2014"/>
      <sheetName val="FlowHmgma Grds-9.7.2013-details"/>
      <sheetName val="Equipment Schedule"/>
      <sheetName val="Workings"/>
      <sheetName val="Take-Off"/>
      <sheetName val="SCHEDULE"/>
      <sheetName val="AEX_IMPORTS"/>
      <sheetName val="Civil Works"/>
      <sheetName val="AEX_IMPORTS_on 320"/>
      <sheetName val="Fac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94.xml><?xml version="1.0" encoding="utf-8"?>
<externalLink xmlns="http://schemas.openxmlformats.org/spreadsheetml/2006/main">
  <externalBook xmlns:r="http://schemas.openxmlformats.org/officeDocument/2006/relationships" r:id="rId1">
    <sheetNames>
      <sheetName val="Alarm"/>
      <sheetName val="sample"/>
      <sheetName val="acs"/>
      <sheetName val="cctv"/>
      <sheetName val="CCTV_EST"/>
      <sheetName val="ACS+IAS_EST"/>
      <sheetName val="CCTV_EST1"/>
      <sheetName val="ACS_EST"/>
      <sheetName val="IAS_EST"/>
      <sheetName val="acs (3)"/>
      <sheetName val="acs (4)"/>
      <sheetName val="Summary (5)"/>
      <sheetName val="cctv (3)"/>
      <sheetName val="cctv (4)"/>
      <sheetName val="Summary (3)"/>
      <sheetName val="Summary (4)"/>
      <sheetName val="acs (2)"/>
      <sheetName val="cctv (2)"/>
      <sheetName val="cctv_3"/>
      <sheetName val="Makes"/>
      <sheetName val="Summary"/>
      <sheetName val="Summary (2)"/>
      <sheetName val="Sheet1"/>
      <sheetName val="Works - Quote Sheet"/>
      <sheetName val="PRSH"/>
      <sheetName val="Input"/>
      <sheetName val="PLT-SUM"/>
      <sheetName val="Factors"/>
      <sheetName val="Backlog Consol"/>
      <sheetName val="Schedules"/>
      <sheetName val="BN 01"/>
      <sheetName val="RSM and Distributors"/>
      <sheetName val="内訳書"/>
      <sheetName val="Room Type"/>
      <sheetName val="Basement2 DB"/>
      <sheetName val="1A"/>
      <sheetName val="Price"/>
      <sheetName val="3C"/>
      <sheetName val="BOQ Com"/>
      <sheetName val="BOM"/>
      <sheetName val="NEW PRODUCT SALES FORCE"/>
      <sheetName val="aug_data"/>
      <sheetName val="기계내역서"/>
      <sheetName val="Staff Acco."/>
      <sheetName val="1-Excavation"/>
      <sheetName val="2-Substructure"/>
      <sheetName val="3-Concrete"/>
      <sheetName val="4-Masonry"/>
      <sheetName val="5-Thermal &amp; Moisture"/>
      <sheetName val="#3E1_GCR"/>
      <sheetName val="Material Prices"/>
      <sheetName val="App. A(contd)"/>
      <sheetName val="FAS-C(4)"/>
      <sheetName val="ACS(1)"/>
      <sheetName val="CCTV(old)"/>
      <sheetName val="Bill 5 - Carpark"/>
      <sheetName val="Sheet2"/>
      <sheetName val="Admin"/>
      <sheetName val="Fcst Too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95.xml><?xml version="1.0" encoding="utf-8"?>
<externalLink xmlns="http://schemas.openxmlformats.org/spreadsheetml/2006/main">
  <externalBook xmlns:r="http://schemas.openxmlformats.org/officeDocument/2006/relationships" r:id="rId1">
    <sheetNames>
      <sheetName val="Sheet5"/>
      <sheetName val="Sheet3 (2)"/>
      <sheetName val="Summary"/>
      <sheetName val="Top Sheet"/>
      <sheetName val="Sheet4"/>
      <sheetName val="Sheet3"/>
      <sheetName val="Cost Break down"/>
      <sheetName val="Prov. sums_Final"/>
      <sheetName val="Prov. sums"/>
      <sheetName val="Risk &amp; Contingency"/>
      <sheetName val="Totals "/>
      <sheetName val="Resources"/>
      <sheetName val="Cost Review"/>
      <sheetName val="NSC-Attendance"/>
      <sheetName val="Stopage "/>
      <sheetName val="Preliminaries"/>
      <sheetName val="S9 "/>
      <sheetName val="1010"/>
      <sheetName val="1020"/>
      <sheetName val="1030"/>
      <sheetName val="1040"/>
      <sheetName val="1204"/>
      <sheetName val="1400"/>
      <sheetName val="Medical"/>
      <sheetName val="1170"/>
      <sheetName val="1080"/>
      <sheetName val="1061"/>
      <sheetName val="1063"/>
      <sheetName val="1065"/>
      <sheetName val="1090"/>
      <sheetName val="1110-1120"/>
      <sheetName val="1130"/>
      <sheetName val="1140"/>
      <sheetName val="1200"/>
      <sheetName val="1200 (A)"/>
      <sheetName val="Lab-Camp"/>
      <sheetName val="Camp Power Cost"/>
      <sheetName val="Access Scaffold "/>
      <sheetName val="P&amp;M"/>
      <sheetName val="Omanization"/>
      <sheetName val="Engineer Overtime"/>
      <sheetName val="1050"/>
      <sheetName val="1070"/>
      <sheetName val="1180"/>
      <sheetName val="1183"/>
      <sheetName val="Spares"/>
      <sheetName val="DLP"/>
      <sheetName val="Labour Required"/>
      <sheetName val="Tower Crane Cost"/>
      <sheetName val="Earthwork"/>
      <sheetName val="Formwork"/>
      <sheetName val="Sheet1"/>
      <sheetName val="Sheet2"/>
      <sheetName val="#REF"/>
      <sheetName val="Mat"/>
      <sheetName val="BOX Cryostat Details"/>
      <sheetName val="Driver Linac Layout"/>
      <sheetName val="Inputs"/>
      <sheetName val="Magnet Details"/>
      <sheetName val="SH-B"/>
      <sheetName val="SH-E"/>
      <sheetName val="SH-F"/>
      <sheetName val="Input"/>
      <sheetName val="Room Type"/>
      <sheetName val="Basement2 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96.xml><?xml version="1.0" encoding="utf-8"?>
<externalLink xmlns="http://schemas.openxmlformats.org/spreadsheetml/2006/main">
  <externalBook xmlns:r="http://schemas.openxmlformats.org/officeDocument/2006/relationships" r:id="rId1">
    <sheetNames>
      <sheetName val="Retrieve"/>
      <sheetName val="Retrieve - Salaries"/>
      <sheetName val="Retrieve - By Segment Rev"/>
      <sheetName val="LOB Check Q1"/>
      <sheetName val="LOB Check Q2"/>
      <sheetName val="LOB Check Q3"/>
      <sheetName val="LOB Check Q4"/>
      <sheetName val="Retrieve - By Segment COS"/>
      <sheetName val="LOB Check Q1 COS"/>
      <sheetName val="LOB Check Q2 COS"/>
      <sheetName val="Commercial Segment Split"/>
      <sheetName val="OS Revenue by Segment Summary"/>
      <sheetName val="Retrieve Segments RevenueSegP&amp;L"/>
      <sheetName val="ADT Retail COS Seg P&amp;L"/>
      <sheetName val="Retrieve Segments COS SegP&amp;L"/>
      <sheetName val="Commercial Segments SegP&amp;L"/>
      <sheetName val="Risk &amp; Opp's"/>
      <sheetName val="Control Sheet FY05 Assum"/>
      <sheetName val="Bridges"/>
      <sheetName val="Key Assumptions"/>
      <sheetName val="AMR Roll"/>
      <sheetName val="ANSC Chart"/>
      <sheetName val="6Sigma_SourceDetail"/>
      <sheetName val="SABDATA"/>
      <sheetName val="SAB101Detail"/>
      <sheetName val="Salary &amp; Payroll"/>
      <sheetName val="P&amp;L Explosion"/>
      <sheetName val="ADTNA"/>
      <sheetName val="Canada P&amp;L Retrieve"/>
      <sheetName val="Bridge Chart"/>
      <sheetName val="Resi COA"/>
      <sheetName val="Comm COA"/>
      <sheetName val="Check Fcst"/>
      <sheetName val="TFS Template"/>
      <sheetName val="Control Sheet"/>
      <sheetName val="Executive Summary"/>
      <sheetName val="New Prod"/>
      <sheetName val="DSO"/>
      <sheetName val="WCD"/>
      <sheetName val="HyperionEnt"/>
      <sheetName val="Cash Bridge"/>
      <sheetName val="Cash Flow"/>
      <sheetName val="By Entity"/>
      <sheetName val="Summary P&amp;L"/>
      <sheetName val="Rev Summ"/>
      <sheetName val="ANSC Rev"/>
      <sheetName val="Install &amp; Other Rev"/>
      <sheetName val="COS"/>
      <sheetName val="Install"/>
      <sheetName val="Maint"/>
      <sheetName val="Cust Ser"/>
      <sheetName val="Sales - Resi"/>
      <sheetName val="Sales - Comm"/>
      <sheetName val="Sales - SmBus"/>
      <sheetName val="G&amp;A"/>
      <sheetName val="Corp G&amp;A Other"/>
      <sheetName val="Depr &amp; Amort"/>
      <sheetName val="SAB101"/>
      <sheetName val="Headcount"/>
      <sheetName val="Cap Ex"/>
      <sheetName val="Payroll Burden"/>
      <sheetName val="Payroll F05"/>
      <sheetName val="Staff Summary"/>
      <sheetName val="qryExportBusCodes"/>
      <sheetName val="Factors"/>
      <sheetName val="Lookup"/>
      <sheetName val="Dist Controls"/>
      <sheetName val="File Settings"/>
      <sheetName val="Forecast"/>
      <sheetName val="Bill 5 - Carpark"/>
      <sheetName val="Cctmst"/>
      <sheetName val="Summary"/>
      <sheetName val="NEW PRODUCT SALES FORCE"/>
      <sheetName val="Ele Price"/>
      <sheetName val="BOQ PL"/>
      <sheetName val="CAL. - DATA"/>
      <sheetName val="Americas"/>
      <sheetName val="INPUT"/>
      <sheetName val="Assumptions"/>
      <sheetName val="MOS"/>
      <sheetName val="INPUT - Recommended Schedules"/>
      <sheetName val="Ragama"/>
      <sheetName val="Backlog Consol"/>
      <sheetName val="Cover"/>
      <sheetName val="Legend"/>
      <sheetName val="D_Cntnts"/>
      <sheetName val="E_Summary"/>
      <sheetName val="วัดใ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97.xml><?xml version="1.0" encoding="utf-8"?>
<externalLink xmlns="http://schemas.openxmlformats.org/spreadsheetml/2006/main">
  <externalBook xmlns:r="http://schemas.openxmlformats.org/officeDocument/2006/relationships" r:id="rId1">
    <sheetNames>
      <sheetName val="sum"/>
      <sheetName val="1"/>
      <sheetName val="2A"/>
      <sheetName val="2B"/>
      <sheetName val="2C"/>
      <sheetName val="2D"/>
      <sheetName val="2E"/>
      <sheetName val="2F"/>
      <sheetName val="2G"/>
      <sheetName val="2H"/>
      <sheetName val="3A"/>
      <sheetName val="3B"/>
      <sheetName val="4"/>
      <sheetName val="5"/>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10"/>
      <sheetName val="11A"/>
      <sheetName val="11B "/>
      <sheetName val="12A"/>
      <sheetName val="12B"/>
      <sheetName val="13"/>
      <sheetName val="14"/>
      <sheetName val="1010"/>
      <sheetName val="1020"/>
      <sheetName val="1090"/>
      <sheetName val="Camp Power Cost"/>
      <sheetName val="포장공사"/>
      <sheetName val="1B"/>
      <sheetName val="Fac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98.xml><?xml version="1.0" encoding="utf-8"?>
<externalLink xmlns="http://schemas.openxmlformats.org/spreadsheetml/2006/main">
  <externalBook xmlns:r="http://schemas.openxmlformats.org/officeDocument/2006/relationships" r:id="rId1">
    <sheetNames>
      <sheetName val="banilad"/>
      <sheetName val="Mactan"/>
      <sheetName val="Mandaue"/>
      <sheetName val="Summary"/>
      <sheetName val="Summary (2)"/>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1010"/>
      <sheetName val="1020"/>
      <sheetName val="1090"/>
      <sheetName val="Camp Power Cost"/>
      <sheetName val="B-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99.xml><?xml version="1.0" encoding="utf-8"?>
<externalLink xmlns="http://schemas.openxmlformats.org/spreadsheetml/2006/main">
  <externalBook xmlns:r="http://schemas.openxmlformats.org/officeDocument/2006/relationships" r:id="rId1">
    <sheetNames>
      <sheetName val="Light Fittings Supply"/>
      <sheetName val="Manufacture list"/>
      <sheetName val="Electrical"/>
      <sheetName val="Telephone"/>
      <sheetName val="MATV"/>
      <sheetName val="ES"/>
      <sheetName val="Summary of Changes"/>
      <sheetName val="MEP Summary"/>
      <sheetName val="Final Costing"/>
      <sheetName val="MF"/>
      <sheetName val="Cover"/>
      <sheetName val="Collection Page"/>
      <sheetName val="1. Block A"/>
      <sheetName val="2. Block B"/>
      <sheetName val="3. Block C"/>
      <sheetName val="4. Block D"/>
      <sheetName val="5 -BGA"/>
      <sheetName val="6 -BMW"/>
      <sheetName val="7 -BIB"/>
      <sheetName val="8 -BWS"/>
      <sheetName val="9 -BKS"/>
      <sheetName val="10 -BPH"/>
      <sheetName val="11 -BCS"/>
      <sheetName val="12 -BWB"/>
      <sheetName val="13 -KSR"/>
      <sheetName val="14 -KRH"/>
      <sheetName val="15-Site"/>
      <sheetName val="16-Testing"/>
      <sheetName val="17 -Fire Alarm"/>
      <sheetName val="CF"/>
      <sheetName val="summary"/>
      <sheetName val="Mayday"/>
      <sheetName val="fdr cbl"/>
      <sheetName val="swt&amp;skt"/>
      <sheetName val="CT &amp; DB"/>
      <sheetName val="Wiring"/>
      <sheetName val="LUMINAIRE"/>
      <sheetName val="Earthing"/>
      <sheetName val="Manufacture list (2)"/>
      <sheetName val="Orange BR"/>
      <sheetName val="CCTV_EST1"/>
      <sheetName val="Material Prices"/>
      <sheetName val="AEX_IMPORTS_on 320"/>
      <sheetName val="Staff Acco."/>
      <sheetName val="PA"/>
      <sheetName val="Workings"/>
      <sheetName val="AEX_IMPORTS"/>
      <sheetName val="Det Import"/>
      <sheetName val="Ra  stair"/>
      <sheetName val="CAP"/>
      <sheetName val="SCHEDULE"/>
      <sheetName val="Fac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00.xml><?xml version="1.0" encoding="utf-8"?>
<externalLink xmlns="http://schemas.openxmlformats.org/spreadsheetml/2006/main">
  <externalBook xmlns:r="http://schemas.openxmlformats.org/officeDocument/2006/relationships" r:id="rId1">
    <sheetNames>
      <sheetName val="Elec,Fire alarm,cctv,tel,MATV s"/>
      <sheetName val="cable tray"/>
      <sheetName val="X7"/>
      <sheetName val="fdr cbl"/>
      <sheetName val="FD DHQ Earth"/>
      <sheetName val="Earthing"/>
      <sheetName val="light fixtur @ cable"/>
      <sheetName val="light"/>
      <sheetName val="SO,ISO,SW"/>
      <sheetName val="cctv"/>
      <sheetName val="Sheet1"/>
      <sheetName val="CF"/>
      <sheetName val="B-3"/>
      <sheetName val="SCHEDU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01.xml><?xml version="1.0" encoding="utf-8"?>
<externalLink xmlns="http://schemas.openxmlformats.org/spreadsheetml/2006/main">
  <externalBook xmlns:r="http://schemas.openxmlformats.org/officeDocument/2006/relationships" r:id="rId1">
    <sheetNames>
      <sheetName val="COST DATA 1"/>
      <sheetName val="TECH DATA"/>
      <sheetName val="CS PIPING"/>
      <sheetName val="Bechtel Norms"/>
      <sheetName val="BASIC"/>
      <sheetName val="BUR4-Rd"/>
      <sheetName val="BUR3-DrnRC"/>
      <sheetName val="BUR2-Ewk"/>
      <sheetName val="StdDesc"/>
      <sheetName val="BUR5-Pile"/>
      <sheetName val="banilad"/>
      <sheetName val="Mactan"/>
      <sheetName val="Mandaue"/>
      <sheetName val="Schedules"/>
      <sheetName val="Cost Factor Sheet"/>
      <sheetName val="Load Sch, Cable Sel &amp; Qty"/>
      <sheetName val="Factor Sheet"/>
      <sheetName val="Price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02.xml><?xml version="1.0" encoding="utf-8"?>
<externalLink xmlns="http://schemas.openxmlformats.org/spreadsheetml/2006/main">
  <externalBook xmlns:r="http://schemas.openxmlformats.org/officeDocument/2006/relationships" r:id="rId1">
    <sheetNames>
      <sheetName val="Basic Prices"/>
      <sheetName val="Rates"/>
      <sheetName val="Summary"/>
      <sheetName val="Machine"/>
      <sheetName val="Analysis"/>
      <sheetName val="B1"/>
      <sheetName val="B2"/>
      <sheetName val="B3"/>
      <sheetName val="B4"/>
      <sheetName val="B5"/>
      <sheetName val="B6"/>
      <sheetName val="B7"/>
      <sheetName val="B8"/>
      <sheetName val="B9"/>
      <sheetName val="B10"/>
      <sheetName val="B13"/>
      <sheetName val="C1"/>
      <sheetName val="C2"/>
      <sheetName val="1"/>
      <sheetName val="2"/>
      <sheetName val="3"/>
      <sheetName val="4"/>
      <sheetName val="5"/>
      <sheetName val="6"/>
      <sheetName val="7"/>
      <sheetName val="8"/>
      <sheetName val="dpc"/>
      <sheetName val="fmwk"/>
      <sheetName val="W. Proofing"/>
      <sheetName val="bkwk"/>
      <sheetName val="plast"/>
      <sheetName val="Door and windows"/>
      <sheetName val="rnd"/>
      <sheetName val="tile"/>
      <sheetName val="Sheet1"/>
      <sheetName val="paint"/>
      <sheetName val="roof"/>
      <sheetName val="Roof Materials"/>
      <sheetName val="Roof Materials (2)"/>
      <sheetName val="Drains"/>
      <sheetName val="plumbing"/>
      <sheetName val="Ironmongery"/>
      <sheetName val="25 RM"/>
      <sheetName val="B14"/>
      <sheetName val="C3"/>
      <sheetName val="C4"/>
      <sheetName val="C5"/>
      <sheetName val="C6"/>
      <sheetName val="C7"/>
      <sheetName val="C8"/>
      <sheetName val="C9"/>
      <sheetName val="C4 (2)"/>
      <sheetName val="C9 (2)"/>
      <sheetName val="1.3.6(40mm)"/>
      <sheetName val="1.2.4(20)"/>
      <sheetName val="1.1(12).3(25)"/>
      <sheetName val="1.1.2(30)"/>
      <sheetName val="1.(212).5"/>
      <sheetName val="Steel"/>
      <sheetName val="Rub wk"/>
      <sheetName val="BOQ"/>
      <sheetName val="RESOURCES"/>
      <sheetName val="BASIC RATES"/>
      <sheetName val="Sheet2"/>
      <sheetName val="Zones"/>
      <sheetName val="Bill 5 - Carpark"/>
      <sheetName val="GIAVLIEU"/>
      <sheetName val="BOQ PL"/>
      <sheetName val="Fac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103.xml><?xml version="1.0" encoding="utf-8"?>
<externalLink xmlns="http://schemas.openxmlformats.org/spreadsheetml/2006/main">
  <externalBook xmlns:r="http://schemas.openxmlformats.org/officeDocument/2006/relationships" r:id="rId1">
    <sheetNames>
      <sheetName val="FLYLEAF"/>
      <sheetName val="Conditions"/>
      <sheetName val="Deviations"/>
      <sheetName val="DWG TOTAL"/>
      <sheetName val="TOTAL"/>
      <sheetName val="A"/>
      <sheetName val="B"/>
      <sheetName val="C"/>
      <sheetName val="D"/>
      <sheetName val="E"/>
      <sheetName val="KSA630"/>
      <sheetName val="KSA100"/>
      <sheetName val="KSA160"/>
      <sheetName val="KSA250"/>
      <sheetName val="KSA"/>
      <sheetName val="KSA_Rising"/>
      <sheetName val="Sheet1"/>
      <sheetName val="B-3.2 EB"/>
      <sheetName val="pt-cw"/>
      <sheetName val="SG"/>
      <sheetName val="Factors"/>
      <sheetName val="14"/>
      <sheetName val="3"/>
      <sheetName val="40"/>
      <sheetName val="예가표"/>
      <sheetName val="Land Dev't. Ph-1"/>
      <sheetName val="bi-mnthly rep Villa"/>
      <sheetName val="Bill.10"/>
      <sheetName val="Summary"/>
      <sheetName val="산근"/>
      <sheetName val="Input"/>
      <sheetName val="대비표"/>
      <sheetName val="Valible One BOQ"/>
      <sheetName val="Schedules"/>
      <sheetName val="BOM"/>
      <sheetName val="Cash Flow Worksheet"/>
      <sheetName val="LS Price List"/>
      <sheetName val="Factor Sheet"/>
      <sheetName val="Bill 3 - Site Works"/>
      <sheetName val="Cost Factor Sheet"/>
      <sheetName val="Sheet5"/>
      <sheetName val="Homagama Grounds-9.7.2013"/>
      <sheetName val="BOI - Katunayaka-9.8.2013"/>
      <sheetName val="Legend"/>
      <sheetName val="Admin"/>
      <sheetName val="MDB-25.8.2014"/>
      <sheetName val="INPUT - Recommended Schedules"/>
      <sheetName val="Ragama"/>
      <sheetName val="HyperionEnt"/>
      <sheetName val="RATE"/>
      <sheetName val="Enclo.compar.EMP-RND"/>
      <sheetName val="Cost_Log"/>
      <sheetName val="Est_Report"/>
      <sheetName val="FilePath"/>
      <sheetName val="LPO"/>
      <sheetName val="MTO"/>
      <sheetName val="Phases"/>
      <sheetName val="Material Cost"/>
      <sheetName val="Required_Sections"/>
      <sheetName val="Shapes"/>
      <sheetName val="Table_Template"/>
      <sheetName val="Cover"/>
      <sheetName val="Factor"/>
      <sheetName val="B Sum"/>
      <sheetName val="Load Sch, Cable Sel &amp; Qty"/>
      <sheetName val="Price Sheet"/>
      <sheetName val="Bill 5 - Carpark"/>
      <sheetName val="JOB COSTING SHEET HVAC"/>
      <sheetName val="Import Det"/>
      <sheetName val="G"/>
      <sheetName val="Prices"/>
      <sheetName val="BOQ Com"/>
      <sheetName val="SubmitCal"/>
      <sheetName val="CCTV_EST1"/>
      <sheetName val="Cctmst"/>
      <sheetName val="Title"/>
      <sheetName val="PLUMBING WORK ADDITIONS"/>
      <sheetName val="Price"/>
      <sheetName val="3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104.xml><?xml version="1.0" encoding="utf-8"?>
<externalLink xmlns="http://schemas.openxmlformats.org/spreadsheetml/2006/main">
  <externalBook xmlns:r="http://schemas.openxmlformats.org/officeDocument/2006/relationships" r:id="rId1">
    <sheetNames>
      <sheetName val="OUTINORD"/>
      <sheetName val="Tunnelform"/>
      <sheetName val="mivan"/>
      <sheetName val="SHphase-1"/>
      <sheetName val="concrete"/>
      <sheetName val="analysis"/>
      <sheetName val="Civil-main building"/>
      <sheetName val="Civil-amenities buildings"/>
      <sheetName val="Roads-pavement-path ways"/>
      <sheetName val="C-Wall BOQ"/>
      <sheetName val="Sheet2"/>
      <sheetName val="GR.slab-reinft"/>
      <sheetName val="upa"/>
      <sheetName val="Civil-main_building"/>
      <sheetName val="Civil-amenities_buildings"/>
      <sheetName val="Roads-pavement-path_ways"/>
      <sheetName val="C-Wall_BOQ"/>
      <sheetName val="GR_slab-reinft"/>
      <sheetName val="2gii"/>
      <sheetName val="detail'02"/>
      <sheetName val="PointNo.5"/>
      <sheetName val="Stress Calculation"/>
      <sheetName val="Design"/>
      <sheetName val="Detail"/>
      <sheetName val="banilad"/>
      <sheetName val="Mactan"/>
      <sheetName val="Mandaue"/>
      <sheetName val="GUT (2)"/>
      <sheetName val="ACE-OUT"/>
      <sheetName val="BHANDUP"/>
      <sheetName val="Sheet1"/>
      <sheetName val="#REF"/>
      <sheetName val="Sheet3"/>
      <sheetName val="data"/>
      <sheetName val="SPT vs PHI"/>
      <sheetName val="PRECAST lightconc-II"/>
      <sheetName val="Tender Summary"/>
      <sheetName val=" Net Break Down"/>
      <sheetName val="p&amp;m"/>
      <sheetName val="VCH-SLC"/>
      <sheetName val="Supplier"/>
      <sheetName val="BSH num"/>
      <sheetName val="Labels"/>
      <sheetName val="공장별판관비배부"/>
      <sheetName val="Bill No 2 to 8 (Rev)"/>
      <sheetName val="Boq"/>
      <sheetName val="Basic"/>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A-General"/>
      <sheetName val="Citrix"/>
      <sheetName val="IO List"/>
      <sheetName val="K.Ajeet"/>
      <sheetName val="4 Annex 1 Basic rate"/>
      <sheetName val="Bill 3 - Site Works"/>
      <sheetName val="Fill this out first..."/>
      <sheetName val="GF Columns"/>
      <sheetName val="Assumption Inputs"/>
      <sheetName val="Costing"/>
      <sheetName val="SITE OVERHEADS"/>
      <sheetName val="FINOLEX"/>
      <sheetName val="Civil-main_building2"/>
      <sheetName val="Civil-amenities_buildings2"/>
      <sheetName val="Roads-pavement-path_ways2"/>
      <sheetName val="C-Wall_BOQ2"/>
      <sheetName val="GR_slab-reinft2"/>
      <sheetName val="Civil-main_building1"/>
      <sheetName val="Civil-amenities_buildings1"/>
      <sheetName val="Roads-pavement-path_ways1"/>
      <sheetName val="C-Wall_BOQ1"/>
      <sheetName val="GR_slab-reinft1"/>
      <sheetName val="SILICATE"/>
      <sheetName val="Fin Sum"/>
      <sheetName val="AutoOpen Stub Data"/>
      <sheetName val="Bridges RB"/>
      <sheetName val="Analysis Justi "/>
      <sheetName val="Qty Esti -TCS"/>
      <sheetName val="INPUT"/>
      <sheetName val="Abst Jo"/>
      <sheetName val="Debits as on 12.04.08"/>
      <sheetName val="Staff Acco."/>
      <sheetName val="Vind-BtB"/>
      <sheetName val="labour coeff"/>
      <sheetName val="Build-up"/>
      <sheetName val="Labour"/>
      <sheetName val="HPL"/>
      <sheetName val="Estimation"/>
      <sheetName val="INDIGINEOUS ITEMS "/>
      <sheetName val="07016, Master List-Major Minor"/>
      <sheetName val="PRECAST_lightconc-II"/>
      <sheetName val="PointNo_5"/>
      <sheetName val="PCC"/>
      <sheetName val="cidcoanalysis"/>
      <sheetName val="C Sum"/>
      <sheetName val="A Sum"/>
      <sheetName val="FORM7"/>
      <sheetName val="Detail In Door Stad"/>
      <sheetName val="Flooring"/>
      <sheetName val="ELEC_BOQ"/>
      <sheetName val="Bank Guarantee"/>
      <sheetName val="Requirements"/>
      <sheetName val="Storage"/>
      <sheetName val="Financial"/>
      <sheetName val="Civil-main_building3"/>
      <sheetName val="Civil-amenities_buildings3"/>
      <sheetName val="Roads-pavement-path_ways3"/>
      <sheetName val="C-Wall_BOQ3"/>
      <sheetName val="GR_slab-reinft3"/>
      <sheetName val="Stress_Calculation"/>
      <sheetName val="GUT_(2)"/>
      <sheetName val="_Net_Break_Down"/>
      <sheetName val="Tender_Summary"/>
      <sheetName val="Bill_No_2_to_8_(Rev)"/>
      <sheetName val="SPT_vs_PHI"/>
      <sheetName val="BSH_num"/>
      <sheetName val="11B_"/>
      <sheetName val="IO_List"/>
      <sheetName val="Bill_3_-_Site_Works"/>
      <sheetName val="Fill_this_out_first___"/>
      <sheetName val="GF_Columns"/>
      <sheetName val="Assumption_Inputs"/>
      <sheetName val="K_Ajeet"/>
      <sheetName val="SITE_OVERHEADS"/>
      <sheetName val="Debits_as_on_12_04_08"/>
      <sheetName val="Staff_Acco_"/>
      <sheetName val="labour_coeff"/>
      <sheetName val="VALMARAND436"/>
      <sheetName val="VALMARAND18"/>
      <sheetName val="BGIPLCEUR"/>
      <sheetName val="BGIUK"/>
      <sheetName val="BPBF4PDOB3"/>
      <sheetName val="BPBF4NORTHROC"/>
      <sheetName val="BPBF4PDOB2"/>
      <sheetName val="BPBF4PLCUSD2"/>
      <sheetName val="BPBF5PLCGBP"/>
      <sheetName val="BPBF6PLC"/>
      <sheetName val="BPBF6PLC2"/>
      <sheetName val="BPBFIN3INVS"/>
      <sheetName val="SUMMARY ALL CO'S"/>
      <sheetName val="BPBFINCOCOMM"/>
      <sheetName val="BPBFINCOPLCUSD50M"/>
      <sheetName val="BPBFINCOPLCUSD"/>
      <sheetName val="BPBGBVPLC"/>
      <sheetName val="BPBGBVPLC3"/>
      <sheetName val="BPBHLDGSPLC"/>
      <sheetName val="BPBINVPLC"/>
      <sheetName val="BPBUKPLCEUR"/>
      <sheetName val="COMMEUROPE"/>
      <sheetName val="COMMMIDEAST"/>
      <sheetName val="COMMPLCEUR"/>
      <sheetName val="COMMPLCUSD"/>
      <sheetName val="EUROPEFIN2"/>
      <sheetName val="FIN2SIMP"/>
      <sheetName val="FIN4BPBINDIA2"/>
      <sheetName val="FIN4BPBINDIA"/>
      <sheetName val="FIN4BPBLLCUSD"/>
      <sheetName val="FIN4INDIAGYPUSD2M"/>
      <sheetName val="FIN4MEXUSD12M"/>
      <sheetName val="FIN4MEXUSD2M"/>
      <sheetName val="FIN4MEXUSD6M"/>
      <sheetName val="FINANCE2PLC"/>
      <sheetName val="FORMPLCEUR"/>
      <sheetName val="FULMARGBPPLC"/>
      <sheetName val="GILEURPLC"/>
      <sheetName val="GYPABPLCSEK"/>
      <sheetName val="GYPBENCOMMEUR100M"/>
      <sheetName val="GYPIBBPBIB"/>
      <sheetName val="IBSWIBETEIL"/>
      <sheetName val="IBSWIPLACO2"/>
      <sheetName val="IBSWIPLACO"/>
      <sheetName val="IBSWIPLC"/>
      <sheetName val="IBSWIPOLSKA"/>
      <sheetName val="INDIA"/>
      <sheetName val="LUXGYPIB"/>
      <sheetName val="LUXPLACOEUR1M"/>
      <sheetName val="LUXPLACOST"/>
      <sheetName val="LUXSIMPEUR"/>
      <sheetName val="LUXSWIGYPIB"/>
      <sheetName val="LUXSWIPLACOEUR18M"/>
      <sheetName val="LUXSWIRIGAUSEUR"/>
      <sheetName val="PLCBPBGBV2"/>
      <sheetName val="PLCBPBGBV"/>
      <sheetName val="PLCBPBGBVROM"/>
      <sheetName val="PLCBPBGBVTHB"/>
      <sheetName val="PLCBPBIOGBP200M"/>
      <sheetName val="PLCBULGARIA"/>
      <sheetName val="PLCCOMMCHF5M"/>
      <sheetName val="PLCCOMMGBP2"/>
      <sheetName val="PLCCOMMGBP330M"/>
      <sheetName val="PLCCOMMGBP3"/>
      <sheetName val="PLCCOMMGBP"/>
      <sheetName val="PLCCOMMUSD5M"/>
      <sheetName val="PLCCOMMUSD"/>
      <sheetName val="PLCDAVEUR26M"/>
      <sheetName val="PLCDISTEUR50M"/>
      <sheetName val="PLCDISTPPL"/>
      <sheetName val="PLCFIN5"/>
      <sheetName val="PLCGYPSHANG"/>
      <sheetName val="PLCITALYEUR18-8M"/>
      <sheetName val="PLCMEXGBP"/>
      <sheetName val="PLCPHIGBP5M"/>
      <sheetName val="PLCPHIUSD"/>
      <sheetName val="PLCPOLSKA2"/>
      <sheetName val="PLCPOLSKA"/>
      <sheetName val="PLCSCANSEM"/>
      <sheetName val="PLCSLOVAKIA"/>
      <sheetName val="PLCSOGGBP"/>
      <sheetName val="PLCTHAIGIPSTHBIF"/>
      <sheetName val="PLCTHAIGIPSTHB"/>
      <sheetName val="PLCTHAIGIPSTHBSI"/>
      <sheetName val="PLCUKGBP300M"/>
      <sheetName val="RIGAGPLCCHF"/>
      <sheetName val="RIGAGPLCEUR2"/>
      <sheetName val="RIGAGPLCEUR"/>
      <sheetName val="RIGASPLCCZK2"/>
      <sheetName val="RIGASPLCCZK"/>
      <sheetName val="RIGHUNGPLCHUF"/>
      <sheetName val="SCONSPLC"/>
      <sheetName val="SIMPEURPLC"/>
      <sheetName val="SIMPPLC"/>
      <sheetName val="VALSIMPEUR"/>
      <sheetName val="CLAY"/>
      <sheetName val="PL"/>
      <sheetName val="Basis"/>
      <sheetName val="Groupings-final"/>
      <sheetName val="Sched"/>
      <sheetName val="Trial"/>
      <sheetName val="FA_Final"/>
      <sheetName val="Break up Sheet"/>
      <sheetName val="macros"/>
      <sheetName val="Ratio"/>
      <sheetName val="S &amp; A"/>
      <sheetName val="Deckblatt"/>
      <sheetName val="Sludge Cal"/>
      <sheetName val="COLUMN"/>
      <sheetName val="Machinery"/>
      <sheetName val="s"/>
      <sheetName val="NLD - Assum"/>
      <sheetName val="Capex-fixed"/>
      <sheetName val="Material"/>
      <sheetName val="RA"/>
      <sheetName val="5 NOT REQUIRED"/>
      <sheetName val="3cd Annexure"/>
      <sheetName val="PROGRAMME"/>
      <sheetName val="PROG SUMMARY"/>
      <sheetName val="Assumptions"/>
      <sheetName val="Deduction of assets"/>
      <sheetName val="GBW"/>
      <sheetName val="매크로"/>
      <sheetName val="BLOCK-A (MEA.SHEET)"/>
      <sheetName val="Civil-main_building4"/>
      <sheetName val="Civil-amenities_buildings4"/>
      <sheetName val="Roads-pavement-path_ways4"/>
      <sheetName val="C-Wall_BOQ4"/>
      <sheetName val="GR_slab-reinft4"/>
      <sheetName val="PointNo_51"/>
      <sheetName val="Stress_Calculation1"/>
      <sheetName val="SITE_OVERHEADS1"/>
      <sheetName val="GUT_(2)1"/>
      <sheetName val="_Net_Break_Down1"/>
      <sheetName val="Bill_No_2_to_8_(Rev)1"/>
      <sheetName val="SPT_vs_PHI1"/>
      <sheetName val="PRECAST_lightconc-II1"/>
      <sheetName val="Fill_this_out_first___1"/>
      <sheetName val="GF_Columns1"/>
      <sheetName val="Assumption_Inputs1"/>
      <sheetName val="Bill_3_-_Site_Works1"/>
      <sheetName val="Tender_Summary1"/>
      <sheetName val="K_Ajeet1"/>
      <sheetName val="AutoOpen_Stub_Data"/>
      <sheetName val="Fin_Sum"/>
      <sheetName val="Bridges_RB"/>
      <sheetName val="Analysis_Justi_"/>
      <sheetName val="Qty_Esti_-TCS"/>
      <sheetName val="Abst_Jo"/>
      <sheetName val="BSH_num1"/>
      <sheetName val="11B_1"/>
      <sheetName val="Debits_as_on_12_04_081"/>
      <sheetName val="Staff_Acco_1"/>
      <sheetName val="labour_coeff1"/>
      <sheetName val="SUMMARY_ALL_CO'S"/>
      <sheetName val="INDIGINEOUS_ITEMS_"/>
      <sheetName val="07016,_Master_List-Major_Minor"/>
      <sheetName val="Break_up_Sheet"/>
      <sheetName val="INDEX"/>
      <sheetName val="AREAS"/>
      <sheetName val="Introduction"/>
      <sheetName val="Old"/>
      <sheetName val="Operating Statistics"/>
      <sheetName val="Financials"/>
      <sheetName val="Basement Budget"/>
      <sheetName val="strain"/>
      <sheetName val="keyword"/>
      <sheetName val="C-Wadl_BOQ2"/>
      <sheetName val="FITZ MORT 94"/>
      <sheetName val="IO_List1"/>
      <sheetName val="Deduction_of_assets"/>
      <sheetName val="C_Sum"/>
      <sheetName val="A_Sum"/>
      <sheetName val="S_&amp;_A"/>
      <sheetName val="Civil-main_building5"/>
      <sheetName val="Civil-amenities_buildings5"/>
      <sheetName val="Roads-pavement-path_ways5"/>
      <sheetName val="C-Wall_BOQ5"/>
      <sheetName val="GR_slab-reinft5"/>
      <sheetName val="PointNo_52"/>
      <sheetName val="_Net_Break_Down2"/>
      <sheetName val="GUT_(2)2"/>
      <sheetName val="Stress_Calculation2"/>
      <sheetName val="11B_2"/>
      <sheetName val="PRECAST_lightconc-II2"/>
      <sheetName val="IO_List2"/>
      <sheetName val="BSH_num2"/>
      <sheetName val="Bill_No_2_to_8_(Rev)2"/>
      <sheetName val="SPT_vs_PHI2"/>
      <sheetName val="Tender_Summary2"/>
      <sheetName val="K_Ajeet2"/>
      <sheetName val="SITE_OVERHEADS2"/>
      <sheetName val="Fill_this_out_first___2"/>
      <sheetName val="GF_Columns2"/>
      <sheetName val="Assumption_Inputs2"/>
      <sheetName val="Bill_3_-_Site_Works2"/>
      <sheetName val="Staff_Acco_2"/>
      <sheetName val="Debits_as_on_12_04_082"/>
      <sheetName val="INDIGINEOUS_ITEMS_1"/>
      <sheetName val="07016,_Master_List-Major_Minor1"/>
      <sheetName val="labour_coeff2"/>
      <sheetName val="Deduction_of_assets1"/>
      <sheetName val="AutoOpen_Stub_Data1"/>
      <sheetName val="Fin_Sum1"/>
      <sheetName val="Bridges_RB1"/>
      <sheetName val="Analysis_Justi_1"/>
      <sheetName val="Qty_Esti_-TCS1"/>
      <sheetName val="Abst_Jo1"/>
      <sheetName val="C_Sum1"/>
      <sheetName val="A_Sum1"/>
      <sheetName val="S_&amp;_A1"/>
      <sheetName val="Rate analysis"/>
      <sheetName val="合成単価作成表-BLDG"/>
      <sheetName val="factors"/>
      <sheetName val="INPUT SHEET"/>
      <sheetName val="RES-PLANNING"/>
      <sheetName val="ecc_res"/>
      <sheetName val="A.O.R r1Str"/>
      <sheetName val="A.O.R r1"/>
      <sheetName val="A.O.R (2)"/>
      <sheetName val="CABLERET"/>
      <sheetName val="Bill 1"/>
      <sheetName val="Bill 2"/>
      <sheetName val="Bill 3"/>
      <sheetName val="Bill 4"/>
      <sheetName val="Bill 5"/>
      <sheetName val="Bill 6"/>
      <sheetName val="Bill 7"/>
      <sheetName val="BOQ (2)"/>
      <sheetName val="Bechtel Norms"/>
      <sheetName val="PLT-SUM"/>
      <sheetName val="Makro1"/>
      <sheetName val="Balance sheet DCCDL Nov 06"/>
      <sheetName val=" COP 100%"/>
      <sheetName val="NC-CM"/>
      <sheetName val="Story Drift-Part 2"/>
      <sheetName val="4_Annex_1_Basic_rate"/>
      <sheetName val="Detail_In_Door_Stad"/>
      <sheetName val="5_NOT_REQUIRED"/>
      <sheetName val="Bank_Guarantee"/>
      <sheetName val="IDCCALHYD-GOO"/>
      <sheetName val="SCHEDULE"/>
      <sheetName val="Database"/>
      <sheetName val="schedule nos"/>
      <sheetName val="RA-markate"/>
      <sheetName val="RCC,Ret. Wall"/>
      <sheetName val="hyperstatic"/>
      <sheetName val="SUMMARY_ALL_CO'S1"/>
      <sheetName val="Break_up_Sheet1"/>
      <sheetName val="4_Annex_1_Basic_rate1"/>
      <sheetName val="Detail_In_Door_Stad1"/>
      <sheetName val="5_NOT_REQUIRED1"/>
      <sheetName val="Bank_Guarantee1"/>
      <sheetName val="Civil-main_building6"/>
      <sheetName val="Civil-amenities_buildings6"/>
      <sheetName val="Roads-pavement-path_ways6"/>
      <sheetName val="C-Wall_BOQ6"/>
      <sheetName val="GR_slab-reinft6"/>
      <sheetName val="PointNo_53"/>
      <sheetName val="Stress_Calculation3"/>
      <sheetName val="GUT_(2)3"/>
      <sheetName val="SPT_vs_PHI3"/>
      <sheetName val="Bill_No_2_to_8_(Rev)3"/>
      <sheetName val="Bill_3_-_Site_Works3"/>
      <sheetName val="PRECAST_lightconc-II3"/>
      <sheetName val="Fill_this_out_first___3"/>
      <sheetName val="GF_Columns3"/>
      <sheetName val="Assumption_Inputs3"/>
      <sheetName val="_Net_Break_Down3"/>
      <sheetName val="BSH_num3"/>
      <sheetName val="11B_3"/>
      <sheetName val="Tender_Summary3"/>
      <sheetName val="Staff_Acco_3"/>
      <sheetName val="Debits_as_on_12_04_083"/>
      <sheetName val="SITE_OVERHEADS3"/>
      <sheetName val="labour_coeff3"/>
      <sheetName val="K_Ajeet3"/>
      <sheetName val="AutoOpen_Stub_Data2"/>
      <sheetName val="Fin_Sum2"/>
      <sheetName val="Bridges_RB2"/>
      <sheetName val="Analysis_Justi_2"/>
      <sheetName val="Qty_Esti_-TCS2"/>
      <sheetName val="Abst_Jo2"/>
      <sheetName val="INDIGINEOUS_ITEMS_2"/>
      <sheetName val="07016,_Master_List-Major_Minor2"/>
      <sheetName val="SUMMARY_ALL_CO'S2"/>
      <sheetName val="C_Sum2"/>
      <sheetName val="A_Sum2"/>
      <sheetName val="Break_up_Sheet2"/>
      <sheetName val="Deduction_of_assets2"/>
      <sheetName val="S_&amp;_A2"/>
      <sheetName val="4_Annex_1_Basic_rate2"/>
      <sheetName val="Detail_In_Door_Stad2"/>
      <sheetName val="5_NOT_REQUIRED2"/>
      <sheetName val="Bank_Guarantee2"/>
      <sheetName val="Civil-main_building7"/>
      <sheetName val="Civil-amenities_buildings7"/>
      <sheetName val="Roads-pavement-path_ways7"/>
      <sheetName val="C-Wall_BOQ7"/>
      <sheetName val="GR_slab-reinft7"/>
      <sheetName val="PointNo_54"/>
      <sheetName val="Stress_Calculation4"/>
      <sheetName val="GUT_(2)4"/>
      <sheetName val="SPT_vs_PHI4"/>
      <sheetName val="Bill_No_2_to_8_(Rev)4"/>
      <sheetName val="Bill_3_-_Site_Works4"/>
      <sheetName val="PRECAST_lightconc-II4"/>
      <sheetName val="Fill_this_out_first___4"/>
      <sheetName val="GF_Columns4"/>
      <sheetName val="Assumption_Inputs4"/>
      <sheetName val="_Net_Break_Down4"/>
      <sheetName val="BSH_num4"/>
      <sheetName val="11B_4"/>
      <sheetName val="Tender_Summary4"/>
      <sheetName val="Staff_Acco_4"/>
      <sheetName val="Debits_as_on_12_04_084"/>
      <sheetName val="SITE_OVERHEADS4"/>
      <sheetName val="labour_coeff4"/>
      <sheetName val="K_Ajeet4"/>
      <sheetName val="AutoOpen_Stub_Data3"/>
      <sheetName val="Fin_Sum3"/>
      <sheetName val="Bridges_RB3"/>
      <sheetName val="Analysis_Justi_3"/>
      <sheetName val="Qty_Esti_-TCS3"/>
      <sheetName val="Abst_Jo3"/>
      <sheetName val="INDIGINEOUS_ITEMS_3"/>
      <sheetName val="07016,_Master_List-Major_Minor3"/>
      <sheetName val="SUMMARY_ALL_CO'S3"/>
      <sheetName val="C_Sum3"/>
      <sheetName val="A_Sum3"/>
      <sheetName val="Break_up_Sheet3"/>
      <sheetName val="Deduction_of_assets3"/>
      <sheetName val="S_&amp;_A3"/>
      <sheetName val="4_Annex_1_Basic_rate3"/>
      <sheetName val="Detail_In_Door_Stad3"/>
      <sheetName val="5_NOT_REQUIRED3"/>
      <sheetName val="Bank_Guarantee3"/>
      <sheetName val="Basement_Budget"/>
      <sheetName val="PROG_SUMMARY"/>
      <sheetName val="INPUT_SHEET"/>
      <sheetName val="FITZ_MORT_94"/>
      <sheetName val="Civil-main_building8"/>
      <sheetName val="Civil-amenities_buildings8"/>
      <sheetName val="Roads-pavement-path_ways8"/>
      <sheetName val="C-Wall_BOQ8"/>
      <sheetName val="GR_slab-reinft8"/>
      <sheetName val="PointNo_55"/>
      <sheetName val="Stress_Calculation5"/>
      <sheetName val="GUT_(2)5"/>
      <sheetName val="SPT_vs_PHI5"/>
      <sheetName val="Bill_No_2_to_8_(Rev)5"/>
      <sheetName val="Bill_3_-_Site_Works5"/>
      <sheetName val="PRECAST_lightconc-II5"/>
      <sheetName val="Fill_this_out_first___5"/>
      <sheetName val="GF_Columns5"/>
      <sheetName val="Assumption_Inputs5"/>
      <sheetName val="_Net_Break_Down5"/>
      <sheetName val="BSH_num5"/>
      <sheetName val="11B_5"/>
      <sheetName val="Tender_Summary5"/>
      <sheetName val="Staff_Acco_5"/>
      <sheetName val="Debits_as_on_12_04_085"/>
      <sheetName val="SITE_OVERHEADS5"/>
      <sheetName val="labour_coeff5"/>
      <sheetName val="K_Ajeet5"/>
      <sheetName val="AutoOpen_Stub_Data4"/>
      <sheetName val="Fin_Sum4"/>
      <sheetName val="Bridges_RB4"/>
      <sheetName val="Analysis_Justi_4"/>
      <sheetName val="Qty_Esti_-TCS4"/>
      <sheetName val="Abst_Jo4"/>
      <sheetName val="INDIGINEOUS_ITEMS_4"/>
      <sheetName val="07016,_Master_List-Major_Minor4"/>
      <sheetName val="SUMMARY_ALL_CO'S4"/>
      <sheetName val="C_Sum4"/>
      <sheetName val="A_Sum4"/>
      <sheetName val="Break_up_Sheet4"/>
      <sheetName val="Deduction_of_assets4"/>
      <sheetName val="S_&amp;_A4"/>
      <sheetName val="4_Annex_1_Basic_rate4"/>
      <sheetName val="Detail_In_Door_Stad4"/>
      <sheetName val="5_NOT_REQUIRED4"/>
      <sheetName val="Bank_Guarantee4"/>
      <sheetName val="Basement_Budget1"/>
      <sheetName val="PROG_SUMMARY1"/>
      <sheetName val="INPUT_SHEET1"/>
      <sheetName val="FITZ_MORT_941"/>
      <sheetName val="Legend"/>
      <sheetName val="AoR Finishing"/>
      <sheetName val="Mat_Cost"/>
      <sheetName val="Basic Rates"/>
      <sheetName val="Ave.wtd.rates"/>
      <sheetName val="Material "/>
      <sheetName val="Labour &amp; Plant"/>
      <sheetName val="Indices"/>
      <sheetName val="PARAMETRES"/>
      <sheetName val="Allg. Angaben"/>
      <sheetName val="Auswahl"/>
      <sheetName val="9-1차이내역"/>
      <sheetName val="@risk rents and incentives"/>
      <sheetName val="Car park lease"/>
      <sheetName val="Net rent analysis"/>
      <sheetName val="9. Package split - Cost "/>
      <sheetName val="strand"/>
      <sheetName val="Annex"/>
      <sheetName val="DETAILED  BOQ"/>
      <sheetName val="Control"/>
      <sheetName val="BOQ_(2)"/>
      <sheetName val="rent &amp; value assumptions"/>
      <sheetName val="PSDA detailed cashflow for debt"/>
      <sheetName val="Financing Assumptions"/>
      <sheetName val="Equity shares analysis"/>
      <sheetName val="Loan B interest"/>
      <sheetName val="Loan covenant tests"/>
      <sheetName val="Rents committed"/>
      <sheetName val="LCC profit share calculation"/>
      <sheetName val="Loan A interest guarantee"/>
      <sheetName val="IO_List3"/>
      <sheetName val="BLOCK-A_(MEA_SHEET)"/>
      <sheetName val="A_O_R_r1Str"/>
      <sheetName val="A_O_R_r1"/>
      <sheetName val="A_O_R_(2)"/>
      <sheetName val="FitOutConfCentre"/>
      <sheetName val="HEAD"/>
      <sheetName val="SOA"/>
      <sheetName val="Podium Areas"/>
      <sheetName val="lookups"/>
      <sheetName val="ref"/>
      <sheetName val="Top sheet"/>
      <sheetName val="Certificate"/>
      <sheetName val="Abstract"/>
      <sheetName val="M-Book for Conc"/>
      <sheetName val="LEVELS"/>
      <sheetName val="Rein.Steel"/>
      <sheetName val="M-Book for FW"/>
      <sheetName val="M-Book others"/>
      <sheetName val="M-Book filling"/>
      <sheetName val="beam-reinft-machine rm"/>
      <sheetName val="jobhist"/>
      <sheetName val="A-Property"/>
      <sheetName val="Structure Bills Qty"/>
      <sheetName val="old_serial no."/>
      <sheetName val="tot_ass_9697"/>
      <sheetName val="A.O.R."/>
      <sheetName val="FINA"/>
      <sheetName val="Civil-main_building9"/>
      <sheetName val="Civil-amenities_buildings9"/>
      <sheetName val="Roads-pavement-path_ways9"/>
      <sheetName val="C-Wall_BOQ9"/>
      <sheetName val="GR_slab-reinft9"/>
      <sheetName val="GUT_(2)6"/>
      <sheetName val="PointNo_56"/>
      <sheetName val="Stress_Calculation6"/>
      <sheetName val="_Net_Break_Down6"/>
      <sheetName val="Bill_No_2_to_8_(Rev)6"/>
      <sheetName val="SPT_vs_PHI6"/>
      <sheetName val="PRECAST_lightconc-II6"/>
      <sheetName val="Fill_this_out_first___6"/>
      <sheetName val="GF_Columns6"/>
      <sheetName val="Assumption_Inputs6"/>
      <sheetName val="Bill_3_-_Site_Works6"/>
      <sheetName val="SITE_OVERHEADS6"/>
      <sheetName val="Tender_Summary6"/>
      <sheetName val="BSH_num6"/>
      <sheetName val="K_Ajeet6"/>
      <sheetName val="SUMMARY_ALL_CO'S5"/>
      <sheetName val="11B_6"/>
      <sheetName val="AutoOpen_Stub_Data5"/>
      <sheetName val="Bridges_RB5"/>
      <sheetName val="Analysis_Justi_5"/>
      <sheetName val="Qty_Esti_-TCS5"/>
      <sheetName val="Abst_Jo5"/>
      <sheetName val="Fin_Sum5"/>
      <sheetName val="Debits_as_on_12_04_086"/>
      <sheetName val="Staff_Acco_6"/>
      <sheetName val="labour_coeff6"/>
      <sheetName val="Break_up_Sheet5"/>
      <sheetName val="INDIGINEOUS_ITEMS_5"/>
      <sheetName val="07016,_Master_List-Major_Minor5"/>
      <sheetName val="C_Sum5"/>
      <sheetName val="A_Sum5"/>
      <sheetName val="Deduction_of_assets5"/>
      <sheetName val="S_&amp;_A5"/>
      <sheetName val="4_Annex_1_Basic_rate5"/>
      <sheetName val="Detail_In_Door_Stad5"/>
      <sheetName val="Bank_Guarantee5"/>
      <sheetName val="BOQ_(2)1"/>
      <sheetName val="BLOCK-A_(MEA_SHEET)1"/>
      <sheetName val="A_O_R_r1Str1"/>
      <sheetName val="A_O_R_r11"/>
      <sheetName val="A_O_R_(2)1"/>
      <sheetName val="PROG_SUMMARY2"/>
      <sheetName val="Sludge_Cal"/>
      <sheetName val="Ave_wtd_rates"/>
      <sheetName val="Material_"/>
      <sheetName val="NLD_-_Assum"/>
      <sheetName val="5_NOT_REQUIRED5"/>
      <sheetName val="A_O_R_"/>
      <sheetName val="Basement_Budget2"/>
      <sheetName val="INPUT_SHEET2"/>
      <sheetName val="FITZ_MORT_942"/>
      <sheetName val="3cd_Annexure"/>
      <sheetName val="Story_Drift-Part_2"/>
      <sheetName val="Allg__Angaben"/>
      <sheetName val="AoR_Finishing"/>
      <sheetName val="Rate_analysis"/>
      <sheetName val="Operating_Statistics"/>
      <sheetName val="schedule_nos"/>
      <sheetName val="RCC,Ret__Wall"/>
      <sheetName val="Basic_Rates"/>
      <sheetName val="Labour_&amp;_Plant"/>
      <sheetName val="Podium_Areas"/>
      <sheetName val="Bill_1"/>
      <sheetName val="Bill_2"/>
      <sheetName val="Bill_3"/>
      <sheetName val="Bill_4"/>
      <sheetName val="Bill_5"/>
      <sheetName val="Bill_6"/>
      <sheetName val="Bill_7"/>
      <sheetName val="9__Package_split_-_Cost_"/>
      <sheetName val="DETAILED__BOQ"/>
      <sheetName val="CASHFLOWS"/>
      <sheetName val="LABOUR_RATE"/>
      <sheetName val="Material_Rate"/>
      <sheetName val="Balance_sheet_DCCDL_Nov_06"/>
      <sheetName val="_COP_100%"/>
      <sheetName val="LABOUR RATE"/>
      <sheetName val="Material Rate"/>
      <sheetName val="CS PIPING"/>
      <sheetName val="TECH DATA"/>
      <sheetName val="MASTER_RATE ANALYSIS"/>
      <sheetName val="PA- Consutant "/>
      <sheetName val="Works - Quote Sheet"/>
      <sheetName val="office"/>
      <sheetName val="Lab"/>
      <sheetName val="beam-reinft-IIInd floor"/>
      <sheetName val="JOB COSTING SHEET ELEC"/>
      <sheetName val="Calendar"/>
      <sheetName val="annx-1(Boq)"/>
      <sheetName val="IRP all H2s"/>
      <sheetName val="Load Details(B2)"/>
      <sheetName val="DSLP"/>
      <sheetName val="ENCL9"/>
      <sheetName val="Assump"/>
      <sheetName val="Inter Co Balances"/>
      <sheetName val="MFG"/>
      <sheetName val="Internet"/>
      <sheetName val="Sec-I"/>
      <sheetName val="MAINBS1"/>
      <sheetName val="Bechtel_Norms"/>
      <sheetName val="CS_PIPING"/>
      <sheetName val="TECH_DATA"/>
      <sheetName val="water prop."/>
      <sheetName val="Transfer"/>
      <sheetName val="sheet6"/>
      <sheetName val="갑지"/>
      <sheetName val="SP Break Up"/>
      <sheetName val="MG"/>
      <sheetName val="환율"/>
      <sheetName val="Oracle Upload"/>
      <sheetName val="base"/>
      <sheetName val="qty schedule"/>
      <sheetName val="AILC004"/>
      <sheetName val="Westin FOH &amp; BOH Split"/>
      <sheetName val="PriceSummary"/>
      <sheetName val="Col-Schedule"/>
      <sheetName val="C3"/>
      <sheetName val="Rate Breakdowns (Civil)"/>
      <sheetName val="MECH-1"/>
      <sheetName val="BaseWeight"/>
      <sheetName val="UPA(Part C,D,E,G,H)"/>
      <sheetName val="Materials"/>
      <sheetName val="Quantity"/>
      <sheetName val="SRC-B3U2"/>
      <sheetName val="GAE8'97"/>
      <sheetName val="基本ﾃﾞｰﾀ"/>
      <sheetName val="MAIN"/>
      <sheetName val="Det Import"/>
      <sheetName val="OLD PRICES"/>
      <sheetName val="Cost Factor Sheet"/>
      <sheetName val="Load Sch, Cable Sel &amp; Qty"/>
      <sheetName val="Factor Sheet"/>
      <sheetName val="Price Sheet"/>
      <sheetName val="Ra  stair"/>
      <sheetName val="PA"/>
      <sheetName val="Workings"/>
      <sheetName val="AEX_IMPORTS"/>
      <sheetName val="금융비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Set>
  </externalBook>
</externalLink>
</file>

<file path=xl/externalLinks/externalLink105.xml><?xml version="1.0" encoding="utf-8"?>
<externalLink xmlns="http://schemas.openxmlformats.org/spreadsheetml/2006/main">
  <externalBook xmlns:r="http://schemas.openxmlformats.org/officeDocument/2006/relationships" r:id="rId1">
    <sheetNames>
      <sheetName val="Beg"/>
      <sheetName val="5Pg P&amp;L"/>
      <sheetName val="YTDComp"/>
      <sheetName val="MthlyComp"/>
      <sheetName val="Trend"/>
      <sheetName val="Sales Prod"/>
      <sheetName val="Closeouts"/>
      <sheetName val="Manpower"/>
      <sheetName val="SAB101"/>
      <sheetName val="SAB101(Exp)"/>
      <sheetName val="SumPNL"/>
      <sheetName val="SumSP"/>
      <sheetName val="Trend Sum"/>
      <sheetName val="Resi COA"/>
      <sheetName val="Comm COA"/>
      <sheetName val="Comm Install OH"/>
      <sheetName val="Resi Install OH"/>
      <sheetName val="Conv Install OH"/>
      <sheetName val="Resi Sales"/>
      <sheetName val="Comm Sales"/>
      <sheetName val="Input"/>
      <sheetName val="Trial Balance"/>
      <sheetName val="SumPNL_Old"/>
      <sheetName val="Trend_old"/>
      <sheetName val="Cover"/>
      <sheetName val="TOC"/>
      <sheetName val="Section 1"/>
      <sheetName val="TFPP MTD"/>
      <sheetName val="TFPP QTD"/>
      <sheetName val="TFPP YTD"/>
      <sheetName val="MTD vs FY12"/>
      <sheetName val="MTD vs FCST"/>
      <sheetName val="MTD vs PLAN"/>
      <sheetName val="QTD vs FY12"/>
      <sheetName val="QTD vs FCST"/>
      <sheetName val="QTD vs PLAN"/>
      <sheetName val="YTD vs FY12"/>
      <sheetName val="YTD vs FCST"/>
      <sheetName val="YTD vs PLAN"/>
      <sheetName val="Section 2"/>
      <sheetName val="Top 10 Inv Balance"/>
      <sheetName val="9 Blocker-ALL IN"/>
      <sheetName val="POV"/>
      <sheetName val="Assumptions"/>
      <sheetName val="A"/>
      <sheetName val="Dist Controls"/>
      <sheetName val="File Settings"/>
      <sheetName val="Forecast"/>
      <sheetName val="Sheet2"/>
      <sheetName val="Summary"/>
      <sheetName val="NonPerp"/>
      <sheetName val="Perp"/>
      <sheetName val="Database"/>
      <sheetName val="Date Ranges"/>
      <sheetName val="d-safe specs"/>
      <sheetName val="ID Office-R1 - 23.8.2012"/>
      <sheetName val="Schnieder Price List-July 2012"/>
      <sheetName val="Exchange Rates(rounded)"/>
      <sheetName val="CQ by Entity"/>
      <sheetName val="FY by Entity"/>
      <sheetName val="INDEX"/>
      <sheetName val="NQ by Entity"/>
      <sheetName val="CQ Bridge"/>
      <sheetName val="CQ Orders"/>
      <sheetName val="Org Growth"/>
      <sheetName val="Monthly Trend Act MOR pv"/>
      <sheetName val="Start"/>
      <sheetName val="Legend"/>
      <sheetName val="Ragama"/>
      <sheetName val="Zones"/>
      <sheetName val="3A"/>
      <sheetName val="Schedules"/>
      <sheetName val="Kaatsu H.A.M.T.T.C.-7 jan 10"/>
      <sheetName val="Cash Flow Worksheet"/>
      <sheetName val="may_data"/>
      <sheetName val="Sheet1"/>
      <sheetName val="Backlog Consol"/>
      <sheetName val="HyperionEnt"/>
      <sheetName val="Factors"/>
      <sheetName val="CF"/>
      <sheetName val="Rate analysis 1"/>
      <sheetName val="Fcst Tool"/>
      <sheetName val="CCTV_EST1"/>
      <sheetName val="Factor Sheet"/>
      <sheetName val="Cost Factor Sheet"/>
      <sheetName val="Bill 5 - Carpar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06.xml><?xml version="1.0" encoding="utf-8"?>
<externalLink xmlns="http://schemas.openxmlformats.org/spreadsheetml/2006/main">
  <externalBook xmlns:r="http://schemas.openxmlformats.org/officeDocument/2006/relationships" r:id="rId1">
    <sheetNames>
      <sheetName val="Central Bank-13.2.2014"/>
      <sheetName val="keels-12.2.2014"/>
      <sheetName val="Duwa Rd-11.2.2014"/>
      <sheetName val="Order No.2 -LS"/>
      <sheetName val="schnieder"/>
      <sheetName val="Summary"/>
      <sheetName val="LS"/>
      <sheetName val="3 phase-calculations"/>
      <sheetName val="ACL price list"/>
      <sheetName val="Ceylon Tobacco-11.2.2014"/>
      <sheetName val="Flow Tech - 10.2.2013"/>
      <sheetName val="Flow tech-Centrl Bank-7.2.2014"/>
      <sheetName val="Colorful Fashio-wattala-5.2.201"/>
      <sheetName val="Keels-6.2.2014"/>
      <sheetName val="Sino Lanka-Package-3.2.14"/>
      <sheetName val="Sino Lanka-1.2.2014"/>
      <sheetName val="Kelaniya Univ-31.1.2014"/>
      <sheetName val="Flow Tech - 31.1.2014"/>
      <sheetName val="Flow Tech-30.1.2014"/>
      <sheetName val="Marriot-cutter-29.1.2014"/>
      <sheetName val="Low Cost-29.1.2014"/>
      <sheetName val="Brwns Hosp-rgma-Fire-13.8.13"/>
      <sheetName val="Browns Hospital-Ragama-9.8.13"/>
      <sheetName val="Sheraton-27.1.2014"/>
      <sheetName val="Corals edge-Ambalangoda-28.1.14"/>
      <sheetName val="Flow Tech-VSD-27.1.2014"/>
      <sheetName val="Marriot-27.1.2014"/>
      <sheetName val="butq.hotel-alles gdn-trnco"/>
      <sheetName val="Marriot-Weligama-24.1.2014"/>
      <sheetName val="Thulsimahal-22.1.2014"/>
      <sheetName val="Sino Lanka-Rajagiriya-22.1.2014"/>
      <sheetName val="sanken holiday home-21.1.2014"/>
      <sheetName val="Kasun-21.1.2014"/>
      <sheetName val="Steuart House-Booster-20.1.2014"/>
      <sheetName val="Steuart House-20.1.2014-Fire"/>
      <sheetName val="Steuart House-20.1.2014-Sprinkl"/>
      <sheetName val="Anantara-Kalutara-20.1.2014"/>
      <sheetName val="Maldives-Training Ctr-17.1.2014"/>
      <sheetName val="Nimal Perera-27.12.13 "/>
      <sheetName val="Thulsimahal-16.1.2014"/>
      <sheetName val="Teaching Hosp-13.01.2014"/>
      <sheetName val="Telecom-Hambantota-11.1.2014"/>
      <sheetName val="Stuart House-3.1.2014"/>
      <sheetName val="Dankotuwa-2.1.14"/>
      <sheetName val="lightning prot-hi way-8.11.2013"/>
      <sheetName val="Anantara-Kalutara-1.1.2014"/>
      <sheetName val="Lanka Clear -28.12.13"/>
      <sheetName val="Anantara-Kalutara-28.12.2013"/>
      <sheetName val="Mirissa-27.12.13"/>
      <sheetName val="Teaching Hosp-27.12.2013"/>
      <sheetName val="Brandix-Welisara-23.12.2013"/>
      <sheetName val="Flow Tch-VSD(Quotation)23.12.13"/>
      <sheetName val="Flow Tech-VSD-23.12.13"/>
      <sheetName val="Udara-23.12.13"/>
      <sheetName val="Irigtn Syst-electrical-20.12.13"/>
      <sheetName val="Keels - 20.12.2013"/>
      <sheetName val="Hot Water Circu.-20.12.2013"/>
      <sheetName val="Bnk of Cyln-20.12.13"/>
      <sheetName val="Flow Tech-17.12.2013"/>
      <sheetName val="Coats-Horana-MSB&amp;DBs-17.12.13"/>
      <sheetName val="Ananthaya-passikuda-AC-13.12.13"/>
      <sheetName val="Ananthaya-passikuda-AC-temp-13-"/>
      <sheetName val="FlowHmgma Grds-9.7.2013-details"/>
      <sheetName val="scouts bldg ESTIMATE-24.10.2013"/>
      <sheetName val="Ananthaya-Pskda-Fire 10.12.2013"/>
      <sheetName val="Mr.nimal perera-10.12.2013 (2)"/>
      <sheetName val="Mr.nimal perera-10.12.2013"/>
      <sheetName val="ananthaya-passikuda-10.12.2013"/>
      <sheetName val="Sheet1"/>
      <sheetName val="Sheet2"/>
      <sheetName val="Sheet3"/>
      <sheetName val="Macksons-27.2.2014"/>
      <sheetName val="Seachells-25.2.2014"/>
      <sheetName val="500Rms-Ait.spce-25.2.2014"/>
      <sheetName val="Queensbury-24.2.2014"/>
      <sheetName val="FowTech-phone-18.2.2014 (2)"/>
      <sheetName val="Marriot-vacon-20.2.2014"/>
      <sheetName val="Marriot-yasakawa-20.2.2014"/>
      <sheetName val="Queensburry-Betota-FIRE-20.2.14"/>
      <sheetName val="Central Bank-13.2.2014 (Rev1)"/>
      <sheetName val="Sino Lanka-Rajagiriya-18.2.2014"/>
      <sheetName val="FowTech-phone-18.2.2014"/>
      <sheetName val="on 320 apartments-Review"/>
      <sheetName val="on 320 apartments-Review (2)"/>
      <sheetName val="MIT-urinal sensors-19.2.2014"/>
      <sheetName val="Flow Tech - 17.2.2013 (deyata )"/>
      <sheetName val="Rakna Lanka-13.2.2014"/>
      <sheetName val="PC office comp-batmulla-3.3.14"/>
      <sheetName val="Flowtc-Qunsbry-3.3.2014"/>
      <sheetName val="on 320 - cost calculation"/>
      <sheetName val="Rohan Jayasinghe-1.3.2014"/>
      <sheetName val="Butni-28.2.2014"/>
      <sheetName val="Mech.Wkshp-27.2.2014"/>
      <sheetName val="DeFonseka Place-27.2.2014"/>
      <sheetName val="Dial Tex-14.3.2014"/>
      <sheetName val="passikuda-Rev-14.3.2014"/>
      <sheetName val="Chalets@Marawila-12.3.2014"/>
      <sheetName val="KKS Navy-12.3.2014"/>
      <sheetName val="Palmyra-12.3.2014"/>
      <sheetName val="Pool Pumps-Udaya-11.3.2014"/>
      <sheetName val="BOC Beliatta-11.3.2014"/>
      <sheetName val="Design office-kandy-10.3.20"/>
      <sheetName val="Ambani-6.3.2014"/>
      <sheetName val="PC office comp-batmulla-4.3.14"/>
      <sheetName val="Milagiriya-8.3.014"/>
      <sheetName val="Hotel@Kandy-4.3.2014"/>
      <sheetName val="Yarl Hotel-Jaffna-3.3.2014"/>
      <sheetName val="Univ.Jaffna-3.3.2014"/>
      <sheetName val="on 320 apartments-Review (3)"/>
      <sheetName val="Flow Tech-17.3.2014"/>
      <sheetName val="City Hotel - 24.3.2014"/>
      <sheetName val="Labour Dept-19.3.2014"/>
      <sheetName val="MIT-urinal sensors-17.2.2014"/>
      <sheetName val="Dutch Hospital - 1.4.2014"/>
      <sheetName val="Design office-kandy-7.3.2014"/>
      <sheetName val="Hmgma Grds-9.7.2013-details"/>
      <sheetName val="B-2"/>
      <sheetName val="Price Sheet"/>
      <sheetName val="Factor Sheet"/>
      <sheetName val="Super"/>
      <sheetName val="PLUMBING WORK ADDITIONS"/>
      <sheetName val="ID Office-R1 - 23.8.2012"/>
      <sheetName val="Schnieder Price List-July 2012"/>
      <sheetName val="Factors"/>
      <sheetName val="aug_data"/>
      <sheetName val="Cctmst"/>
      <sheetName val=" Factor  "/>
      <sheetName val="Histry Price"/>
      <sheetName val="Ragama"/>
      <sheetName val="JOB COSTING SHEET ELEC"/>
      <sheetName val="3.Labour"/>
      <sheetName val="1.Material"/>
      <sheetName val="MMI"/>
      <sheetName val="2.Machinery"/>
      <sheetName val="D_Cntnts"/>
      <sheetName val="analysis"/>
      <sheetName val="Cost Factor Sheet"/>
      <sheetName val="total components with Rates"/>
      <sheetName val="HO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07.xml><?xml version="1.0" encoding="utf-8"?>
<externalLink xmlns="http://schemas.openxmlformats.org/spreadsheetml/2006/main">
  <externalBook xmlns:r="http://schemas.openxmlformats.org/officeDocument/2006/relationships" r:id="rId1">
    <sheetNames>
      <sheetName val="Bill"/>
      <sheetName val="Residue preheat exchange"/>
      <sheetName val="(2)"/>
      <sheetName val="Notes"/>
      <sheetName val="macros"/>
      <sheetName val="analysis"/>
      <sheetName val="strain"/>
      <sheetName val="s"/>
      <sheetName val="Administrative Prices"/>
      <sheetName val="Summary"/>
      <sheetName val="3cd Annexure"/>
      <sheetName val="banilad"/>
      <sheetName val="Mactan"/>
      <sheetName val="Mandaue"/>
      <sheetName val="GUT (2)"/>
      <sheetName val="ACE-OUT"/>
      <sheetName val="GR.slab-reinft"/>
      <sheetName val="Transfer"/>
      <sheetName val="BC &amp; MNB "/>
      <sheetName val="Data"/>
      <sheetName val="Basic Rates"/>
      <sheetName val="NLD - Assum"/>
      <sheetName val="Capex-fixed"/>
      <sheetName val="FINOLEX"/>
      <sheetName val="DETAILED  BOQ"/>
      <sheetName val="Labels"/>
      <sheetName val="Residue_preheat_exchange"/>
      <sheetName val="GR_slab-reinft"/>
      <sheetName val="Administrative_Prices"/>
      <sheetName val="3cd_Annexure"/>
      <sheetName val="GUT_(2)"/>
      <sheetName val="Residue_preheat_exchange2"/>
      <sheetName val="GR_slab-reinft2"/>
      <sheetName val="Administrative_Prices2"/>
      <sheetName val="3cd_Annexure2"/>
      <sheetName val="GUT_(2)2"/>
      <sheetName val="Residue_preheat_exchange1"/>
      <sheetName val="GR_slab-reinft1"/>
      <sheetName val="Administrative_Prices1"/>
      <sheetName val="3cd_Annexure1"/>
      <sheetName val="GUT_(2)1"/>
      <sheetName val="Residue_preheat_exchange3"/>
      <sheetName val="GR_slab-reinft3"/>
      <sheetName val="Administrative_Prices3"/>
      <sheetName val="3cd_Annexure3"/>
      <sheetName val="GUT_(2)3"/>
      <sheetName val="Residue_preheat_exchange4"/>
      <sheetName val="GR_slab-reinft4"/>
      <sheetName val="Administrative_Prices4"/>
      <sheetName val="3cd_Annexure4"/>
      <sheetName val="GUT_(2)4"/>
      <sheetName val="Residue_preheat_exchange5"/>
      <sheetName val="GR_slab-reinft5"/>
      <sheetName val="Administrative_Prices5"/>
      <sheetName val="3cd_Annexure5"/>
      <sheetName val="GUT_(2)5"/>
      <sheetName val="Residue_preheat_exchange6"/>
      <sheetName val="GR_slab-reinft6"/>
      <sheetName val="Administrative_Prices6"/>
      <sheetName val="3cd_Annexure6"/>
      <sheetName val="GUT_(2)6"/>
      <sheetName val="Residue_preheat_exchange7"/>
      <sheetName val="GR_slab-reinft7"/>
      <sheetName val="Administrative_Prices7"/>
      <sheetName val="3cd_Annexure7"/>
      <sheetName val="GUT_(2)7"/>
      <sheetName val="Residue_preheat_exchange8"/>
      <sheetName val="GR_slab-reinft8"/>
      <sheetName val="Administrative_Prices8"/>
      <sheetName val="3cd_Annexure8"/>
      <sheetName val="GUT_(2)8"/>
      <sheetName val="upa"/>
      <sheetName val="Residue_preheat_exchange14"/>
      <sheetName val="GR_slab-reinft14"/>
      <sheetName val="Administrative_Prices14"/>
      <sheetName val="3cd_Annexure14"/>
      <sheetName val="GUT_(2)14"/>
      <sheetName val="Residue_preheat_exchange10"/>
      <sheetName val="GR_slab-reinft10"/>
      <sheetName val="Administrative_Prices10"/>
      <sheetName val="3cd_Annexure10"/>
      <sheetName val="GUT_(2)10"/>
      <sheetName val="Residue_preheat_exchange9"/>
      <sheetName val="GR_slab-reinft9"/>
      <sheetName val="Administrative_Prices9"/>
      <sheetName val="3cd_Annexure9"/>
      <sheetName val="GUT_(2)9"/>
      <sheetName val="Residue_preheat_exchange11"/>
      <sheetName val="GR_slab-reinft11"/>
      <sheetName val="Administrative_Prices11"/>
      <sheetName val="3cd_Annexure11"/>
      <sheetName val="GUT_(2)11"/>
      <sheetName val="Residue_preheat_exchange12"/>
      <sheetName val="GR_slab-reinft12"/>
      <sheetName val="Administrative_Prices12"/>
      <sheetName val="3cd_Annexure12"/>
      <sheetName val="GUT_(2)12"/>
      <sheetName val="Residue_preheat_exchange13"/>
      <sheetName val="GR_slab-reinft13"/>
      <sheetName val="Administrative_Prices13"/>
      <sheetName val="3cd_Annexure13"/>
      <sheetName val="GUT_(2)13"/>
      <sheetName val="Residue_preheat_exchange20"/>
      <sheetName val="GR_slab-reinft20"/>
      <sheetName val="Administrative_Prices20"/>
      <sheetName val="3cd_Annexure20"/>
      <sheetName val="GUT_(2)20"/>
      <sheetName val="Residue_preheat_exchange15"/>
      <sheetName val="GR_slab-reinft15"/>
      <sheetName val="Administrative_Prices15"/>
      <sheetName val="3cd_Annexure15"/>
      <sheetName val="GUT_(2)15"/>
      <sheetName val="Residue_preheat_exchange16"/>
      <sheetName val="GR_slab-reinft16"/>
      <sheetName val="Administrative_Prices16"/>
      <sheetName val="3cd_Annexure16"/>
      <sheetName val="GUT_(2)16"/>
      <sheetName val="BC_&amp;_MNB_3"/>
      <sheetName val="Basic_Rates3"/>
      <sheetName val="NLD_-_Assum3"/>
      <sheetName val="Residue_preheat_exchange17"/>
      <sheetName val="GR_slab-reinft17"/>
      <sheetName val="Administrative_Prices17"/>
      <sheetName val="3cd_Annexure17"/>
      <sheetName val="GUT_(2)17"/>
      <sheetName val="BC_&amp;_MNB_"/>
      <sheetName val="Basic_Rates"/>
      <sheetName val="NLD_-_Assum"/>
      <sheetName val="Residue_preheat_exchange18"/>
      <sheetName val="GR_slab-reinft18"/>
      <sheetName val="Administrative_Prices18"/>
      <sheetName val="3cd_Annexure18"/>
      <sheetName val="GUT_(2)18"/>
      <sheetName val="BC_&amp;_MNB_1"/>
      <sheetName val="Basic_Rates1"/>
      <sheetName val="NLD_-_Assum1"/>
      <sheetName val="Residue_preheat_exchange19"/>
      <sheetName val="GR_slab-reinft19"/>
      <sheetName val="Administrative_Prices19"/>
      <sheetName val="3cd_Annexure19"/>
      <sheetName val="GUT_(2)19"/>
      <sheetName val="BC_&amp;_MNB_2"/>
      <sheetName val="Basic_Rates2"/>
      <sheetName val="NLD_-_Assum2"/>
      <sheetName val="Residue_preheat_exchange21"/>
      <sheetName val="GR_slab-reinft21"/>
      <sheetName val="Administrative_Prices21"/>
      <sheetName val="3cd_Annexure21"/>
      <sheetName val="GUT_(2)21"/>
      <sheetName val="BC_&amp;_MNB_4"/>
      <sheetName val="Basic_Rates4"/>
      <sheetName val="NLD_-_Assum4"/>
      <sheetName val="Residue_preheat_exchange22"/>
      <sheetName val="GR_slab-reinft22"/>
      <sheetName val="Administrative_Prices22"/>
      <sheetName val="3cd_Annexure22"/>
      <sheetName val="GUT_(2)22"/>
      <sheetName val="BC_&amp;_MNB_5"/>
      <sheetName val="Basic_Rates5"/>
      <sheetName val="NLD_-_Assum5"/>
      <sheetName val="Residue_preheat_exchange23"/>
      <sheetName val="GR_slab-reinft23"/>
      <sheetName val="Administrative_Prices23"/>
      <sheetName val="3cd_Annexure23"/>
      <sheetName val="GUT_(2)23"/>
      <sheetName val="BC_&amp;_MNB_6"/>
      <sheetName val="Basic_Rates6"/>
      <sheetName val="NLD_-_Assum6"/>
      <sheetName val="Residue_preheat_exchange24"/>
      <sheetName val="GR_slab-reinft24"/>
      <sheetName val="Administrative_Prices24"/>
      <sheetName val="3cd_Annexure24"/>
      <sheetName val="GUT_(2)24"/>
      <sheetName val="BC_&amp;_MNB_7"/>
      <sheetName val="Basic_Rates7"/>
      <sheetName val="NLD_-_Assum7"/>
      <sheetName val="grid"/>
      <sheetName val="220 11  BS "/>
      <sheetName val="west wing podium"/>
      <sheetName val="Detail 1A"/>
      <sheetName val="Rate"/>
      <sheetName val="FITZ MORT 94"/>
      <sheetName val="Cash Flow"/>
      <sheetName val="MFG"/>
      <sheetName val="Intro"/>
      <sheetName val="AoR Finish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Basic Rate"/>
      <sheetName val="INFLUENCES ON GM"/>
      <sheetName val="Bed Class"/>
      <sheetName val="Cd"/>
      <sheetName val="Boq"/>
      <sheetName val="Base data Security Procedures"/>
      <sheetName val="Design"/>
      <sheetName val="para"/>
      <sheetName val="kppl pl"/>
      <sheetName val="Footings"/>
      <sheetName val="BASIC"/>
      <sheetName val="Bechtel Norms"/>
      <sheetName val="CS PIPING"/>
      <sheetName val="TECH DATA"/>
      <sheetName val="JCR TOP(ITEM)-KTRP"/>
      <sheetName val="BS1"/>
      <sheetName val="Costing"/>
      <sheetName val="Unit rate Architecture"/>
      <sheetName val="Cost Assumption"/>
      <sheetName val="Sheet1"/>
      <sheetName val="Price Sheet"/>
      <sheetName val="Factor Sheet"/>
      <sheetName val="Gro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Set>
  </externalBook>
</externalLink>
</file>

<file path=xl/externalLinks/externalLink108.xml><?xml version="1.0" encoding="utf-8"?>
<externalLink xmlns="http://schemas.openxmlformats.org/spreadsheetml/2006/main">
  <externalBook xmlns:r="http://schemas.openxmlformats.org/officeDocument/2006/relationships" r:id="rId1">
    <sheetNames>
      <sheetName val="NEW PRODUCT SALES FORCE"/>
      <sheetName val="RESALE SALES FORCE"/>
      <sheetName val="NEW PRODUCT BILL CUST IRR"/>
      <sheetName val="RESALE BILL CUST IRR"/>
      <sheetName val="RESI DIRECT TREND SUMMARY"/>
      <sheetName val="FORECAST GRAPH"/>
      <sheetName val="RESI DIRECT FORECAST"/>
      <sheetName val="RESI DIRECT BUDGET"/>
      <sheetName val="RESI DIRECT 2003"/>
      <sheetName val="RESI DIRECT 2002"/>
      <sheetName val="Resi Mkting&amp;Sales FORECAST"/>
      <sheetName val="Input"/>
      <sheetName val="Sheet2"/>
      <sheetName val="CQ by Entity"/>
      <sheetName val="FY by Entity"/>
      <sheetName val="INDEX"/>
      <sheetName val="NQ by Entity"/>
      <sheetName val="CQ Bridge"/>
      <sheetName val="CQ Orders"/>
      <sheetName val="Org Growth"/>
      <sheetName val="Monthly Trend Act MOR pv"/>
      <sheetName val="RSM and Distributors"/>
      <sheetName val="Oracle Account Master"/>
      <sheetName val="Legend"/>
      <sheetName val="Material Prices to site"/>
      <sheetName val="1A"/>
      <sheetName val="Database"/>
      <sheetName val="Date Ranges"/>
      <sheetName val="Load Sch, Cable Sel &amp; Qty"/>
      <sheetName val="Cost Factor Sheet"/>
      <sheetName val="CCTV_EST1"/>
      <sheetName val="Zones"/>
      <sheetName val="Room Type"/>
      <sheetName val="Basement2 DB"/>
      <sheetName val="Factor sheet"/>
      <sheetName val="RATE"/>
      <sheetName val="A"/>
      <sheetName val="Factors"/>
      <sheetName val="BQ"/>
      <sheetName val="JOB COSTING SHEET HVA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09.xml><?xml version="1.0" encoding="utf-8"?>
<externalLink xmlns="http://schemas.openxmlformats.org/spreadsheetml/2006/main">
  <externalBook xmlns:r="http://schemas.openxmlformats.org/officeDocument/2006/relationships" r:id="rId1">
    <sheetNames>
      <sheetName val="laroux"/>
      <sheetName val="Summary"/>
      <sheetName val="BOQ -Additional"/>
      <sheetName val="BOQ -Original"/>
      <sheetName val="Sum"/>
      <sheetName val="BOQ -Ori"/>
      <sheetName val="BOQ -Add"/>
      <sheetName val="BOQ -Whole"/>
      <sheetName val="Factors"/>
      <sheetName val="En 1"/>
      <sheetName val="En 2"/>
      <sheetName val="En 3"/>
      <sheetName val="En 4"/>
      <sheetName val="En 5"/>
      <sheetName val="En 6"/>
      <sheetName val="En 27"/>
      <sheetName val="En 27 spare"/>
      <sheetName val="Sheet1"/>
      <sheetName val="VVa"/>
      <sheetName val="Fire (2)"/>
      <sheetName val="RBD"/>
      <sheetName val="Rates"/>
      <sheetName val="QTY Pipe Laying"/>
      <sheetName val="Sheet3"/>
      <sheetName val="A"/>
      <sheetName val="BOQ"/>
      <sheetName val="Bill 5 - Carpark"/>
      <sheetName val="Rate Sheet"/>
      <sheetName val="BOM"/>
      <sheetName val="วัดใต้"/>
      <sheetName val="Price"/>
      <sheetName val="3C"/>
      <sheetName val="Super"/>
      <sheetName val="Zon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10.xml><?xml version="1.0" encoding="utf-8"?>
<externalLink xmlns="http://schemas.openxmlformats.org/spreadsheetml/2006/main">
  <externalBook xmlns:r="http://schemas.openxmlformats.org/officeDocument/2006/relationships" r:id="rId1">
    <sheetNames>
      <sheetName val="Legend"/>
      <sheetName val="Budget"/>
      <sheetName val="TFS Summary Flash AR"/>
      <sheetName val="TFS Summary Flash BR"/>
      <sheetName val="TFS Summary CF to FCST"/>
      <sheetName val="Fcst - ADT NA"/>
      <sheetName val="Fcst - SG"/>
      <sheetName val="Fcst - Eur Sec"/>
      <sheetName val="Fcst - TFIS"/>
      <sheetName val="Fcst - Aus-NZ"/>
      <sheetName val="Fcst - Asia"/>
      <sheetName val="Fcst - Latin"/>
      <sheetName val="Fcst - TSP"/>
      <sheetName val="Fcst - TFS HQ"/>
      <sheetName val="MTD"/>
      <sheetName val="QTD"/>
      <sheetName val="Restructuring"/>
      <sheetName val="Exchange Rates(rounded)"/>
      <sheetName val="Start"/>
      <sheetName val="Startup"/>
      <sheetName val="Retrieve_Parameters"/>
      <sheetName val="Database"/>
      <sheetName val="Date Ranges"/>
      <sheetName val="NEW PRODUCT SALES FORCE"/>
      <sheetName val="NATION"/>
      <sheetName val="Sheet1"/>
      <sheetName val="Prices"/>
      <sheetName val="tables"/>
      <sheetName val="Summary"/>
      <sheetName val="Title"/>
      <sheetName val="DDB Depr (Mths)"/>
      <sheetName val="LS Price List"/>
      <sheetName val="Factor Sheet"/>
      <sheetName val="A"/>
      <sheetName val="data"/>
      <sheetName val="ICAM_Prices_Raw"/>
      <sheetName val="Factors &amp; Temp Calc"/>
      <sheetName val="CQ by Entity"/>
      <sheetName val="FY by Entity"/>
      <sheetName val="INDEX"/>
      <sheetName val="NQ by Entity"/>
      <sheetName val="CQ Bridge"/>
      <sheetName val="CQ Orders"/>
      <sheetName val="Org Growth"/>
      <sheetName val="Monthly Trend Act MOR pv"/>
      <sheetName val="DEP"/>
      <sheetName val="GEN"/>
      <sheetName val="MTC"/>
      <sheetName val="TFR"/>
      <sheetName val="Cash2"/>
      <sheetName val="z"/>
      <sheetName val="Bill 5 - Carpark"/>
      <sheetName val="Dist Controls"/>
      <sheetName val="File Settings"/>
      <sheetName val="Forecast"/>
      <sheetName val="Factors"/>
      <sheetName val="BOQ Com"/>
      <sheetName val="Cost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111.xml><?xml version="1.0" encoding="utf-8"?>
<externalLink xmlns="http://schemas.openxmlformats.org/spreadsheetml/2006/main">
  <externalBook xmlns:r="http://schemas.openxmlformats.org/officeDocument/2006/relationships" r:id="rId1">
    <sheetNames>
      <sheetName val="Legend"/>
      <sheetName val="ADT WW P&amp;L FY"/>
      <sheetName val="ADT NA"/>
      <sheetName val="EMEA Security"/>
      <sheetName val="AUSNZ Security"/>
      <sheetName val="Asia Security"/>
      <sheetName val="LA Security"/>
      <sheetName val="TASK_SS"/>
      <sheetName val="WW FIRE P&amp;L FY"/>
      <sheetName val="SG"/>
      <sheetName val="EMEA Fire"/>
      <sheetName val="AUSNZ Fire"/>
      <sheetName val="Asia Fire"/>
      <sheetName val="LA Fire"/>
      <sheetName val="TASK_FP"/>
      <sheetName val="CHECK"/>
      <sheetName val="Database"/>
      <sheetName val="Date Ranges"/>
      <sheetName val="Product Groups"/>
      <sheetName val="BOM"/>
      <sheetName val="Start"/>
      <sheetName val="aug_data"/>
      <sheetName val="Seachells-Pools-25.2.2014"/>
      <sheetName val="Sheet1"/>
      <sheetName val="B-2"/>
      <sheetName val="INPUT"/>
      <sheetName val="Prices"/>
      <sheetName val="Title"/>
      <sheetName val="MDB-25.8.2014"/>
      <sheetName val="LS Price List"/>
      <sheetName val="Summary"/>
      <sheetName val="Total"/>
      <sheetName val="Exchange Rates(rounded)"/>
      <sheetName val="Factors &amp; Temp Calc"/>
      <sheetName val="4"/>
      <sheetName val="CQ by Entity"/>
      <sheetName val="FY by Entity"/>
      <sheetName val="INDEX"/>
      <sheetName val="NQ by Entity"/>
      <sheetName val="CQ Bridge"/>
      <sheetName val="CQ Orders"/>
      <sheetName val="Org Growth"/>
      <sheetName val="Monthly Trend Act MOR pv"/>
      <sheetName val="Calc Inputs"/>
      <sheetName val="APPT"/>
      <sheetName val="APPT_SGL"/>
      <sheetName val="Phone_Sale"/>
      <sheetName val="Factors"/>
      <sheetName val="data"/>
      <sheetName val="Room Type"/>
      <sheetName val="Basement2 DB"/>
      <sheetName val="Cash2"/>
      <sheetName val="Z"/>
      <sheetName val="Services_InitialEst_UtilityServ"/>
      <sheetName val="Bill 5 - Carpark"/>
      <sheetName val="HyperionEnt"/>
      <sheetName val="Import Det"/>
      <sheetName val="Ragama"/>
      <sheetName val="N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12.xml><?xml version="1.0" encoding="utf-8"?>
<externalLink xmlns="http://schemas.openxmlformats.org/spreadsheetml/2006/main">
  <externalBook xmlns:r="http://schemas.openxmlformats.org/officeDocument/2006/relationships" r:id="rId1">
    <sheetNames>
      <sheetName val="BOM"/>
      <sheetName val="STARTER LIST"/>
      <sheetName val="SUMMARY"/>
      <sheetName val="BUS BAR-R0"/>
      <sheetName val="SUMMARY-R0"/>
      <sheetName val="R0 WITH CTD"/>
      <sheetName val=" R0"/>
      <sheetName val="Sheet1"/>
      <sheetName val="Addtion-Delition"/>
      <sheetName val="R1"/>
      <sheetName val="R2"/>
      <sheetName val="R3"/>
      <sheetName val="MS-08-729-BOQ-R4"/>
      <sheetName val="ELE Summary"/>
      <sheetName val="概総括1"/>
      <sheetName val="Room Type"/>
      <sheetName val="Basement2 DB"/>
      <sheetName val="Factors"/>
      <sheetName val="Factors &amp; Temp Calc"/>
      <sheetName val="Bill 5 - Carpark"/>
      <sheetName val="NEW PRODUCT SALES FORCE"/>
      <sheetName val="Cost Factor Sheet"/>
      <sheetName val="Load Sch, Cable Sel &amp; Qty"/>
      <sheetName val="Factor Sheet"/>
      <sheetName val="Price Sheet"/>
      <sheetName val="A"/>
      <sheetName val="1A"/>
      <sheetName val="MDB-25.8.2014"/>
      <sheetName val="JOB COSTING SHEET HVAC"/>
      <sheetName val="G"/>
      <sheetName val="D"/>
      <sheetName val="E"/>
      <sheetName val="JOB COSTING SHEET ELEC"/>
      <sheetName val="B-3.2 EB"/>
      <sheetName val="ACS(1)"/>
      <sheetName val="FAS-C(4)"/>
      <sheetName val="CCTV(old)"/>
      <sheetName val="Sheet2"/>
      <sheetName val="OLD PRICES"/>
      <sheetName val="NonPerp"/>
      <sheetName val="Perp"/>
      <sheetName val="ID Office-R1 - 23.8.2012"/>
      <sheetName val=" Factor  "/>
      <sheetName val="Schnieder Price List-July 2012"/>
      <sheetName val="Histry Price"/>
      <sheetName val="RATE"/>
      <sheetName val="CQ by Entity"/>
      <sheetName val="FY by Entity"/>
      <sheetName val="INDEX"/>
      <sheetName val="NQ by Entity"/>
      <sheetName val="CQ Bridge"/>
      <sheetName val="CQ Orders"/>
      <sheetName val="Org Growth"/>
      <sheetName val="Monthly Trend Act MOR pv"/>
      <sheetName val="Admin"/>
      <sheetName val="Enclo.compar.EMP-RND"/>
      <sheetName val="SCHEDULE"/>
      <sheetName val="Total Operations"/>
      <sheetName val="White Group"/>
      <sheetName val="Input"/>
      <sheetName val="Dist Controls"/>
      <sheetName val="File Settings"/>
      <sheetName val="Forecast"/>
      <sheetName val="Section 2-SCHEDULE OF DAYWORK"/>
      <sheetName val="Kaatsu H.A.M.T.T.C.-7 jan 10"/>
      <sheetName val="Material Prices to site"/>
      <sheetName val="HyperionEnt"/>
      <sheetName val="LS Price List"/>
      <sheetName val="Keels-6.2.2014"/>
      <sheetName val="BN 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13.xml><?xml version="1.0" encoding="utf-8"?>
<externalLink xmlns="http://schemas.openxmlformats.org/spreadsheetml/2006/main">
  <externalBook xmlns:r="http://schemas.openxmlformats.org/officeDocument/2006/relationships" r:id="rId1">
    <sheetNames>
      <sheetName val="LEGEND"/>
      <sheetName val="macros"/>
      <sheetName val="Sheet2"/>
      <sheetName val="Factor Sheet"/>
      <sheetName val="Cost Factor Sheet"/>
    </sheetNames>
    <sheetDataSet>
      <sheetData sheetId="0" refreshError="1"/>
      <sheetData sheetId="1" refreshError="1"/>
      <sheetData sheetId="2" refreshError="1"/>
      <sheetData sheetId="3" refreshError="1"/>
      <sheetData sheetId="4" refreshError="1"/>
    </sheetDataSet>
  </externalBook>
</externalLink>
</file>

<file path=xl/externalLinks/externalLink114.xml><?xml version="1.0" encoding="utf-8"?>
<externalLink xmlns="http://schemas.openxmlformats.org/spreadsheetml/2006/main">
  <externalBook xmlns:r="http://schemas.openxmlformats.org/officeDocument/2006/relationships" r:id="rId1">
    <sheetNames>
      <sheetName val="Material Summary"/>
      <sheetName val="Sheet2"/>
      <sheetName val="GIS Price"/>
      <sheetName val="BOQ"/>
      <sheetName val="Summary"/>
      <sheetName val="Unit Price"/>
      <sheetName val="Factors"/>
      <sheetName val="Working BOQ"/>
      <sheetName val="Offer"/>
      <sheetName val="Manufacture list"/>
      <sheetName val="Cost breakdown"/>
      <sheetName val="total components with Rates"/>
      <sheetName val="SubmitCal"/>
      <sheetName val="CF"/>
      <sheetName val="Bill 1"/>
      <sheetName val="Bill 2"/>
      <sheetName val="Bill 3"/>
      <sheetName val="Bill 4"/>
      <sheetName val="Bill 5"/>
      <sheetName val="Bill 6"/>
      <sheetName val="Bill 7"/>
      <sheetName val="CERTIFICATE"/>
      <sheetName val="Det Import"/>
      <sheetName val="ANALISYS"/>
      <sheetName val="#REF"/>
      <sheetName val="주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15.xml><?xml version="1.0" encoding="utf-8"?>
<externalLink xmlns="http://schemas.openxmlformats.org/spreadsheetml/2006/main">
  <externalBook xmlns:r="http://schemas.openxmlformats.org/officeDocument/2006/relationships" r:id="rId1">
    <sheetNames>
      <sheetName val="Library"/>
      <sheetName val="ProjInfo"/>
      <sheetName val="BQ01"/>
      <sheetName val="BQ02"/>
      <sheetName val="MTpiles"/>
      <sheetName val="chk"/>
      <sheetName val="BQ002"/>
      <sheetName val="BQextra"/>
      <sheetName val="Extrapile"/>
      <sheetName val="Procedure"/>
      <sheetName val="macros"/>
      <sheetName val="LEGEND"/>
      <sheetName val="Land Dev't. Ph-1"/>
      <sheetName val="DEMOLITION"/>
      <sheetName val="exterior"/>
      <sheetName val="Summary"/>
      <sheetName val="Info Sheet"/>
      <sheetName val="Control sheet"/>
      <sheetName val="an. struktur"/>
      <sheetName val="harsat"/>
      <sheetName val="Dashboard"/>
      <sheetName val="corbeldatail"/>
      <sheetName val="Factor Sheet"/>
      <sheetName val="Cost Factor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16.xml><?xml version="1.0" encoding="utf-8"?>
<externalLink xmlns="http://schemas.openxmlformats.org/spreadsheetml/2006/main">
  <externalBook xmlns:r="http://schemas.openxmlformats.org/officeDocument/2006/relationships" r:id="rId1">
    <sheetNames>
      <sheetName val="PARTICULARS"/>
      <sheetName val="GFA"/>
      <sheetName val="COST"/>
      <sheetName val="Piling"/>
      <sheetName val="WBLFL"/>
      <sheetName val="FRAME"/>
      <sheetName val="EXTWALL"/>
      <sheetName val="INTWALL"/>
      <sheetName val="STAIRCASE"/>
      <sheetName val="UFC"/>
      <sheetName val="ROOF"/>
      <sheetName val="WINDOWS"/>
      <sheetName val="DOORS"/>
      <sheetName val="IRONMONGERY"/>
      <sheetName val="WALLFINISHES"/>
      <sheetName val="FLOORFINISHES"/>
      <sheetName val="CEILING"/>
      <sheetName val="PAINTING"/>
      <sheetName val="SANITARYFITTINGS"/>
      <sheetName val="S.F. table"/>
      <sheetName val="BQextra"/>
      <sheetName val="Factors"/>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17.xml><?xml version="1.0" encoding="utf-8"?>
<externalLink xmlns="http://schemas.openxmlformats.org/spreadsheetml/2006/main">
  <externalBook xmlns:r="http://schemas.openxmlformats.org/officeDocument/2006/relationships" r:id="rId1">
    <sheetNames>
      <sheetName val="TakeOff"/>
      <sheetName val="Schedules"/>
      <sheetName val="Sheet3"/>
      <sheetName val="Option"/>
      <sheetName val="Details"/>
      <sheetName val=" GULF"/>
      <sheetName val="BOQ"/>
      <sheetName val="CCS summary "/>
      <sheetName val="16 Consum's"/>
      <sheetName val="24 B'up"/>
      <sheetName val="SuStructure Conc Take off"/>
      <sheetName val="Det_Des"/>
      <sheetName val="Ra  stair"/>
      <sheetName val="9600-T1"/>
      <sheetName val="C&amp;IEVA"/>
      <sheetName val="EC(Rev)"/>
      <sheetName val="#REF"/>
      <sheetName val="Bill 1"/>
      <sheetName val="Bill 2"/>
      <sheetName val="Bill 3"/>
      <sheetName val="Bill 4"/>
      <sheetName val="Bill 5"/>
      <sheetName val="Bill 6"/>
      <sheetName val="Bill 7"/>
      <sheetName val="Summary"/>
      <sheetName val="Cash2"/>
      <sheetName val="Z"/>
      <sheetName val="MEP Matls"/>
      <sheetName val="Lstsub"/>
      <sheetName val="Raw Data"/>
      <sheetName val="SubmitCal"/>
      <sheetName val="C9901"/>
      <sheetName val="new ext"/>
      <sheetName val="Siteworks"/>
      <sheetName val="Criteria"/>
      <sheetName val="Uniliever"/>
      <sheetName val="Project Brief"/>
      <sheetName val="QMCT"/>
      <sheetName val="Chiet tinh dz22"/>
      <sheetName val="LEGEND"/>
      <sheetName val="PROJECT BRIEF(EX.NEW)"/>
      <sheetName val="_GULF"/>
      <sheetName val="CCS_summary_"/>
      <sheetName val="16_Consum's"/>
      <sheetName val="24_B'up"/>
      <sheetName val="SuStructure_Conc_Take_off"/>
      <sheetName val="Ra__stair"/>
      <sheetName val="MEP_Matls"/>
      <sheetName val="Raw_Data"/>
      <sheetName val="Bill_1"/>
      <sheetName val="Bill_2"/>
      <sheetName val="Bill_3"/>
      <sheetName val="Bill_4"/>
      <sheetName val="Bill_5"/>
      <sheetName val="Bill_6"/>
      <sheetName val="Bill_7"/>
      <sheetName val="new_ext"/>
      <sheetName val="_GULF1"/>
      <sheetName val="CCS_summary_1"/>
      <sheetName val="16_Consum's1"/>
      <sheetName val="24_B'up1"/>
      <sheetName val="SuStructure_Conc_Take_off1"/>
      <sheetName val="Ra__stair1"/>
      <sheetName val="MEP_Matls1"/>
      <sheetName val="Raw_Data1"/>
      <sheetName val="Bill_11"/>
      <sheetName val="Bill_21"/>
      <sheetName val="Bill_31"/>
      <sheetName val="Bill_41"/>
      <sheetName val="Bill_51"/>
      <sheetName val="Bill_61"/>
      <sheetName val="Bill_71"/>
      <sheetName val="new_ext1"/>
      <sheetName val="_GULF2"/>
      <sheetName val="CCS_summary_2"/>
      <sheetName val="16_Consum's2"/>
      <sheetName val="24_B'up2"/>
      <sheetName val="SuStructure_Conc_Take_off2"/>
      <sheetName val="Ra__stair2"/>
      <sheetName val="MEP_Matls2"/>
      <sheetName val="Raw_Data2"/>
      <sheetName val="Bill_12"/>
      <sheetName val="Bill_22"/>
      <sheetName val="Bill_32"/>
      <sheetName val="Bill_42"/>
      <sheetName val="Bill_52"/>
      <sheetName val="Bill_62"/>
      <sheetName val="Bill_72"/>
      <sheetName val="new_ext2"/>
      <sheetName val="marble"/>
      <sheetName val="boq for variation"/>
      <sheetName val="FitOutConfCentre"/>
      <sheetName val="#3E1_GCR"/>
      <sheetName val="TOTAL"/>
      <sheetName val="Data"/>
      <sheetName val="Bill"/>
      <sheetName val="1-Excavation"/>
      <sheetName val="2-Substructure"/>
      <sheetName val="3-Concrete"/>
      <sheetName val="4-Masonry"/>
      <sheetName val="5-Thermal &amp; Moisture"/>
      <sheetName val="Scatter"/>
      <sheetName val="TO SHEET"/>
      <sheetName val="BAR SCHEDULE"/>
      <sheetName val="Est - H03"/>
      <sheetName val="Plumbing FROM bILL"/>
      <sheetName val="Definitions"/>
      <sheetName val="WB"/>
      <sheetName val="ID Office-R1 - 23.8.2012"/>
      <sheetName val="Schnieder Price List-July 2012"/>
      <sheetName val="RESOURCES"/>
      <sheetName val="BASIC RATES"/>
      <sheetName val="Civil Works"/>
      <sheetName val="Lookup"/>
      <sheetName val="Sheet1"/>
      <sheetName val="Building's PA"/>
      <sheetName val="Factors"/>
      <sheetName val="App. A(contd)"/>
      <sheetName val="Staff Acc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Set>
  </externalBook>
</externalLink>
</file>

<file path=xl/externalLinks/externalLink118.xml><?xml version="1.0" encoding="utf-8"?>
<externalLink xmlns="http://schemas.openxmlformats.org/spreadsheetml/2006/main">
  <externalBook xmlns:r="http://schemas.openxmlformats.org/officeDocument/2006/relationships" r:id="rId1">
    <sheetNames>
      <sheetName val="Factor sheet"/>
      <sheetName val="Cost sheet( Buildingwise )"/>
      <sheetName val="Prices"/>
      <sheetName val="BOQ-Int.Alt."/>
      <sheetName val="MECH"/>
      <sheetName val="TBLS"/>
      <sheetName val="EV-FC"/>
      <sheetName val="概総括1"/>
      <sheetName val="Sheet1"/>
      <sheetName val="Input"/>
      <sheetName val="Price Sheet"/>
      <sheetName val="Cctmst"/>
      <sheetName val="Cost Sheet"/>
      <sheetName val="Factors"/>
      <sheetName val="CAP"/>
      <sheetName val="Seachells-Pools-25.2.2014"/>
      <sheetName val="#3E1_GCR"/>
      <sheetName val="Civil Works"/>
      <sheetName val="AEX_IMPORTS_on 320"/>
      <sheetName val="Equipment Schedule"/>
      <sheetName val="Workings"/>
      <sheetName val="Take-Off"/>
      <sheetName val="CF"/>
      <sheetName val="App. A(cont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19.xml><?xml version="1.0" encoding="utf-8"?>
<externalLink xmlns="http://schemas.openxmlformats.org/spreadsheetml/2006/main">
  <externalBook xmlns:r="http://schemas.openxmlformats.org/officeDocument/2006/relationships" r:id="rId1">
    <sheetNames>
      <sheetName val="40 story bldg@bat-18june10"/>
      <sheetName val="kandy-nws&amp;db-7.6.10"/>
      <sheetName val="single phase-calculations"/>
      <sheetName val="3 phase-calculations"/>
      <sheetName val="Neptune-Beruwala-17 june 2010"/>
      <sheetName val="emperor - Dimo-KSB - 17 june 10"/>
      <sheetName val="Barns Hall-Rev 1"/>
      <sheetName val="Admin Bldg-Hambantota 16.6. (2)"/>
      <sheetName val="Admin Bldg-Hambantota 16.6.2010"/>
      <sheetName val="Hotel Ramada-Kalutara 16.6.2010"/>
      <sheetName val="army-panagoda"/>
      <sheetName val="pump panel - 8 june 2010"/>
      <sheetName val="booster-pilimatalawa"/>
      <sheetName val="Dilaru"/>
      <sheetName val="Dickowita-fishery harbour"/>
      <sheetName val="Alutgama-submersible pump-rev2"/>
      <sheetName val="Alutgama-submersible pump-rev-1"/>
      <sheetName val="Matale-water board 26.5.10"/>
      <sheetName val="ex fan-emperor-25 may 2010"/>
      <sheetName val="ranala - 31.5.10"/>
      <sheetName val="ambatale 22kW-25 may 2010"/>
      <sheetName val="training center hostel-Kandy"/>
      <sheetName val="kaumadi-12.5.2010"/>
      <sheetName val="neptune hotel-12.5.10"/>
      <sheetName val="sp-DOL-brkdwn-12.5.10"/>
      <sheetName val="wickramaratna-alutgama-3kw"/>
      <sheetName val="phosphate - eppawala"/>
      <sheetName val="PEOPLES LEASING-10.5.10"/>
      <sheetName val="nallur-office complex-10 may 10"/>
      <sheetName val="emperor - Dimo-KSB (Rev 7 May )"/>
      <sheetName val="mr.nimal-30 April 2010"/>
      <sheetName val="SLLRDC-Rajagiriya"/>
      <sheetName val="mahadamana-sq.mech"/>
      <sheetName val="Seruwila-thanganagar 29Apr10"/>
      <sheetName val="water board-Anuradhapura"/>
      <sheetName val="BOI - Katunayaka (Rev-1)"/>
      <sheetName val="fire-thanuja-26.4.10"/>
      <sheetName val="jaffna-hotel GST"/>
      <sheetName val="Dolpin Hotel"/>
      <sheetName val="gunaratna resident"/>
      <sheetName val="1.5kW-SP"/>
      <sheetName val="nallur-6 april 2010-pressure"/>
      <sheetName val="LD-2,.3,.75,1.5kW"/>
      <sheetName val="1.4.2010-amila"/>
      <sheetName val="tube well pump-1HP"/>
      <sheetName val="hotl sch kndy 3kW fire-31.3.10"/>
      <sheetName val="format"/>
      <sheetName val="emperor - grundfos"/>
      <sheetName val="KSB-chaava hotel-beruwala"/>
      <sheetName val="mr.wickramasinghe's residence"/>
      <sheetName val="Mullipottana - 7.5kW"/>
      <sheetName val="dinushika-10 march 2010"/>
      <sheetName val="valible lanka - 8 jan 2010"/>
      <sheetName val="Vallebell Lanka - 9 march 2010"/>
      <sheetName val="sooriyawewa ground 9 march 10"/>
      <sheetName val="Akkaraipattu-Detail"/>
      <sheetName val="Akkaraipattu-Summary"/>
      <sheetName val="thanuja-8 march 2010"/>
      <sheetName val="Dinushika 5 March 10"/>
      <sheetName val="BOI - Katunayaka (Rev-1) "/>
      <sheetName val="mr.nimal"/>
      <sheetName val="thanuja-site@rajagiriya 26 feb "/>
      <sheetName val="Kamburugamuwa -Rev2-26 feb 10 "/>
      <sheetName val="Kamburugamuwa -Rev1-23 feb 10"/>
      <sheetName val="Kamburugamuwa"/>
      <sheetName val="alpha - polgahawela"/>
      <sheetName val="fairmount"/>
      <sheetName val="Dinushika - "/>
      <sheetName val="BOI - Katunayaka (Rev-1) (2)"/>
      <sheetName val="BOI - Panels To Venora "/>
      <sheetName val="mr.vajira wanigaraja-Thanuja"/>
      <sheetName val="Hotel@Centre Rd.-Thanuja-LD Pum"/>
      <sheetName val="Hotel @ Centre road - Thanuja"/>
      <sheetName val="5 Feb 10 - Dinushika"/>
      <sheetName val="Kaatsu H.A.M.T.T.C.-7 jan 10"/>
      <sheetName val="Sooriya wewa-Rev 1"/>
      <sheetName val="WADDUWA RESORT-SL ARMY"/>
      <sheetName val="wadduwa beach house-lalani"/>
      <sheetName val="Modern Research - Malabe-kaumad"/>
      <sheetName val="Rosen Safari - Udawalawe-thanuj"/>
      <sheetName val="Dinushika-25 jan 10"/>
      <sheetName val="PLC-power requirement"/>
      <sheetName val="lankem ceylon-pannala-11 jan 10"/>
      <sheetName val="panditharatna 8 jan 10"/>
      <sheetName val="pathirana-7 jan 10"/>
      <sheetName val="pathirana-8 jan 10"/>
      <sheetName val="Kolonnawa-water board 5 jan 10"/>
      <sheetName val="Manning Town, Narahenpita."/>
      <sheetName val="dinushika-23 dec 09"/>
      <sheetName val="cont.panel-booster pmp"/>
      <sheetName val="Maldives-w.house(pathirana)"/>
      <sheetName val="summary - emperor"/>
      <sheetName val="emperor - LD"/>
      <sheetName val="single phase pumps"/>
      <sheetName val="Joe Roche - Wellawatta"/>
      <sheetName val="cinamon grand"/>
      <sheetName val="Chilaw Hospital"/>
      <sheetName val="Composet Project - Kalutara"/>
      <sheetName val="Gower Street (mat.list)"/>
      <sheetName val="Gower Street"/>
      <sheetName val="Gunaratna Residence"/>
      <sheetName val="tuna factory - galle"/>
      <sheetName val="wharehouse - peliyagoda"/>
      <sheetName val="mr.fernandopulle"/>
      <sheetName val="factory-horana-mawgama"/>
      <sheetName val="M200 3 - duty-st.by"/>
      <sheetName val="emperor -fan starter-16 Nov 09"/>
      <sheetName val="Horana-mawugama"/>
      <sheetName val="Horana-Fire (2)"/>
      <sheetName val="Horana-Fire"/>
      <sheetName val="wadduwa-Beach Bunglow"/>
      <sheetName val="Polonnaruwa 6 Nov 09"/>
      <sheetName val="Sethsiripaya"/>
      <sheetName val="Gangeyaya"/>
      <sheetName val="thunkama"/>
      <sheetName val="rajapaksha memorial -Revised"/>
      <sheetName val="rajapaksha memorial"/>
      <sheetName val="john keels apt."/>
      <sheetName val="CONDOMINIUM APT.kANDY"/>
      <sheetName val="cascade-mr.malinda"/>
      <sheetName val="Seruwila Projects"/>
      <sheetName val="sooriyawewa playgr."/>
      <sheetName val="Peramaduna Samagipura Soriyapur"/>
      <sheetName val="john keels apt.complex (Rev 1)"/>
      <sheetName val="john keels apt.complex"/>
      <sheetName val="peoples bank staff rest"/>
      <sheetName val="Orion"/>
      <sheetName val="Mxd dev - colpty"/>
      <sheetName val="Echo Homes"/>
      <sheetName val="5 hp-3 ph-DM200-3"/>
      <sheetName val="Galle-Wackwella"/>
      <sheetName val="Minuwangoda"/>
      <sheetName val="Meerigama"/>
      <sheetName val=".34HP-300W-"/>
      <sheetName val="5.6kW-3PH (2)"/>
      <sheetName val="Walasmulla"/>
      <sheetName val="Marassana"/>
      <sheetName val="Weeraketiya"/>
      <sheetName val="Adikarigama"/>
      <sheetName val="Negombo - courts"/>
      <sheetName val="maldives 10.09.09"/>
      <sheetName val="Pallekele-2HP"/>
      <sheetName val="Maligakanda"/>
      <sheetName val="N'Eliya"/>
      <sheetName val="Anuradhapura-Thalawa"/>
      <sheetName val="Hanguranketha-old"/>
      <sheetName val="Suncity Property Dev."/>
      <sheetName val=".75 &amp; 4kw"/>
      <sheetName val="Centra Grand Resort-Maldive (2)"/>
      <sheetName val="New medical hospital-1.5kW-3p"/>
      <sheetName val="LD-Maldives"/>
      <sheetName val="kent holdings-alarm panel "/>
      <sheetName val="kandy - water board (15kW)"/>
      <sheetName val="mr.weerasingha-Ward Place"/>
      <sheetName val="BOI - Katunayaka"/>
      <sheetName val="h.sifaa@maldives"/>
      <sheetName val="37kW-3PH (50HP)-Maldives"/>
      <sheetName val="Sheet1"/>
      <sheetName val="Centra Grand Resort-Maldives-1"/>
      <sheetName val="temple trees M140-3 , DM140-3"/>
      <sheetName val="nelung arts-3hp-dol starter"/>
      <sheetName val="INDICATOR PANEL-fair way"/>
      <sheetName val="1.5kW-3phase-duty-standby"/>
      <sheetName val="1.5kW-3phase-01 pump"/>
      <sheetName val="synchronizing panel"/>
      <sheetName val="inline pump - 1.1kw"/>
      <sheetName val="pat cooray"/>
      <sheetName val="DM140-3 (3hp)"/>
      <sheetName val="nawaloka-29 Jan 09 (1.1kW)"/>
      <sheetName val="31kW-3PH"/>
      <sheetName val="45kW"/>
      <sheetName val="Sooriya wewa 11,22,5.5kW"/>
      <sheetName val="10HP-7.5kW-3PH"/>
      <sheetName val="5.6kW-3PH"/>
      <sheetName val="3kW-3PH"/>
      <sheetName val="PANEL-2.2KW pump-Thanuja-5.7.10"/>
      <sheetName val="Duwa Road"/>
      <sheetName val="lalani-1.7.2010"/>
      <sheetName val="neptune-beruwala-29 june 2010"/>
      <sheetName val="emperor - Dimo-KSB  29 jun"/>
      <sheetName val="Northshore college-Battaramulla"/>
      <sheetName val="NTU-Booster-1kW"/>
      <sheetName val="NTU-cable only"/>
      <sheetName val="Airport Hotel-cable only"/>
      <sheetName val="Distilleries-Anuradhpra-12 July"/>
      <sheetName val="paranalekamge 9july2010"/>
      <sheetName val="New Medicare - punchi borella"/>
      <sheetName val="sample format-kik"/>
      <sheetName val="Risvi"/>
      <sheetName val="butique hotel@ alfd av-1.7.2010"/>
      <sheetName val="Mrs.Gunaratna 0.34HP-300W-(old)"/>
      <sheetName val="Mrs.Gunaratna 0.34HP-300W- R1"/>
      <sheetName val="emperor - Dimo-KSB"/>
      <sheetName val="nawaloka-29 Jan 09"/>
      <sheetName val="25HP"/>
      <sheetName val="Sooriya wewa"/>
      <sheetName val="LD Pumps"/>
      <sheetName val="Modern Research - Malabe"/>
      <sheetName val="Rosen Safari - Udawalawe"/>
      <sheetName val="wadduwa"/>
      <sheetName val="thanuja-6.4.2011"/>
      <sheetName val="summary-serandib 6.4.2011"/>
      <sheetName val="tube well panel-serandib hotel-"/>
      <sheetName val="timex-fire panel-5.4.11"/>
      <sheetName val="MGIF @ Biyagama - 29.2.11"/>
      <sheetName val="Serandib hotel-29.3.11"/>
      <sheetName val="city hotel-wellawatta-26.3.11"/>
      <sheetName val="hikkaduwa - chaya"/>
      <sheetName val="Atomic Energy Authority 22.3.11"/>
      <sheetName val="Radison-Maldives-21.3.11"/>
      <sheetName val="ppls bnk-tngle-18.3.11"/>
      <sheetName val="chaya coral-18.3.11"/>
      <sheetName val="udara - 17.3.11"/>
      <sheetName val="Guil'd crescent-2-panel-17.3.11"/>
      <sheetName val="ppls bnk-tngle-fire pmp-17.3.11"/>
      <sheetName val="Anilana-16.3.11"/>
      <sheetName val="chaya coral"/>
      <sheetName val="320 apartments"/>
      <sheetName val="Rhino Factory-11.3.11"/>
      <sheetName val="SunTan Hotel-pasikuda-8.3.11"/>
      <sheetName val="Fairway-Office Bldg"/>
      <sheetName val="MOUNTBATTON HOUSE"/>
      <sheetName val="Botique hotel-irrigation-10.1.1"/>
      <sheetName val="Botqe hotel-irriga'n sys10.1.11"/>
      <sheetName val="fairway office-5.3.2011"/>
      <sheetName val="lalani-caery college-21.2.11"/>
      <sheetName val="lalani-19.8.2010"/>
      <sheetName val="Anilana-Nilaweli-19.2.11"/>
      <sheetName val="Wickramaratna Cicilco-10.1.11"/>
      <sheetName val="Ramada Rsort-19.2.11"/>
      <sheetName val="barns pl. 29.1.11"/>
      <sheetName val="Bullers Residence-19.2.11"/>
      <sheetName val="L.B.Finance-13.2.11"/>
      <sheetName val="maga office-booster-11.2.11"/>
      <sheetName val="htwtr circulatin-pathi-11.2.11"/>
      <sheetName val="Hemachandra-8.2.11"/>
      <sheetName val="Maga Accomodation-Fire-8.2.11"/>
      <sheetName val="Maga Accomodation - FA"/>
      <sheetName val="intercontinental-7.2.11"/>
      <sheetName val="wijerama temple-5.2.11"/>
      <sheetName val="office bldg-1.2.11"/>
      <sheetName val="HEMACHANDRA-BOOSTER-29.1.11"/>
      <sheetName val="centra-super mkt-rjgiri 29.1.11"/>
      <sheetName val="sun &amp; fun 29.1.11"/>
      <sheetName val="mrs.d.n.n.perera 18.1.11"/>
      <sheetName val="Cntra Rajgiriya-fir -18.10.10"/>
      <sheetName val="office bldg@colombo-18.1.11"/>
      <sheetName val="campus-kohuwala-22.12.10"/>
      <sheetName val="1HP.SP.BOOSTER.18.1.11"/>
      <sheetName val="gunaratna res-storm wtr15.1.11"/>
      <sheetName val="HSBC-chairman 28.12.10 (2)"/>
      <sheetName val="Botque hot-trans pmp-13.1.11"/>
      <sheetName val="pump sup.proj-colombo-13.1.11"/>
      <sheetName val="Central Bank-10.1.11"/>
      <sheetName val="booster-thanuja-10.1.11"/>
      <sheetName val="sapthapadi-8.12.10"/>
      <sheetName val="Pasikuda-10.12.10"/>
      <sheetName val="Conventional hall-maldives"/>
      <sheetName val="HSBC-chairman 28.12.10"/>
      <sheetName val="Alpha-polgahawela-4.1.11"/>
      <sheetName val="Mawaramandiya 3.1.11"/>
      <sheetName val="Hemachandra - 3.1.11"/>
      <sheetName val="Mrs Raveendran 28.12.10"/>
      <sheetName val="auditor general dept"/>
      <sheetName val="HNB-Jaffna"/>
      <sheetName val="Hotel Schl-kandy-fire-10.12 (2)"/>
      <sheetName val="Hotel Schl-kandy-fire-10.12.10"/>
      <sheetName val="hambantota maga-2. (2.11.10)"/>
      <sheetName val="AGD - 4.11.10"/>
      <sheetName val="Hemachandra-7.12.10"/>
      <sheetName val="Litro-water feature-7.12.10"/>
      <sheetName val="hotl sch kndy 3kW fire-3"/>
      <sheetName val="emperor-ex fans-2.12.10"/>
      <sheetName val="Arpico - Kadawata"/>
      <sheetName val="chaaya coral-hikkaduwa-25.11.10"/>
      <sheetName val="kegalle 23.11.10"/>
      <sheetName val="fairmount-17.11.2010"/>
      <sheetName val="Arpico-Wattala-16.11.10"/>
      <sheetName val="service hotel-jaffna 16.11.10"/>
      <sheetName val="upto 5kW"/>
      <sheetName val="lalani-10.11.10"/>
      <sheetName val="Don Bosco-sub mersible pmp"/>
      <sheetName val="SLPA - 21.9.2010"/>
      <sheetName val="motorized valve 6.11.10"/>
      <sheetName val="Mannar School-borehole-4.11.10"/>
      <sheetName val="Mannar School-Rev1-4.11.10"/>
      <sheetName val="ravindran-booster -4.11.10"/>
      <sheetName val="Army Holiday Resort-4.11.10"/>
      <sheetName val="sports complx-kalpitiya-4.11.10"/>
      <sheetName val="Census Dept-3.11.10"/>
      <sheetName val="cold stores-jaffna-3.11.10"/>
      <sheetName val="fairway-sewer"/>
      <sheetName val="Kenya-28.10.10"/>
      <sheetName val="matara port - 26.10.10"/>
      <sheetName val="Saegis Campus 20.8.2010"/>
      <sheetName val="jaykay fire - 26.10.10"/>
      <sheetName val="Dinushika  -  fire 25.10.10"/>
      <sheetName val="horana pc - 23.10.10"/>
      <sheetName val="Omega-irigation-23.10.10"/>
      <sheetName val="Institute of chatd acc-20.10.10"/>
      <sheetName val="airport hotl-hotwt.pmp-20.10.10"/>
      <sheetName val="labuduwa-galle-fire 19.10.10"/>
      <sheetName val="emperor-ponds-18.10.10"/>
      <sheetName val="sakya 15.10.10"/>
      <sheetName val="fairway-ex.work"/>
      <sheetName val="labuduwa-galle 9.10.10"/>
      <sheetName val="dinushika-5.10.2010"/>
      <sheetName val="temple trees-cascade-3.10.2010"/>
      <sheetName val="Sheet2"/>
      <sheetName val="Arpico Super 28.9.2010"/>
      <sheetName val="Alpha Apparel-29.10.2010"/>
      <sheetName val="ID Office 27.9.2010"/>
      <sheetName val="southern highway 25.9.2010"/>
      <sheetName val="Peoples Leasing-25.09.2010"/>
      <sheetName val="hamb.maga.55kW"/>
      <sheetName val="Akurana - 23.9.2010"/>
      <sheetName val="mr.lal-himbutana-23.9.2010"/>
      <sheetName val="mr.Nimal-21.9.2010"/>
      <sheetName val="Office Bldg-Borella-17.9.2010"/>
      <sheetName val="water board-Polonnaruwa-14.9.10"/>
      <sheetName val="Wijerama  -  15.9.2010"/>
      <sheetName val="kaumadhee 9.9.2010"/>
      <sheetName val="temple trees-1.5kw - booster"/>
      <sheetName val="BOI - Katunayaka (7.9.2010)"/>
      <sheetName val="Ave Maria Convent-2.9.10"/>
      <sheetName val="kettarama-31.8.2010"/>
      <sheetName val="wickramaratna factory-31.8.10"/>
      <sheetName val="kik panel comparison"/>
      <sheetName val="BOI - Mawatagama Sewer-16.8.10"/>
      <sheetName val="Dinushika-I 300-3 - 25.8.2010"/>
      <sheetName val="Dinushika 20.8.10"/>
      <sheetName val="Unilever - Horana"/>
      <sheetName val="Dinushika-20.8.2010"/>
      <sheetName val="shell gas - 19.8.2010"/>
      <sheetName val="Dickoya Distilleries-19.8.2010"/>
      <sheetName val="kasun-18.8.2010"/>
      <sheetName val="Factors"/>
      <sheetName val="SSuppliers"/>
      <sheetName val="1-Excavation"/>
      <sheetName val="2-Substructure"/>
      <sheetName val="3-Concrete"/>
      <sheetName val="4-Masonry"/>
      <sheetName val="5-Thermal &amp; Moistu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Set>
  </externalBook>
</externalLink>
</file>

<file path=xl/externalLinks/externalLink120.xml><?xml version="1.0" encoding="utf-8"?>
<externalLink xmlns="http://schemas.openxmlformats.org/spreadsheetml/2006/main">
  <externalBook xmlns:r="http://schemas.openxmlformats.org/officeDocument/2006/relationships" r:id="rId1">
    <sheetNames>
      <sheetName val="Start"/>
      <sheetName val="Graph - ytd"/>
      <sheetName val="Asia - Local"/>
      <sheetName val="Fire -Local"/>
      <sheetName val="Sec - Local"/>
      <sheetName val="Asia - US"/>
      <sheetName val="Fire -US"/>
      <sheetName val="Sec - US"/>
      <sheetName val="Legend"/>
      <sheetName val="Input"/>
      <sheetName val="HyperionEnt"/>
      <sheetName val="CQ by Entity"/>
      <sheetName val="FY by Entity"/>
      <sheetName val="INDEX"/>
      <sheetName val="NQ by Entity"/>
      <sheetName val="CQ Bridge"/>
      <sheetName val="CQ Orders"/>
      <sheetName val="Org Growth"/>
      <sheetName val="Monthly Trend Act MOR pv"/>
      <sheetName val="DDB Depr (Mths)"/>
      <sheetName val="Americas"/>
      <sheetName val="Rate Sheet"/>
      <sheetName val="Financial Summary"/>
      <sheetName val="B-3.2 EB"/>
      <sheetName val="Enclo.compar.EMP-RND"/>
      <sheetName val="Parameters"/>
      <sheetName val="sep_data"/>
      <sheetName val="Distributor Details"/>
      <sheetName val="MDB-25.8.2014"/>
      <sheetName val="Sheet2"/>
      <sheetName val="NonPerp"/>
      <sheetName val="Perp"/>
      <sheetName val="Cost Factor Sheet"/>
      <sheetName val="Load Sch, Cable Sel &amp; Qty"/>
      <sheetName val="Factor Sheet"/>
      <sheetName val="Price Sheet"/>
      <sheetName val="total components with Rates"/>
      <sheetName val="ancillary"/>
      <sheetName val="Material Prices"/>
      <sheetName val="NEW PRODUCT SALES FORCE"/>
      <sheetName val="Wiring_Firemen"/>
      <sheetName val="Backlog Consol"/>
      <sheetName val="G"/>
      <sheetName val="D"/>
      <sheetName val="E"/>
      <sheetName val="Sheet1"/>
      <sheetName val="may_data"/>
      <sheetName val="Room Type"/>
      <sheetName val="Basement2 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21.xml><?xml version="1.0" encoding="utf-8"?>
<externalLink xmlns="http://schemas.openxmlformats.org/spreadsheetml/2006/main">
  <externalBook xmlns:r="http://schemas.openxmlformats.org/officeDocument/2006/relationships" r:id="rId1">
    <sheetNames>
      <sheetName val="bayantel"/>
      <sheetName val="Substructure_BOQ"/>
      <sheetName val="Superstructure"/>
      <sheetName val="Library"/>
      <sheetName val="Workings_FdtnsPiling_Canteen"/>
      <sheetName val="Workings_Blockwork_Canteen"/>
      <sheetName val="Workings_Blockwork_Ecole"/>
      <sheetName val="Workings_ServIns_Canteen"/>
      <sheetName val="Workings_RoofStruc_Canteen"/>
      <sheetName val="Cctmst"/>
      <sheetName val="rates"/>
      <sheetName val="S-curve"/>
      <sheetName val="Factor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22.xml><?xml version="1.0" encoding="utf-8"?>
<externalLink xmlns="http://schemas.openxmlformats.org/spreadsheetml/2006/main">
  <externalBook xmlns:r="http://schemas.openxmlformats.org/officeDocument/2006/relationships" r:id="rId1">
    <sheetNames>
      <sheetName val="Equipment"/>
      <sheetName val="000000"/>
      <sheetName val="eq"/>
      <sheetName val="Sheet1"/>
      <sheetName val="eqtable"/>
      <sheetName val="Sheet2"/>
      <sheetName val="Sheet3"/>
      <sheetName val="DETAIL "/>
      <sheetName val="Factor F Data"/>
      <sheetName val="Cover"/>
      <sheetName val="Cctmst"/>
      <sheetName val="Factor Sheet"/>
      <sheetName val="Keels-6.2.2014"/>
      <sheetName val="FlowHmgma Grds-9.7.2013-details"/>
      <sheetName val="Factors"/>
      <sheetName val="Unit Rates-DF VAT (2)"/>
      <sheetName val="DEP"/>
      <sheetName val="GEN"/>
      <sheetName val="MTC"/>
      <sheetName val="TFR"/>
      <sheetName val="Price Sheet"/>
      <sheetName val="Cost Factor Sheet"/>
      <sheetName val="ICAM_Prices_Raw"/>
      <sheetName val="Rates"/>
      <sheetName val="QTY Pipe Laying"/>
      <sheetName val="E_Summary"/>
      <sheetName val="D_Cntnts"/>
      <sheetName val="Ragama"/>
      <sheetName val="HO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23.xml><?xml version="1.0" encoding="utf-8"?>
<externalLink xmlns="http://schemas.openxmlformats.org/spreadsheetml/2006/main">
  <externalBook xmlns:r="http://schemas.openxmlformats.org/officeDocument/2006/relationships" r:id="rId1">
    <sheetNames>
      <sheetName val="Material Prices"/>
      <sheetName val="Direct"/>
      <sheetName val="LsCr"/>
      <sheetName val="Gem"/>
      <sheetName val="Plant"/>
      <sheetName val="Mob"/>
      <sheetName val="Summary"/>
      <sheetName val="MarkUp"/>
      <sheetName val="Gross"/>
      <sheetName val="Cost Codes"/>
      <sheetName val="Formwork"/>
      <sheetName val="Hunnebeck Support Scaffold"/>
      <sheetName val="SWT Formwork &amp; Scaffold List"/>
      <sheetName val="Painting"/>
      <sheetName val="Door Schedule"/>
      <sheetName val="Contract"/>
      <sheetName val="Actual"/>
      <sheetName val="LM1"/>
      <sheetName val="LM2"/>
      <sheetName val="LM3"/>
      <sheetName val="LM4"/>
      <sheetName val="Monat"/>
      <sheetName val="Range"/>
      <sheetName val="Control"/>
      <sheetName val="Workings_FdtnsPiling_Canteen"/>
      <sheetName val="Cctmst"/>
      <sheetName val="INPUT"/>
      <sheetName val="LS Price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24.xml><?xml version="1.0" encoding="utf-8"?>
<externalLink xmlns="http://schemas.openxmlformats.org/spreadsheetml/2006/main">
  <externalBook xmlns:r="http://schemas.openxmlformats.org/officeDocument/2006/relationships" r:id="rId1">
    <sheetNames>
      <sheetName val="Direct Costs - flat file (2)"/>
      <sheetName val="Sheet3"/>
      <sheetName val="Direct Costs - flat file"/>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x"/>
      <sheetName val="Sheet1"/>
      <sheetName val="WBS"/>
      <sheetName val="WBS (2)"/>
      <sheetName val="WBS (3)"/>
      <sheetName val="Sheet2"/>
      <sheetName val="ACS(1)"/>
      <sheetName val="CCTV(old)"/>
      <sheetName val="SSuppliers"/>
      <sheetName val="Factor"/>
      <sheetName val="Staff Acco."/>
      <sheetName val="Factors"/>
      <sheetName val="Det Import"/>
      <sheetName val="CF"/>
      <sheetName val="Bill 1"/>
      <sheetName val="Bill 2"/>
      <sheetName val="Bill 3"/>
      <sheetName val="Bill 4"/>
      <sheetName val="Bill 5"/>
      <sheetName val="Bill 6"/>
      <sheetName val="Bill 7"/>
      <sheetName val="Section 2-SCHEDULE OF DAYWORK"/>
      <sheetName val="SCHEDULE"/>
      <sheetName val="AEX_IMPOR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5.xml><?xml version="1.0" encoding="utf-8"?>
<externalLink xmlns="http://schemas.openxmlformats.org/spreadsheetml/2006/main">
  <externalBook xmlns:r="http://schemas.openxmlformats.org/officeDocument/2006/relationships" r:id="rId1">
    <sheetNames>
      <sheetName val="Sheet2"/>
      <sheetName val="Sheet1"/>
      <sheetName val="Factors"/>
      <sheetName val="Bill 5 - Carpark"/>
      <sheetName val="Ragama"/>
      <sheetName val="Material"/>
      <sheetName val="covere"/>
      <sheetName val="Factor"/>
      <sheetName val="Factor Sheet"/>
      <sheetName val="LS Price List"/>
      <sheetName val="Factors &amp; Temp Calc"/>
      <sheetName val="Equipment"/>
      <sheetName val="Homagama Grounds-9.7.2013"/>
      <sheetName val="BOI - Katunayaka-9.8.2013"/>
      <sheetName val="Room Type"/>
      <sheetName val="Basement2 DB"/>
      <sheetName val="OLD PRICES"/>
      <sheetName val="Fcst Tool"/>
      <sheetName val="Kaatsu H.A.M.T.T.C.-7 jan 10"/>
      <sheetName val="Cash Flow Worksheet"/>
      <sheetName val="Sheet3"/>
      <sheetName val="DBs"/>
      <sheetName val="Price Sheet"/>
      <sheetName val="Cost Factor Sheet"/>
      <sheetName val="MDB-25.8.2014"/>
      <sheetName val="Seachells-Pools-25.2.2014"/>
      <sheetName val="B-3.2 EB"/>
      <sheetName val="APPT"/>
      <sheetName val="APPT_SGL"/>
      <sheetName val="Phone_Sale"/>
      <sheetName val="total components with Rates"/>
      <sheetName val="Schedules"/>
      <sheetName val="Title"/>
      <sheetName val="DEP"/>
      <sheetName val="GEN"/>
      <sheetName val="MTC"/>
      <sheetName val="TFR"/>
      <sheetName val="Input"/>
      <sheetName val="Cost summary"/>
      <sheetName val="Material Prices"/>
      <sheetName val="NHÀ NHẬP LIỆU"/>
      <sheetName val="MÓNG SILO"/>
      <sheetName val="Keels-6.2.2014"/>
      <sheetName val="FlowHmgma Grds-9.7.2013-details"/>
      <sheetName val="GOC"/>
      <sheetName val="Electrical"/>
      <sheetName val="Backlog Consol"/>
      <sheetName val="Prices"/>
      <sheetName val="Staff Acco."/>
      <sheetName val="CAL. - DATA"/>
      <sheetName val="Rate analysis 1"/>
      <sheetName val="4"/>
      <sheetName val="PLT-SUM"/>
      <sheetName val="Order list (3)"/>
      <sheetName val="DUTY FREE-DF VAT"/>
      <sheetName val="Rate Sheet"/>
      <sheetName val="Data 1"/>
      <sheetName val="corbeldatail"/>
      <sheetName val="B-2"/>
      <sheetName val="Chilly"/>
      <sheetName val="pipes"/>
      <sheetName val="CCTV_ES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Set>
  </externalBook>
</externalLink>
</file>

<file path=xl/externalLinks/externalLink126.xml><?xml version="1.0" encoding="utf-8"?>
<externalLink xmlns="http://schemas.openxmlformats.org/spreadsheetml/2006/main">
  <externalBook xmlns:r="http://schemas.openxmlformats.org/officeDocument/2006/relationships" r:id="rId1">
    <sheetNames>
      <sheetName val="0000"/>
      <sheetName val="Loan tie-in"/>
      <sheetName val="TB tie-in"/>
      <sheetName val="Database"/>
      <sheetName val="Date Ranges"/>
      <sheetName val="Exchange Rates"/>
      <sheetName val="Forward Rates"/>
      <sheetName val="Euro Conv."/>
      <sheetName val="Interest Rates"/>
      <sheetName val="Exposure Summary"/>
      <sheetName val="Perm Loans"/>
      <sheetName val="FX Impact-by Co."/>
      <sheetName val="FX Impact (spot)-by Curr."/>
      <sheetName val="FX Impact (fwd)-by Curr."/>
      <sheetName val="Factors &amp; Temp Calc"/>
      <sheetName val="total components with Rates"/>
      <sheetName val="Exchange Rates(rounded)"/>
      <sheetName val="Room Type"/>
      <sheetName val="Basement2 DB"/>
      <sheetName val="Legend"/>
      <sheetName val="apr_data"/>
      <sheetName val="Product Groups"/>
      <sheetName val="Title"/>
      <sheetName val="GS1"/>
      <sheetName val="Factors"/>
      <sheetName val="DDB Depr (Mths)"/>
      <sheetName val="Start"/>
      <sheetName val="Factor Sheet"/>
      <sheetName val="4"/>
      <sheetName val="Input"/>
      <sheetName val="MAIN"/>
      <sheetName val="Zones"/>
      <sheetName val="CQ by Entity"/>
      <sheetName val="FY by Entity"/>
      <sheetName val="INDEX"/>
      <sheetName val="NQ by Entity"/>
      <sheetName val="CQ Bridge"/>
      <sheetName val="CQ Orders"/>
      <sheetName val="Org Growth"/>
      <sheetName val="Monthly Trend Act MOR pv"/>
      <sheetName val="BOM"/>
      <sheetName val="NonPerp"/>
      <sheetName val="Perp"/>
      <sheetName val="Oracle Account Master"/>
      <sheetName val="RSM and Distributors"/>
      <sheetName val="HyperionEnt"/>
      <sheetName val="NEW PRODUCT SALES FORCE"/>
      <sheetName val="Cost Factor Sheet"/>
      <sheetName val="Sheet3"/>
      <sheetName val="Keels-6.2.2014"/>
      <sheetName val="Summary"/>
      <sheetName val="Price"/>
      <sheetName val="3C"/>
      <sheetName val="EST"/>
      <sheetName val="RATE"/>
      <sheetName val="AU Zone"/>
      <sheetName val="Distributor Details"/>
      <sheetName val="Cover"/>
      <sheetName val="Price Sheet"/>
      <sheetName val="Cost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27.xml><?xml version="1.0" encoding="utf-8"?>
<externalLink xmlns="http://schemas.openxmlformats.org/spreadsheetml/2006/main">
  <externalBook xmlns:r="http://schemas.openxmlformats.org/officeDocument/2006/relationships" r:id="rId1">
    <sheetNames>
      <sheetName val="Request"/>
      <sheetName val="List"/>
      <sheetName val="SH-B"/>
      <sheetName val="SH-D"/>
      <sheetName val="SH-G"/>
      <sheetName val="Mat"/>
      <sheetName val="SAN REDUCED 1"/>
      <sheetName val="Cost Plan"/>
      <sheetName val="Factor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28.xml><?xml version="1.0" encoding="utf-8"?>
<externalLink xmlns="http://schemas.openxmlformats.org/spreadsheetml/2006/main">
  <externalBook xmlns:r="http://schemas.openxmlformats.org/officeDocument/2006/relationships" r:id="rId1">
    <sheetNames>
      <sheetName val="Sheet1 (2)"/>
      <sheetName val="SELL"/>
      <sheetName val="sum-sys"/>
      <sheetName val="DETAIL "/>
      <sheetName val="EXCLUDE"/>
      <sheetName val="VENDER"/>
      <sheetName val="DATA "/>
      <sheetName val="List"/>
      <sheetName val="Cost Factor Sheet"/>
      <sheetName val="Load Sch, Cable Sel &amp; Qty"/>
      <sheetName val="Ragama"/>
      <sheetName val="Factor Sheet"/>
      <sheetName val="Price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29.xml><?xml version="1.0" encoding="utf-8"?>
<externalLink xmlns="http://schemas.openxmlformats.org/spreadsheetml/2006/main">
  <externalBook xmlns:r="http://schemas.openxmlformats.org/officeDocument/2006/relationships" r:id="rId1">
    <sheetNames>
      <sheetName val="laroux"/>
      <sheetName val="Sheet2"/>
      <sheetName val="Sp-Gr Sum"/>
      <sheetName val="Spar-Sum"/>
      <sheetName val="Mr.Boonie-52000"/>
      <sheetName val="SUMMARY-L"/>
      <sheetName val="SUMMARY-F"/>
      <sheetName val="proposed BOQ COMPARISON"/>
      <sheetName val="52000"/>
      <sheetName val="En 27"/>
      <sheetName val="En 27new"/>
      <sheetName val="En 27-actual"/>
      <sheetName val="proposed BOQ "/>
      <sheetName val="BOQ -Main new"/>
      <sheetName val="BOQ -Main"/>
      <sheetName val="BOQ -Add Qty"/>
      <sheetName val="BOQ -Deletion"/>
      <sheetName val="Sheet1"/>
      <sheetName val="BOQ -Add New Item"/>
      <sheetName val="NOTE"/>
      <sheetName val="OFFER(r2)"/>
      <sheetName val="Summary(r2)"/>
      <sheetName val="Factors"/>
      <sheetName val="Chiller"/>
      <sheetName val="AHU"/>
      <sheetName val="Fans"/>
      <sheetName val="FCU"/>
      <sheetName val="Chem Dosing Pump"/>
      <sheetName val="Pumps"/>
      <sheetName val="BMS"/>
      <sheetName val="En 24 P-1"/>
      <sheetName val="En 24 P-3"/>
      <sheetName val="En 24 P-2"/>
      <sheetName val="En 24 P-4"/>
      <sheetName val="VVa"/>
      <sheetName val="Histry Price"/>
      <sheetName val="Variables"/>
      <sheetName val="OLD PRICES"/>
      <sheetName val="Sheet3"/>
      <sheetName val="Chilly"/>
      <sheetName val="CF"/>
      <sheetName val="bus bar"/>
      <sheetName val="SubmitCal"/>
      <sheetName val="CAL. - DATA"/>
      <sheetName val="概総括1"/>
      <sheetName val="Price Sheet"/>
      <sheetName val="Factor Sheet"/>
      <sheetName val="Exchange Rates(rounded)"/>
      <sheetName val="Database"/>
      <sheetName val="Date Ranges"/>
      <sheetName val="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130.xml><?xml version="1.0" encoding="utf-8"?>
<externalLink xmlns="http://schemas.openxmlformats.org/spreadsheetml/2006/main">
  <externalBook xmlns:r="http://schemas.openxmlformats.org/officeDocument/2006/relationships" r:id="rId1">
    <sheetNames>
      <sheetName val="EST"/>
      <sheetName val="SAMEER"/>
      <sheetName val="Section 2-SCHEDULE OF DAYWORK"/>
      <sheetName val="基本ﾃﾞｰﾀ"/>
      <sheetName val="Civil Works"/>
    </sheetNames>
    <sheetDataSet>
      <sheetData sheetId="0" refreshError="1"/>
      <sheetData sheetId="1" refreshError="1"/>
      <sheetData sheetId="2" refreshError="1"/>
      <sheetData sheetId="3" refreshError="1"/>
      <sheetData sheetId="4" refreshError="1"/>
    </sheetDataSet>
  </externalBook>
</externalLink>
</file>

<file path=xl/externalLinks/externalLink131.xml><?xml version="1.0" encoding="utf-8"?>
<externalLink xmlns="http://schemas.openxmlformats.org/spreadsheetml/2006/main">
  <externalBook xmlns:r="http://schemas.openxmlformats.org/officeDocument/2006/relationships" r:id="rId1">
    <sheetNames>
      <sheetName val="PPT"/>
      <sheetName val="Summary"/>
      <sheetName val="Future"/>
      <sheetName val="2006"/>
      <sheetName val="2005"/>
      <sheetName val="2004"/>
      <sheetName val="2003"/>
      <sheetName val="2002"/>
      <sheetName val="2001"/>
      <sheetName val="2000"/>
      <sheetName val="1999"/>
      <sheetName val="1998"/>
      <sheetName val="1997"/>
      <sheetName val="1996"/>
      <sheetName val="excel spreadsheet model"/>
      <sheetName val="DDB Depr (Mths)"/>
      <sheetName val="SL Depr (Mths)"/>
      <sheetName val="Variables"/>
      <sheetName val="Start"/>
      <sheetName val="Input"/>
      <sheetName val="240% Dealer Amort Schedule Apr-"/>
      <sheetName val="BFExp10"/>
      <sheetName val="data"/>
      <sheetName val="Factors &amp; Temp Calc"/>
      <sheetName val="INPUT - Recommended Schedules"/>
      <sheetName val="BOM"/>
      <sheetName val="概総括1"/>
      <sheetName val="B-3.2 EB"/>
      <sheetName val="Load Sch, Cable Sel &amp; Qty"/>
      <sheetName val="Cost Factor Sheet"/>
      <sheetName val="Sheet1"/>
      <sheetName val="Prices"/>
      <sheetName val="Factor Sheet"/>
      <sheetName val="Distributor Details"/>
      <sheetName val="Room Type"/>
      <sheetName val="Basement2 DB"/>
      <sheetName val="Material Prices"/>
      <sheetName val="sum-all"/>
      <sheetName val="Price Sheet"/>
      <sheetName val="Exchange Rates(rounded)"/>
      <sheetName val="Legend"/>
      <sheetName val="CQ by Entity"/>
      <sheetName val="FY by Entity"/>
      <sheetName val="INDEX"/>
      <sheetName val="NQ by Entity"/>
      <sheetName val="CQ Bridge"/>
      <sheetName val="CQ Orders"/>
      <sheetName val="Org Growth"/>
      <sheetName val="Monthly Trend Act MOR pv"/>
      <sheetName val="RSM and Distributors"/>
      <sheetName val="③赤紙(日文)"/>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32.xml><?xml version="1.0" encoding="utf-8"?>
<externalLink xmlns="http://schemas.openxmlformats.org/spreadsheetml/2006/main">
  <externalBook xmlns:r="http://schemas.openxmlformats.org/officeDocument/2006/relationships" r:id="rId1">
    <sheetNames>
      <sheetName val="#1 IS"/>
      <sheetName val="#2a FY 08 PHASING"/>
      <sheetName val="#3a BS"/>
      <sheetName val="#4 FCF"/>
      <sheetName val="#2 Org Growth"/>
      <sheetName val="Lookup"/>
      <sheetName val="#3 Rev OI Bridge 07-08"/>
      <sheetName val="#3 Rev OI Bridge 08-09"/>
      <sheetName val="#3 Rev OI Bridge 09-10"/>
      <sheetName val="#3 Bridge Instructions"/>
      <sheetName val="#5 Restructuring"/>
      <sheetName val="#9 RIF Roll Forward"/>
      <sheetName val="#10 RIF Unit Roll Forward"/>
      <sheetName val="#11  Opps &amp; Risks"/>
      <sheetName val="Keels-6.2.2014"/>
      <sheetName val="FlowHmgma Grds-9.7.2013-details"/>
      <sheetName val="ancillary"/>
      <sheetName val="Material Prices"/>
      <sheetName val="Electrical"/>
      <sheetName val="Legend"/>
      <sheetName val="d-safe DELUXE"/>
      <sheetName val="Calc Inputs"/>
      <sheetName val="INPUT"/>
      <sheetName val="Sheet1"/>
      <sheetName val="Oracle Account Master"/>
      <sheetName val="NonPerp"/>
      <sheetName val="Perp"/>
      <sheetName val="Ragama"/>
      <sheetName val="ICAM_Prices_Raw"/>
      <sheetName val="Sheet2"/>
      <sheetName val="JOB COSTING SHEET ELEC"/>
      <sheetName val="BOQ ACMV-MU"/>
      <sheetName val="Rate Sheet"/>
      <sheetName val="jul_data"/>
      <sheetName val="NOV fx rates"/>
      <sheetName val="3.Labour"/>
      <sheetName val="1.Material"/>
      <sheetName val="MMI"/>
      <sheetName val="2.Machinery"/>
      <sheetName val="CQ by Entity"/>
      <sheetName val="FY by Entity"/>
      <sheetName val="INDEX"/>
      <sheetName val="NQ by Entity"/>
      <sheetName val="CQ Bridge"/>
      <sheetName val="CQ Orders"/>
      <sheetName val="Org Growth"/>
      <sheetName val="Monthly Trend Act MOR pv"/>
      <sheetName val="RATE"/>
      <sheetName val="NEW PRODUCT SALES FORCE"/>
      <sheetName val="Assumptions"/>
      <sheetName val="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133.xml><?xml version="1.0" encoding="utf-8"?>
<externalLink xmlns="http://schemas.openxmlformats.org/spreadsheetml/2006/main">
  <externalBook xmlns:r="http://schemas.openxmlformats.org/officeDocument/2006/relationships" r:id="rId1">
    <sheetNames>
      <sheetName val="Index"/>
      <sheetName val="1"/>
      <sheetName val="2"/>
      <sheetName val="3"/>
      <sheetName val="4"/>
      <sheetName val="5"/>
      <sheetName val="6"/>
      <sheetName val="7"/>
      <sheetName val="8"/>
      <sheetName val="9"/>
      <sheetName val="1 "/>
      <sheetName val="1(2)"/>
      <sheetName val="1  (2)"/>
      <sheetName val="6 (2)"/>
      <sheetName val="8 (2)"/>
      <sheetName val="8 (3)"/>
      <sheetName val="1  (3)"/>
      <sheetName val="8 (4)"/>
      <sheetName val="B-3.2 EB"/>
      <sheetName val="B-3"/>
      <sheetName val="Factors"/>
      <sheetName val="MDB-25.8.2014"/>
      <sheetName val="Factor"/>
      <sheetName val="Load Sch, Cable Sel &amp; Qty"/>
      <sheetName val="Cost Factor Sheet"/>
      <sheetName val="Factor Sheet"/>
      <sheetName val="Price Sheet"/>
      <sheetName val="Valible One BOQ"/>
      <sheetName val="NATION"/>
      <sheetName val="Sheet1"/>
      <sheetName val="Homagama Grounds-9.7.2013"/>
      <sheetName val="BOI - Katunayaka-9.8.2013"/>
      <sheetName val="Summary"/>
      <sheetName val="3A"/>
      <sheetName val="Material Prices"/>
      <sheetName val="Cost summary"/>
      <sheetName val="D"/>
      <sheetName val="G"/>
      <sheetName val="E"/>
      <sheetName val="Prices"/>
      <sheetName val="Database"/>
      <sheetName val="Date Ranges"/>
      <sheetName val="Ragama"/>
      <sheetName val="DDB Depr (Mths)"/>
      <sheetName val="Exchange Rates(rounded)"/>
      <sheetName val="Cash Flow Worksheet"/>
      <sheetName val="주식"/>
      <sheetName val="Input"/>
      <sheetName val="Cost Sheet"/>
      <sheetName val="INPUT - Recommended Schedules"/>
      <sheetName val="total"/>
      <sheetName val="sys_System"/>
      <sheetName val="aug_data"/>
      <sheetName val="Legend"/>
      <sheetName val="Room Type"/>
      <sheetName val="Basement2 DB"/>
      <sheetName val="D_Cntnts"/>
      <sheetName val="E_Summary"/>
      <sheetName val="JOB COSTING SHEET HVA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34.xml><?xml version="1.0" encoding="utf-8"?>
<externalLink xmlns="http://schemas.openxmlformats.org/spreadsheetml/2006/main">
  <externalBook xmlns:r="http://schemas.openxmlformats.org/officeDocument/2006/relationships" r:id="rId1">
    <sheetNames>
      <sheetName val="Summary"/>
      <sheetName val="SCH1"/>
      <sheetName val="SCH2"/>
      <sheetName val="SCH3"/>
      <sheetName val="SCH3, 7 METAL WORK"/>
      <sheetName val="SCH3, 10 MISC"/>
      <sheetName val="SCH3, 12 INT DESIGN"/>
      <sheetName val="SCH3,13 DR &amp; ALUM"/>
      <sheetName val="SCH4"/>
      <sheetName val="SCH5"/>
      <sheetName val="SCH6"/>
      <sheetName val="SCH7"/>
      <sheetName val="DETAIL "/>
      <sheetName val="Settings"/>
      <sheetName val="Homagama Grounds-9.7.2013"/>
      <sheetName val="BOI - Katunayaka-9.8.20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35.xml><?xml version="1.0" encoding="utf-8"?>
<externalLink xmlns="http://schemas.openxmlformats.org/spreadsheetml/2006/main">
  <externalBook xmlns:r="http://schemas.openxmlformats.org/officeDocument/2006/relationships" r:id="rId1">
    <sheetNames>
      <sheetName val="Summary of BOQ"/>
      <sheetName val="BOQ"/>
      <sheetName val="Detail"/>
      <sheetName val="Water sump"/>
      <sheetName val="Unit Rates-DF VAT"/>
      <sheetName val="Services_InitialEst_UtilityServ"/>
      <sheetName val="Cash2"/>
      <sheetName val="z"/>
      <sheetName val="Factors"/>
      <sheetName val="CF"/>
      <sheetName val="CCTV_EST1"/>
      <sheetName val="Civil Works"/>
      <sheetName val="AEX_IMPORTS_on 320"/>
      <sheetName val="SubmitCal"/>
      <sheetName val="CERTIFIC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36.xml><?xml version="1.0" encoding="utf-8"?>
<externalLink xmlns="http://schemas.openxmlformats.org/spreadsheetml/2006/main">
  <externalBook xmlns:r="http://schemas.openxmlformats.org/officeDocument/2006/relationships" r:id="rId1">
    <sheetNames>
      <sheetName val="cov-estimate"/>
      <sheetName val="CommonItems"/>
      <sheetName val="Homagama Grounds-9.7.2013"/>
    </sheetNames>
    <sheetDataSet>
      <sheetData sheetId="0" refreshError="1"/>
      <sheetData sheetId="1" refreshError="1"/>
      <sheetData sheetId="2" refreshError="1"/>
    </sheetDataSet>
  </externalBook>
</externalLink>
</file>

<file path=xl/externalLinks/externalLink137.xml><?xml version="1.0" encoding="utf-8"?>
<externalLink xmlns="http://schemas.openxmlformats.org/spreadsheetml/2006/main">
  <externalBook xmlns:r="http://schemas.openxmlformats.org/officeDocument/2006/relationships" r:id="rId1">
    <sheetNames>
      <sheetName val="grand summary"/>
      <sheetName val="boq"/>
      <sheetName val="upa"/>
      <sheetName val="equipment"/>
      <sheetName val="material"/>
      <sheetName val="labour"/>
      <sheetName val="inWords"/>
      <sheetName val="wordsdata"/>
      <sheetName val="calendar days"/>
      <sheetName val="cov-estimate"/>
      <sheetName val="Construction cost assumption"/>
      <sheetName val="JLL Assumption"/>
      <sheetName val="Sheet1"/>
      <sheetName val="Retail Program&amp;Rev Assumption"/>
      <sheetName val="B-3.2 E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38.xml><?xml version="1.0" encoding="utf-8"?>
<externalLink xmlns="http://schemas.openxmlformats.org/spreadsheetml/2006/main">
  <externalBook xmlns:r="http://schemas.openxmlformats.org/officeDocument/2006/relationships" r:id="rId1">
    <sheetNames>
      <sheetName val="PTC"/>
      <sheetName val="PTC Summary"/>
      <sheetName val="ROC"/>
      <sheetName val="ROC Summary"/>
      <sheetName val="Support"/>
      <sheetName val="Summary"/>
      <sheetName val="Factors"/>
      <sheetName val="Price sheet-var"/>
      <sheetName val="Duch heater-price"/>
      <sheetName val="G-D Price list"/>
      <sheetName val="MFD - price"/>
      <sheetName val="MD - price"/>
      <sheetName val="VCD- price"/>
      <sheetName val="BDD - price"/>
      <sheetName val="Ac-eqpt"/>
      <sheetName val="RW_Option"/>
      <sheetName val="Structural work"/>
      <sheetName val="Electrical Systems"/>
      <sheetName val="Plumbing Systems"/>
      <sheetName val="Air Conditioning"/>
      <sheetName val="External work"/>
      <sheetName val="Seachells-Pools-25.2.2014"/>
      <sheetName val="Kaatsu H.A.M.T.T.C.-7 jan 10"/>
      <sheetName val="Cctmst"/>
      <sheetName val="Sheet1"/>
      <sheetName val="Interimbill-01"/>
      <sheetName val="Manpower"/>
      <sheetName val="Homagama Grounds-9.7.2013"/>
      <sheetName val="BOI - Katunayaka-9.8.2013"/>
      <sheetName val="DEP"/>
      <sheetName val="Factor Sheet"/>
      <sheetName val="GEN"/>
      <sheetName val="MTC"/>
      <sheetName val="TFR"/>
      <sheetName val="Cost Factor Sheet"/>
      <sheetName val="Anchors"/>
      <sheetName val="Sheet2"/>
      <sheetName val="PTC_Summary"/>
      <sheetName val="ROC_Summary"/>
      <sheetName val="Price_sheet-var"/>
      <sheetName val="Duch_heater-price"/>
      <sheetName val="G-D_Price_list"/>
      <sheetName val="MFD_-_price"/>
      <sheetName val="MD_-_price"/>
      <sheetName val="VCD-_price"/>
      <sheetName val="BDD_-_price"/>
      <sheetName val="Factor_Sheet"/>
      <sheetName val="Cost_Factor_Sheet"/>
      <sheetName val="DATA"/>
      <sheetName val="SECTION 10-TSE"/>
      <sheetName val="1-G1"/>
      <sheetName val="A"/>
      <sheetName val="Section 2-SCHEDULE OF DAYWORK"/>
      <sheetName val="LABOUR SALARY "/>
      <sheetName val="LS Price List"/>
      <sheetName val="SCHEDULE"/>
      <sheetName val="JOB COSTING SHEET HVAC"/>
      <sheetName val="Cover"/>
      <sheetName val="Schedules"/>
      <sheetName val="Title"/>
      <sheetName val="Ragama"/>
      <sheetName val="Group"/>
      <sheetName val="Legend"/>
      <sheetName val="B-2"/>
      <sheetName val="Material Prices"/>
      <sheetName val="Oracle Account Master"/>
      <sheetName val="calculations"/>
      <sheetName val="ELE Summary"/>
      <sheetName val="BOQ P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139.xml><?xml version="1.0" encoding="utf-8"?>
<externalLink xmlns="http://schemas.openxmlformats.org/spreadsheetml/2006/main">
  <externalBook xmlns:r="http://schemas.openxmlformats.org/officeDocument/2006/relationships" r:id="rId1">
    <sheetNames>
      <sheetName val="laroux"/>
      <sheetName val="BOQ Electrical (VP)"/>
      <sheetName val="Factors"/>
      <sheetName val="Summary Sheet"/>
      <sheetName val="Cost Sheet"/>
      <sheetName val="BOQ Electrical"/>
      <sheetName val="Price List"/>
      <sheetName val="Fire Alarm"/>
      <sheetName val="VVa"/>
      <sheetName val="Room Type"/>
      <sheetName val="Basement2 DB"/>
      <sheetName val="Factor Sheet"/>
      <sheetName val="Keels-6.2.2014"/>
      <sheetName val="FlowHmgma Grds-9.7.2013-details"/>
      <sheetName val="Seachells-Pools-25.2.2014"/>
      <sheetName val="BOQ Electrical VP"/>
      <sheetName val="RATES-COST ITEMS"/>
      <sheetName val="RATES-MACHINERY"/>
      <sheetName val="RATES-MANPOWER"/>
      <sheetName val="RATES-MATERIAL"/>
      <sheetName val="RATES-SUBCON"/>
      <sheetName val="Sheet1"/>
      <sheetName val="Cover"/>
      <sheetName val=" Factor  "/>
      <sheetName val="Histry Price"/>
      <sheetName val="Electrical"/>
      <sheetName val="BN 01"/>
      <sheetName val="Cost Factor Sheet"/>
      <sheetName val="Americas"/>
      <sheetName val="NEW PRODUCT SALES FORCE"/>
      <sheetName val="jul_data"/>
      <sheetName val="Enclo.compar.EMP-RND"/>
      <sheetName val="may_data"/>
      <sheetName val="Sheet2"/>
      <sheetName val="Bill 3 - Site Works"/>
      <sheetName val="PLUMBING WORK ADDITIONS"/>
      <sheetName val="BOQ_Electrical_(VP)"/>
      <sheetName val="Summary_Sheet"/>
      <sheetName val="Cost_Sheet"/>
      <sheetName val="BOQ_Electrical"/>
      <sheetName val="Price_List"/>
      <sheetName val="Fire_Alarm"/>
      <sheetName val="BOQ_Electrical_VP"/>
      <sheetName val="RATES-COST_ITEMS"/>
      <sheetName val="Services_InitialEst_UtilityServ"/>
      <sheetName val="Cash2"/>
      <sheetName val="Z"/>
      <sheetName val="1-G1"/>
      <sheetName val="BOQ ACMV-M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40.xml><?xml version="1.0" encoding="utf-8"?>
<externalLink xmlns="http://schemas.openxmlformats.org/spreadsheetml/2006/main">
  <externalBook xmlns:r="http://schemas.openxmlformats.org/officeDocument/2006/relationships" r:id="rId1">
    <sheetNames>
      <sheetName val="Sheet1"/>
      <sheetName val="Asia"/>
      <sheetName val="Fire"/>
      <sheetName val="Sec"/>
      <sheetName val="HQ"/>
      <sheetName val="SEA"/>
      <sheetName val="SEA Fire"/>
      <sheetName val="SEA Sec"/>
      <sheetName val="Fire Sing"/>
      <sheetName val="Sec Sing"/>
      <sheetName val="Fire msia"/>
      <sheetName val="Sec Msia"/>
      <sheetName val="Fire thai"/>
      <sheetName val="Sec Thai"/>
      <sheetName val="Fire indo"/>
      <sheetName val="Sec Indo"/>
      <sheetName val="Fire Phil"/>
      <sheetName val="Sec Phil"/>
      <sheetName val="Fire India"/>
      <sheetName val="Sec India"/>
      <sheetName val="Fire Pkn"/>
      <sheetName val="Sec Pkn"/>
      <sheetName val="Variables"/>
      <sheetName val="NEW PRODUCT SALES FORCE"/>
      <sheetName val="New Structure"/>
      <sheetName val="Loan Amortization Schedule"/>
      <sheetName val="Homagama Grounds-9.7.2013"/>
      <sheetName val="BOI - Katunayaka-9.8.2013"/>
      <sheetName val="Parameters"/>
      <sheetName val="Factors"/>
      <sheetName val="Prices"/>
      <sheetName val="Bill 5 - Carpark"/>
      <sheetName val="Input"/>
      <sheetName val="Backlog Consol"/>
      <sheetName val="RBD"/>
      <sheetName val="Zones"/>
      <sheetName val="total"/>
      <sheetName val="Distributor Details"/>
      <sheetName val="Goodwill Calculation"/>
      <sheetName val="3A"/>
      <sheetName val="OLD PRICES"/>
      <sheetName val="MDB-25.8.2014"/>
      <sheetName val="apr_data"/>
      <sheetName val="Sheet2"/>
      <sheetName val="JOB COSTING SHEET ELEC"/>
      <sheetName val="Ragama"/>
      <sheetName val="LS Price List"/>
      <sheetName val="Factor"/>
      <sheetName val="aug_data"/>
      <sheetName val="General"/>
      <sheetName val="Legend"/>
      <sheetName val="sys_System"/>
      <sheetName val="sep_data"/>
      <sheetName val="Bill 3 - Site Works"/>
      <sheetName val="Start"/>
      <sheetName val="DDB Depr (Mths)"/>
      <sheetName val="Order list (3)"/>
      <sheetName val="costing sheet"/>
      <sheetName val="Cost Factor Sheet"/>
      <sheetName val="Load Sch, Cable Sel &amp; Qty"/>
      <sheetName val="Factor Sheet"/>
      <sheetName val="Price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41.xml><?xml version="1.0" encoding="utf-8"?>
<externalLink xmlns="http://schemas.openxmlformats.org/spreadsheetml/2006/main">
  <externalBook xmlns:r="http://schemas.openxmlformats.org/officeDocument/2006/relationships" r:id="rId1">
    <sheetNames>
      <sheetName val="Mr.Maniku@Pelawatta-26.8.2014"/>
      <sheetName val="MDB-25.8.2014"/>
      <sheetName val="Order No.2 -LS"/>
      <sheetName val="LS"/>
      <sheetName val="3 phase-calculations"/>
      <sheetName val="ACL price list"/>
      <sheetName val="N'Eliya-23.8.14"/>
      <sheetName val="Dr.Upali-22.8.2014"/>
      <sheetName val="Car Park @ Cent.Bnk-22.8.2014"/>
      <sheetName val="Clear Point-20.8.2014"/>
      <sheetName val="Solarpower-Hambantota-19.8.2014"/>
      <sheetName val="Resort@Tangalle-18.8.2014"/>
      <sheetName val="NSBM-pump details-18.8.2014"/>
      <sheetName val="Frozen Meals-Poruwadnda-16.8.14"/>
      <sheetName val="Tea Factory-Hatton-16.8.14"/>
      <sheetName val="Maniku-pool-30.8.2014"/>
      <sheetName val="SPA Udawalawe-29.8.2014"/>
      <sheetName val="World Vision-29.8.2014"/>
      <sheetName val="Neptune-28.8.2014"/>
      <sheetName val="Flow Tech-28.8.2014"/>
      <sheetName val="Havelock Apt-28.8.2014"/>
      <sheetName val="Flow Tech-26.8.2014"/>
      <sheetName val="Abeetha Dangalla-26.8.2014"/>
      <sheetName val="LS Price List"/>
      <sheetName val="Unit Rates-DF VAT (2)"/>
      <sheetName val="DEP"/>
      <sheetName val="Factor Sheet"/>
      <sheetName val="GEN"/>
      <sheetName val="MTC"/>
      <sheetName val="TFR"/>
      <sheetName val="B-3.2 EB"/>
      <sheetName val="ELE Summary"/>
      <sheetName val="GS1"/>
      <sheetName val="INPUT"/>
      <sheetName val="Legend"/>
      <sheetName val="Homagama Grounds-9.7.2013"/>
      <sheetName val="BOI - Katunayaka-9.8.2013"/>
      <sheetName val="Title"/>
      <sheetName val=" Factor  "/>
      <sheetName val="APPT"/>
      <sheetName val="APPT_SGL"/>
      <sheetName val="Histry Price"/>
      <sheetName val="Phone_Sale"/>
      <sheetName val="SPRINKLER"/>
      <sheetName val="BO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42.xml><?xml version="1.0" encoding="utf-8"?>
<externalLink xmlns="http://schemas.openxmlformats.org/spreadsheetml/2006/main">
  <externalBook xmlns:r="http://schemas.openxmlformats.org/officeDocument/2006/relationships" r:id="rId1">
    <sheetNames>
      <sheetName val="000000"/>
      <sheetName val="laroux"/>
      <sheetName val="XXXXXXXX"/>
      <sheetName val="Histry Price"/>
      <sheetName val="Norms"/>
      <sheetName val=" Factor  "/>
      <sheetName val="Summary"/>
      <sheetName val="Sheet1"/>
      <sheetName val="total components with Rates"/>
      <sheetName val="Material Prices"/>
      <sheetName val="INPUT SHEET"/>
      <sheetName val="Assumptions"/>
      <sheetName val="Zones"/>
      <sheetName val="Factors"/>
      <sheetName val="BOQ PL"/>
      <sheetName val="Ele Price"/>
      <sheetName val="Competitors"/>
      <sheetName val="sep_data"/>
      <sheetName val="Product Groups"/>
      <sheetName val="sys_System"/>
      <sheetName val="ancillary"/>
      <sheetName val="Start"/>
      <sheetName val="ICAM_Prices_Raw"/>
      <sheetName val="DUTY FREE-DF VAT"/>
      <sheetName val="Rate Sheet"/>
      <sheetName val="Electrical"/>
      <sheetName val="Rates"/>
      <sheetName val="QTY Pipe Laying"/>
      <sheetName val="3.Labour"/>
      <sheetName val="1.Material"/>
      <sheetName val="MMI"/>
      <sheetName val="2.Machinery"/>
      <sheetName val="may_data"/>
      <sheetName val="Fcst Tool"/>
      <sheetName val="Bill 5 - Carpar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43.xml><?xml version="1.0" encoding="utf-8"?>
<externalLink xmlns="http://schemas.openxmlformats.org/spreadsheetml/2006/main">
  <externalBook xmlns:r="http://schemas.openxmlformats.org/officeDocument/2006/relationships" r:id="rId1">
    <sheetNames>
      <sheetName val="\\May4\D\Documents and Settings"/>
      <sheetName val="Tinh tong hop du toan.xls"/>
      <sheetName val="Tinh tong hop du toan"/>
      <sheetName val="inWords"/>
      <sheetName val="[Tinh tong hop du toan.xls]\\Ma"/>
      <sheetName val="Equipment"/>
    </sheetNames>
    <definedNames>
      <definedName name="cplhsmt"/>
      <definedName name="cptdhsmt"/>
      <definedName name="cptdtdt"/>
      <definedName name="cptdtkkt"/>
      <definedName name="gsktxd"/>
      <definedName name="qlda"/>
      <definedName name="tinhqt"/>
      <definedName name="tkp"/>
      <definedName name="tkpdt"/>
    </defined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44.xml><?xml version="1.0" encoding="utf-8"?>
<externalLink xmlns="http://schemas.openxmlformats.org/spreadsheetml/2006/main">
  <externalBook xmlns:r="http://schemas.openxmlformats.org/officeDocument/2006/relationships" r:id="rId1">
    <sheetNames>
      <sheetName val="Beg"/>
      <sheetName val="5Pg P&amp;L"/>
      <sheetName val="YTDComp"/>
      <sheetName val="MthlyComp"/>
      <sheetName val="Trend"/>
      <sheetName val="Sales Prod"/>
      <sheetName val="Closeouts"/>
      <sheetName val="Manpower"/>
      <sheetName val="SAB101"/>
      <sheetName val="SAB101(Exp)"/>
      <sheetName val="SumPNL"/>
      <sheetName val="SumSP"/>
      <sheetName val="Trend Sum"/>
      <sheetName val="Resi COA"/>
      <sheetName val="Comm COA"/>
      <sheetName val="Comm Install OH"/>
      <sheetName val="Resi Install OH"/>
      <sheetName val="Conv Install OH"/>
      <sheetName val="Resi Sales"/>
      <sheetName val="Comm Sales"/>
      <sheetName val="Input"/>
      <sheetName val="Trial Balance"/>
      <sheetName val="Sheet1"/>
      <sheetName val="Prices"/>
      <sheetName val="Ragama"/>
      <sheetName val="Factor"/>
      <sheetName val="Fcst Tool"/>
      <sheetName val="Dist Controls"/>
      <sheetName val="File Settings"/>
      <sheetName val="Forecast"/>
      <sheetName val="Histry Price"/>
      <sheetName val="Zones"/>
      <sheetName val="Total Operations"/>
      <sheetName val="White Group"/>
      <sheetName val="NOV fx rates"/>
      <sheetName val="Variables"/>
      <sheetName val="3A"/>
      <sheetName val="Distributor Details"/>
      <sheetName val="NATION"/>
      <sheetName val="Rate Sheet"/>
      <sheetName val="Homagama Grounds-9.7.2013"/>
      <sheetName val="Schnieder Price List-July 2012"/>
      <sheetName val="B-3.2 EB"/>
      <sheetName val="BOI - Katunayaka-9.8.2013"/>
      <sheetName val="Kaatsu H.A.M.T.T.C.-7 jan 10"/>
      <sheetName val="Material Prices to site"/>
      <sheetName val="Factors"/>
      <sheetName val="BOQ Com"/>
      <sheetName val="LS Price List"/>
      <sheetName val="Bill 3 - Site Works"/>
      <sheetName val="CQ by Entity"/>
      <sheetName val="Legend"/>
      <sheetName val="FY by Entity"/>
      <sheetName val="INDEX"/>
      <sheetName val="NQ by Entity"/>
      <sheetName val="CQ Bridge"/>
      <sheetName val="CQ Orders"/>
      <sheetName val="Org Growth"/>
      <sheetName val="Monthly Trend Act MOR pv"/>
      <sheetName val="Bill 5 - Carpark"/>
      <sheetName val="sys_System"/>
      <sheetName val="Goodwill Calculation"/>
      <sheetName val="Factor Sheet"/>
      <sheetName val="Cost Factor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45.xml><?xml version="1.0" encoding="utf-8"?>
<externalLink xmlns="http://schemas.openxmlformats.org/spreadsheetml/2006/main">
  <externalBook xmlns:r="http://schemas.openxmlformats.org/officeDocument/2006/relationships" r:id="rId1">
    <sheetNames>
      <sheetName val="total summery"/>
      <sheetName val="new summery"/>
      <sheetName val="BOQ Offer - Cost"/>
      <sheetName val="BOQ Offer Guest Room - Cost"/>
      <sheetName val="Price Sheet (New)"/>
      <sheetName val="Factor Sheet"/>
      <sheetName val="Cost Factor Sheet"/>
      <sheetName val="Price Sheet"/>
      <sheetName val="Point Qty &amp; Load"/>
      <sheetName val="Load Sch, Cable Sel &amp; Qty"/>
      <sheetName val="LV Fed - ELV Wire, B Born Qty."/>
      <sheetName val="Sheet1"/>
      <sheetName val="Sheet2"/>
      <sheetName val="SUMMERY"/>
      <sheetName val="take off"/>
      <sheetName val="elec- summery"/>
      <sheetName val="Room Type"/>
      <sheetName val="Basement2 DB"/>
      <sheetName val="RATE"/>
      <sheetName val="Schedules"/>
      <sheetName val="PLUMBING WORK ADDITIONS"/>
      <sheetName val="Factors"/>
      <sheetName val="Legend"/>
      <sheetName val="Input"/>
      <sheetName val="Material Prices"/>
      <sheetName val="Homagama Grounds-9.7.2013"/>
      <sheetName val="BOI - Katunayaka-9.8.2013"/>
      <sheetName val="total_summery"/>
      <sheetName val="new_summery"/>
      <sheetName val="BOQ_Offer_-_Cost"/>
      <sheetName val="BOQ_Offer_Guest_Room_-_Cost"/>
      <sheetName val="Price_Sheet_(New)"/>
      <sheetName val="Factor_Sheet"/>
      <sheetName val="Cost_Factor_Sheet"/>
      <sheetName val="Price_Sheet"/>
      <sheetName val="Point_Qty_&amp;_Load"/>
      <sheetName val="Load_Sch,_Cable_Sel_&amp;_Qty"/>
      <sheetName val="LV_Fed_-_ELV_Wire,_B_Born_Qty_"/>
      <sheetName val="take_off"/>
      <sheetName val="elec-_summery"/>
      <sheetName val="ID Office-R1 - 23.8.2012"/>
      <sheetName val="Schnieder Price List-July 2012"/>
      <sheetName val="Factors &amp; Temp Calc"/>
      <sheetName val="CQ by Entity"/>
      <sheetName val="FY by Entity"/>
      <sheetName val="INDEX"/>
      <sheetName val="NQ by Entity"/>
      <sheetName val="CQ Bridge"/>
      <sheetName val="CQ Orders"/>
      <sheetName val="Org Growth"/>
      <sheetName val="Monthly Trend Act MOR pv"/>
      <sheetName val="A"/>
      <sheetName val="BOM"/>
      <sheetName val="Super"/>
      <sheetName val="Kaatsu H.A.M.T.T.C.-7 jan 10"/>
      <sheetName val="Assum"/>
      <sheetName val="LS Price List"/>
      <sheetName val="DEP"/>
      <sheetName val="GEN"/>
      <sheetName val="MTC"/>
      <sheetName val="TFR"/>
      <sheetName val="Database"/>
      <sheetName val="Date Ranges"/>
      <sheetName val="App. A(contd)"/>
      <sheetName val="CAP"/>
      <sheetName val="Bill 1"/>
      <sheetName val="Bill 2"/>
      <sheetName val="Bill 3"/>
      <sheetName val="Bill 4"/>
      <sheetName val="Bill 5"/>
      <sheetName val="Bill 6"/>
      <sheetName val="Bill 7"/>
      <sheetName val="Cash2"/>
      <sheetName val="Z"/>
      <sheetName val="MCB"/>
      <sheetName val="Price"/>
      <sheetName val="MDB-25.8.2014"/>
      <sheetName val="NEW PRODUCT SALES FORCE"/>
      <sheetName val="Summary"/>
      <sheetName val="Cctmst"/>
      <sheetName val="PLT-S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Set>
  </externalBook>
</externalLink>
</file>

<file path=xl/externalLinks/externalLink146.xml><?xml version="1.0" encoding="utf-8"?>
<externalLink xmlns="http://schemas.openxmlformats.org/spreadsheetml/2006/main">
  <externalBook xmlns:r="http://schemas.openxmlformats.org/officeDocument/2006/relationships" r:id="rId1">
    <sheetNames>
      <sheetName val="Factor"/>
      <sheetName val="BOQ-ELE"/>
      <sheetName val="Summary"/>
      <sheetName val="cost sheet"/>
      <sheetName val="Offer"/>
      <sheetName val="OFFER-ELEC"/>
      <sheetName val="Ragama"/>
      <sheetName val="Factor Sheet"/>
      <sheetName val="Factors"/>
      <sheetName val="tables"/>
      <sheetName val="Order list (3)"/>
      <sheetName val="Cost Factor Sheet"/>
      <sheetName val="DDB Depr (Mths)"/>
      <sheetName val="Sheet2"/>
      <sheetName val="4"/>
      <sheetName val="BN 01"/>
      <sheetName val="apr_data"/>
      <sheetName val="BOQ"/>
      <sheetName val="Exchange Rates(round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47.xml><?xml version="1.0" encoding="utf-8"?>
<externalLink xmlns="http://schemas.openxmlformats.org/spreadsheetml/2006/main">
  <externalBook xmlns:r="http://schemas.openxmlformats.org/officeDocument/2006/relationships" r:id="rId1">
    <sheetNames>
      <sheetName val="laroux"/>
      <sheetName val="Factors"/>
      <sheetName val="VVa"/>
      <sheetName val="BOQ Com (2)"/>
      <sheetName val="Rate analysis 1"/>
      <sheetName val="Rate analysis 2"/>
      <sheetName val="概総括1"/>
      <sheetName val="Prices"/>
      <sheetName val="Seachells-Pools-25.2.2014"/>
      <sheetName val="Sheet1"/>
      <sheetName val="INPUT SHEET"/>
      <sheetName val="RES-PLANNING"/>
      <sheetName val="Distributor Details"/>
      <sheetName val="Fcst Tool"/>
      <sheetName val="B-3.2 EB"/>
      <sheetName val="A"/>
      <sheetName val="BQ"/>
      <sheetName val="WIP"/>
      <sheetName val="LS Price List"/>
      <sheetName val="SLS CM"/>
      <sheetName val="B-2"/>
      <sheetName val="Chilly"/>
      <sheetName val="Unit Rates-DF VAT (2)"/>
      <sheetName val="MDB-25.8.2014"/>
      <sheetName val="Title"/>
      <sheetName val="OLD PRICES"/>
      <sheetName val="NATION"/>
      <sheetName val="PVC-Prices"/>
      <sheetName val="pipe supports cost"/>
      <sheetName val="Database"/>
      <sheetName val="Date Rang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48.xml><?xml version="1.0" encoding="utf-8"?>
<externalLink xmlns="http://schemas.openxmlformats.org/spreadsheetml/2006/main">
  <externalBook xmlns:r="http://schemas.openxmlformats.org/officeDocument/2006/relationships" r:id="rId1">
    <sheetNames>
      <sheetName val="PSI"/>
      <sheetName val="Units"/>
      <sheetName val="rate"/>
      <sheetName val="Gas Heaters"/>
      <sheetName val="unit-Draft"/>
      <sheetName val="Gas_Heaters"/>
      <sheetName val="Gas_Heaters1"/>
      <sheetName val="Budget"/>
      <sheetName val="PILING (1B &amp; 2)"/>
      <sheetName val="Factor Sheet"/>
      <sheetName val="Sheet2"/>
      <sheetName val="Cost Factor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49.xml><?xml version="1.0" encoding="utf-8"?>
<externalLink xmlns="http://schemas.openxmlformats.org/spreadsheetml/2006/main">
  <externalBook xmlns:r="http://schemas.openxmlformats.org/officeDocument/2006/relationships" r:id="rId1">
    <sheetNames>
      <sheetName val="laroux"/>
      <sheetName val="Log Sheet"/>
      <sheetName val="Factor Sheet"/>
      <sheetName val="BOQ Elect"/>
      <sheetName val="Price Sheet"/>
      <sheetName val="Cost-Building Wise"/>
      <sheetName val="BOQ Submission"/>
      <sheetName val="BOQ Submission VP"/>
      <sheetName val="VVa"/>
      <sheetName val="Equipment"/>
      <sheetName val="total components with Rates"/>
      <sheetName val="Ragama"/>
      <sheetName val="Cost Factor Sheet"/>
      <sheetName val="Load Sch, Cable Sel &amp; Qty"/>
      <sheetName val=" Factor  "/>
      <sheetName val="Histry Price"/>
      <sheetName val="Bill 3 - Site Works"/>
      <sheetName val="1-G1"/>
      <sheetName val="Room Type"/>
      <sheetName val="Basement2 DB"/>
      <sheetName val="Keels-6.2.2014"/>
      <sheetName val="Material Prices"/>
      <sheetName val="Order list (3)"/>
      <sheetName val="4"/>
      <sheetName val="Log_Sheet"/>
      <sheetName val="Factor_Sheet"/>
      <sheetName val="BOQ_Elect"/>
      <sheetName val="Price_Sheet"/>
      <sheetName val="Cost-Building_Wise"/>
      <sheetName val="BOQ_Submission"/>
      <sheetName val="BOQ_Submission_VP"/>
      <sheetName val="_Factor__"/>
      <sheetName val="Histry_Price"/>
      <sheetName val="Cost_Factor_Sheet"/>
      <sheetName val="Load_Sch,_Cable_Sel_&amp;_Qty"/>
      <sheetName val="BOQ ACMV-MU"/>
      <sheetName val="Factors"/>
      <sheetName val="Cash2"/>
      <sheetName val="Z"/>
      <sheetName val="Ravalement"/>
      <sheetName val="SECTION 10-TSE"/>
      <sheetName val="螺栓"/>
      <sheetName val="Enclo.compar.EMP-RND"/>
      <sheetName val="Cover"/>
      <sheetName val="OLD PRICES"/>
      <sheetName val="3A"/>
      <sheetName val="LS Price List"/>
      <sheetName val="DDB Depr (Mths)"/>
      <sheetName val="DEP"/>
      <sheetName val="GEN"/>
      <sheetName val="MTC"/>
      <sheetName val="TFR"/>
      <sheetName val="AEX_IMPORTS_on 320"/>
      <sheetName val="Data"/>
      <sheetName val="Group"/>
      <sheetName val="Legend"/>
      <sheetName val="BOI - Katunayaka-9.8.2013"/>
      <sheetName val="Sheet3"/>
      <sheetName val="概総括1"/>
      <sheetName val="pipes"/>
      <sheetName val="Input"/>
      <sheetName val="Goodwill Calcul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50.xml><?xml version="1.0" encoding="utf-8"?>
<externalLink xmlns="http://schemas.openxmlformats.org/spreadsheetml/2006/main">
  <externalBook xmlns:r="http://schemas.openxmlformats.org/officeDocument/2006/relationships" r:id="rId1">
    <sheetNames>
      <sheetName val="EW BOQ"/>
      <sheetName val="WW1 BOQ"/>
      <sheetName val="BOQ Offer - Cost"/>
      <sheetName val="Point Qty &amp; Load"/>
      <sheetName val="Load Sch, Cable Sel &amp; Qty"/>
      <sheetName val="QTO"/>
      <sheetName val="Price Sheet"/>
      <sheetName val="Price Sheet (New)"/>
      <sheetName val="Factor Sheet"/>
      <sheetName val="Cost Factor Sheet"/>
      <sheetName val="CCTV"/>
      <sheetName val="FIRE"/>
      <sheetName val="Other ELV"/>
      <sheetName val="LV Fed - ELV Wire, B Born Qty."/>
      <sheetName val="Guest Rm DB Cable"/>
      <sheetName val="Other DB's"/>
      <sheetName val="ELV Cables"/>
      <sheetName val="CT &amp; CL"/>
      <sheetName val="Sheet1"/>
      <sheetName val="Sheet2"/>
      <sheetName val="Sheet3"/>
      <sheetName val="Sheet6"/>
      <sheetName val="BOM"/>
      <sheetName val="Factors &amp; Temp Calc"/>
      <sheetName val="Room Type"/>
      <sheetName val="Basement2 DB"/>
      <sheetName val="RATE"/>
      <sheetName val="Bill 5 - Carpark"/>
      <sheetName val="INPUT"/>
      <sheetName val="SSuppliers"/>
      <sheetName val="NEW PRODUCT SALES FORCE"/>
      <sheetName val="Oracle Account Master"/>
      <sheetName val="Super"/>
      <sheetName val="EW_BOQ"/>
      <sheetName val="WW1_BOQ"/>
      <sheetName val="BOQ_Offer_-_Cost"/>
      <sheetName val="Point_Qty_&amp;_Load"/>
      <sheetName val="Load_Sch,_Cable_Sel_&amp;_Qty"/>
      <sheetName val="Price_Sheet"/>
      <sheetName val="Price_Sheet_(New)"/>
      <sheetName val="Factor_Sheet"/>
      <sheetName val="Cost_Factor_Sheet"/>
      <sheetName val="Other_ELV"/>
      <sheetName val="LV_Fed_-_ELV_Wire,_B_Born_Qty_"/>
      <sheetName val="Guest_Rm_DB_Cable"/>
      <sheetName val="Other_DB's"/>
      <sheetName val="ELV_Cables"/>
      <sheetName val="CT_&amp;_CL"/>
      <sheetName val="DDB Depr (Mths)"/>
      <sheetName val="Factors"/>
      <sheetName val="Material Prices"/>
      <sheetName val=" Factor  "/>
      <sheetName val="Histry Price"/>
      <sheetName val="Cash2"/>
      <sheetName val="Z"/>
      <sheetName val="CASHFLOW"/>
      <sheetName val="Keels-6.2.2014"/>
      <sheetName val="FlowHmgma Grds-9.7.2013-details"/>
      <sheetName val="Furniture"/>
      <sheetName val="ETC Plant Cost"/>
      <sheetName val="MCB"/>
      <sheetName val="A"/>
      <sheetName val="Det Import"/>
      <sheetName val="Data"/>
      <sheetName val="Group"/>
      <sheetName val="INPUT - Recommended Schedules"/>
      <sheetName val="Ragama"/>
      <sheetName val="Database"/>
      <sheetName val="Date Ranges"/>
      <sheetName val="Schedules"/>
      <sheetName val="total components with Rates"/>
      <sheetName val="costing sheet"/>
      <sheetName val="ICAM_Prices_Ra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151.xml><?xml version="1.0" encoding="utf-8"?>
<externalLink xmlns="http://schemas.openxmlformats.org/spreadsheetml/2006/main">
  <externalBook xmlns:r="http://schemas.openxmlformats.org/officeDocument/2006/relationships" r:id="rId1">
    <sheetNames>
      <sheetName val="Selection"/>
      <sheetName val="Q Summary"/>
      <sheetName val="FCF Summary"/>
      <sheetName val="Technical"/>
      <sheetName val="Input"/>
      <sheetName val="Budget"/>
      <sheetName val="Actual PY"/>
      <sheetName val="Actual PPY"/>
      <sheetName val="Actual - FCST"/>
      <sheetName val="DSO"/>
      <sheetName val="INVDAYS"/>
      <sheetName val="AP DAYS"/>
      <sheetName val="CF details"/>
      <sheetName val="P&amp;L"/>
      <sheetName val="Summary"/>
      <sheetName val="Fcst Tool"/>
      <sheetName val="Budget (2)"/>
      <sheetName val="Actual PY (2)"/>
      <sheetName val="Actual PPY (2)"/>
      <sheetName val="Sheet1"/>
      <sheetName val="5+7 Ent"/>
      <sheetName val="DDB Depr (Mths)"/>
      <sheetName val="Weather"/>
      <sheetName val="成本多栏明细账"/>
      <sheetName val="Homagama Grounds-9.7.2013"/>
      <sheetName val="BOI - Katunayaka-9.8.2013"/>
      <sheetName val="Goodwill Calculation"/>
      <sheetName val="HyperionEnt"/>
      <sheetName val="Calc Inputs"/>
      <sheetName val="Total"/>
      <sheetName val="Admin"/>
      <sheetName val="Prior_CM"/>
      <sheetName val="Zones"/>
      <sheetName val="NOV fx rates"/>
      <sheetName val="Factor Sheet"/>
      <sheetName val="aug_data"/>
      <sheetName val="Rate Sheet"/>
      <sheetName val="BILL 4 NEW multi"/>
      <sheetName val="Ragama"/>
      <sheetName val="Sheet2"/>
      <sheetName val="Factors"/>
      <sheetName val="sep_data"/>
      <sheetName val="Parameters"/>
      <sheetName val="Americas"/>
      <sheetName val="Title"/>
      <sheetName val="INPUT SHEET"/>
      <sheetName val="A"/>
      <sheetName val="RES-PLANNING"/>
      <sheetName val="Prices"/>
      <sheetName val="SSuppliers"/>
      <sheetName val="Factors &amp; Temp Calc"/>
      <sheetName val="ACS(1)"/>
      <sheetName val="CCTV(old)"/>
      <sheetName val="Price"/>
      <sheetName val="3C"/>
      <sheetName val="Price Sheet"/>
      <sheetName val="FS"/>
      <sheetName val="Bill 5 - Carpark"/>
      <sheetName val="sys_System"/>
      <sheetName val="Chilly"/>
      <sheetName val="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152.xml><?xml version="1.0" encoding="utf-8"?>
<externalLink xmlns="http://schemas.openxmlformats.org/spreadsheetml/2006/main">
  <externalBook xmlns:r="http://schemas.openxmlformats.org/officeDocument/2006/relationships" r:id="rId1">
    <sheetNames>
      <sheetName val="AutoOpen Stub Data"/>
      <sheetName val="Customize Your Purchase Order"/>
      <sheetName val="Purchase Order"/>
      <sheetName val="Macros"/>
      <sheetName val="ATW"/>
      <sheetName val="Lock"/>
      <sheetName val="Intl Data Table"/>
      <sheetName val="TemplateInformation"/>
      <sheetName val="DETAIL "/>
      <sheetName val="List"/>
      <sheetName val="Boq(1)"/>
      <sheetName val="ค่าวัสดุ"/>
      <sheetName val="SAN REDUCED 1"/>
      <sheetName val="SH-D"/>
      <sheetName val="SH-G"/>
      <sheetName val="外気負荷"/>
      <sheetName val="C-LOAD(L-FACTORY.)"/>
      <sheetName val="SH-E"/>
      <sheetName val="SH-C"/>
      <sheetName val="summary"/>
      <sheetName val="covere"/>
      <sheetName val="Data"/>
      <sheetName val="Purchase Order1"/>
      <sheetName val="Defect Report(M&amp;E)"/>
      <sheetName val="EXF"/>
      <sheetName val="Code"/>
      <sheetName val="TABLES"/>
      <sheetName val="Price per model"/>
      <sheetName val="建築代価"/>
      <sheetName val="A กลาง"/>
      <sheetName val="A กลาง เกสร"/>
      <sheetName val="A แฝด"/>
      <sheetName val="A ริม"/>
      <sheetName val="B กลาง"/>
      <sheetName val="B ริม"/>
      <sheetName val="B แฝด"/>
      <sheetName val="C กลาง"/>
      <sheetName val="C ริม"/>
      <sheetName val="C แฝด"/>
      <sheetName val="สรุป"/>
      <sheetName val="เอกสารแนบ"/>
      <sheetName val="SOR"/>
      <sheetName val="cov-estimate"/>
      <sheetName val="040"/>
      <sheetName val="060"/>
      <sheetName val="SOURCE"/>
      <sheetName val="Currency Rate"/>
      <sheetName val="BQ-E20-02(Rp)"/>
      <sheetName val="SILICATE"/>
      <sheetName val="Intro"/>
      <sheetName val="Template"/>
      <sheetName val="Variables"/>
      <sheetName val="Customize_Your_Purchase_Order"/>
      <sheetName val="Purchase_Order"/>
      <sheetName val="AutoOpen_Stub_Data"/>
      <sheetName val="Intl_Data_Table"/>
      <sheetName val="DETAIL_"/>
      <sheetName val="SAN_REDUCED_1"/>
      <sheetName val="C-LOAD(L-FACTORY_)"/>
      <sheetName val="Purchase_Order1"/>
      <sheetName val="Customize_Your_Purchase_Order1"/>
      <sheetName val="Purchase_Order2"/>
      <sheetName val="AutoOpen_Stub_Data1"/>
      <sheetName val="Intl_Data_Table1"/>
      <sheetName val="DETAIL_1"/>
      <sheetName val="SAN_REDUCED_11"/>
      <sheetName val="C-LOAD(L-FACTORY_)1"/>
      <sheetName val="Purchase_Order11"/>
      <sheetName val="Invoice"/>
      <sheetName val="Sheet1 (3)"/>
      <sheetName val="APR'09"/>
      <sheetName val="COMMOND LINE"/>
      <sheetName val="Report"/>
      <sheetName val="sort2"/>
      <sheetName val="Book 1 Summary"/>
      <sheetName val="Total"/>
      <sheetName val="Customize_Your_Purchase_Order2"/>
      <sheetName val="AutoOpen_Stub_Data2"/>
      <sheetName val="Intl_Data_Table2"/>
      <sheetName val="SAN_REDUCED_12"/>
      <sheetName val="DETAIL_2"/>
      <sheetName val="C-LOAD(L-FACTORY_)2"/>
      <sheetName val="COMP"/>
      <sheetName val="cu_ผลรวม"/>
      <sheetName val="cu_รหัส"/>
      <sheetName val="cu_วัน"/>
      <sheetName val="COA-17"/>
      <sheetName val="C-18"/>
      <sheetName val="CrEstimate"/>
      <sheetName val="Nov.'02"/>
      <sheetName val="Comsole"/>
      <sheetName val="797T輸入部品リスト"/>
      <sheetName val="data list"/>
      <sheetName val="Plate_Bumper"/>
      <sheetName val="CRITERIA1"/>
      <sheetName val="55435-0D060"/>
      <sheetName val="55436-0D060"/>
      <sheetName val="ConfigModel"/>
      <sheetName val="ResourceModel"/>
      <sheetName val="ＦＣ～FT"/>
      <sheetName val="New DYNA"/>
      <sheetName val="CRITERIA2"/>
      <sheetName val="PRODUCT MIX TRUCK"/>
      <sheetName val="BOM 043L,351L,299L"/>
      <sheetName val="DailyInput"/>
      <sheetName val="CODE,NAME"/>
      <sheetName val="Main Summary"/>
      <sheetName val="AC"/>
      <sheetName val="일위대가목차"/>
      <sheetName val="Sheet1"/>
      <sheetName val="CUSTOMER"/>
      <sheetName val="Master"/>
      <sheetName val="2.1.1Take pipe"/>
      <sheetName val="2.1.2Take Copper Pipe"/>
      <sheetName val="PO(Thai)"/>
      <sheetName val="日程"/>
      <sheetName val="Annual Production"/>
      <sheetName val="POV"/>
      <sheetName val="ＴＦ関連Ｐｒｊ日程表"/>
      <sheetName val="FC"/>
      <sheetName val="supp_name"/>
      <sheetName val="Order List"/>
      <sheetName val="Construction cost assumption"/>
      <sheetName val="JLL Assumption"/>
      <sheetName val="Retail Program&amp;Rev Assumption"/>
      <sheetName val="Fill this out first___"/>
      <sheetName val="Purchase_Order3"/>
      <sheetName val="Customize_Your_Purchase_Order3"/>
      <sheetName val="ITB COST"/>
      <sheetName val="Evaluation"/>
      <sheetName val="Mat"/>
      <sheetName val="Buy vs. Lease Car"/>
      <sheetName val="gvl"/>
      <sheetName val="UP"/>
      <sheetName val="SUM"/>
      <sheetName val="Pipe"/>
      <sheetName val="Customize_Your_Purchase_Order4"/>
      <sheetName val="Purchase_Order4"/>
      <sheetName val="รวมราคาทั้งสิ้น"/>
      <sheetName val="CST1198"/>
      <sheetName val="Purchases-April"/>
      <sheetName val="JobOrder"/>
      <sheetName val="ค่าโทรศัพท์ค้างจ่าย"/>
      <sheetName val="AutoOpen_Stub_Data4"/>
      <sheetName val="Customize_Your_Purchase_Order5"/>
      <sheetName val="Purchase_Order5"/>
      <sheetName val="Intl_Data_Table4"/>
      <sheetName val="DETAIL_4"/>
      <sheetName val="AutoOpen_Stub_Data3"/>
      <sheetName val="Intl_Data_Table3"/>
      <sheetName val="DETAIL_3"/>
      <sheetName val="Cover"/>
      <sheetName val="SH-F"/>
      <sheetName val=" ELECTRICAL ROOM CENTER.xlsx"/>
      <sheetName val="Income Statement"/>
      <sheetName val="Balance Sheet"/>
      <sheetName val=""/>
      <sheetName val="Direct Cost"/>
      <sheetName val="Rate"/>
      <sheetName val="boq"/>
      <sheetName val="Cost_Categories"/>
      <sheetName val="Cost Data"/>
      <sheetName val="Material"/>
      <sheetName val="電気設備表"/>
      <sheetName val="Recovered_Sheet1"/>
      <sheetName val="Sheet1_(3)"/>
      <sheetName val="COMMOND_LINE"/>
      <sheetName val="Nov_'02"/>
      <sheetName val="data_list"/>
      <sheetName val="New_DYNA"/>
      <sheetName val="PRODUCT_MIX_TRUCK"/>
      <sheetName val="BOM_043L,351L,299L"/>
      <sheetName val="Defect_Report(M&amp;E)"/>
      <sheetName val="ARM 39C "/>
      <sheetName val="n"/>
      <sheetName val="Supplier Master IF"/>
      <sheetName val="IMV"/>
      <sheetName val="코드관리"/>
      <sheetName val="DETAIL"/>
      <sheetName val="#REF"/>
      <sheetName val="BUR4-Rd"/>
      <sheetName val="BUR3-DrnRC"/>
      <sheetName val="SPT vs PHI"/>
      <sheetName val="ProductName"/>
      <sheetName val="FS(E)"/>
      <sheetName val="รายละเอียดเสาเข็มที่ใช้แต่ละแบบ"/>
      <sheetName val="Waterg"/>
      <sheetName val="Database"/>
      <sheetName val="Output"/>
      <sheetName val="Sh&amp;Hd"/>
      <sheetName val="e_test_ผลรวม"/>
      <sheetName val="df_ผลรวม"/>
      <sheetName val="df_รหัส"/>
      <sheetName val="df_วัน"/>
      <sheetName val="Cu1_sample"/>
      <sheetName val="DF_sample"/>
      <sheetName val="MK_sample"/>
      <sheetName val="SM"/>
      <sheetName val="SM_sample"/>
      <sheetName val="v_cut_วัน"/>
      <sheetName val="試作台数"/>
      <sheetName val="dr_ผลรวม"/>
      <sheetName val="dr_รหัส"/>
      <sheetName val="dr_วัน"/>
      <sheetName val="e_test_รหัส"/>
      <sheetName val="e_test_วัน"/>
      <sheetName val="etching_ผลรวม"/>
      <sheetName val="etching_รหัส"/>
      <sheetName val="etching_วัน"/>
      <sheetName val="f_test_ผลรวม"/>
      <sheetName val="f_test_รหัส"/>
      <sheetName val="f_test_วัน"/>
      <sheetName val="fqc_ผลรวม"/>
      <sheetName val="fqc_รหัส"/>
      <sheetName val="fqc_วัน"/>
      <sheetName val="hl_ผลรวม"/>
      <sheetName val="hl_รหัส"/>
      <sheetName val="hl_วัน"/>
      <sheetName val="mk_ผลรวม"/>
      <sheetName val="mk_รหัส"/>
      <sheetName val="mk_วัน"/>
      <sheetName val="sm_ผลรวม"/>
      <sheetName val="sm_รหัส"/>
      <sheetName val="sm_วัน"/>
      <sheetName val="v_cut_ผลรวม"/>
      <sheetName val="v_cut_รหัส"/>
      <sheetName val="LOT_ACCP"/>
      <sheetName val="Jan"/>
      <sheetName val="Sample"/>
      <sheetName val=" Sample request (JC41-00834A) -"/>
      <sheetName val="Group"/>
      <sheetName val="MAN"/>
      <sheetName val="Manufacturability"/>
      <sheetName val="JE786"/>
      <sheetName val="A1.2"/>
      <sheetName val="Interial"/>
      <sheetName val="노무비"/>
      <sheetName val="GAAP Pru"/>
      <sheetName val="SAN_REDUCED_13"/>
      <sheetName val="C-LOAD(L-FACTORY_)3"/>
      <sheetName val="Purchase_Order12"/>
      <sheetName val="A_กลาง"/>
      <sheetName val="A_กลาง_เกสร"/>
      <sheetName val="A_แฝด"/>
      <sheetName val="A_ริม"/>
      <sheetName val="B_กลาง"/>
      <sheetName val="B_ริม"/>
      <sheetName val="B_แฝด"/>
      <sheetName val="C_กลาง"/>
      <sheetName val="C_ริม"/>
      <sheetName val="C_แฝด"/>
      <sheetName val="Price_per_model"/>
      <sheetName val="Currency_Rate"/>
      <sheetName val="Book_1_Summary"/>
      <sheetName val="Main_Summary"/>
      <sheetName val="2_1_1Take_pipe"/>
      <sheetName val="2_1_2Take_Copper_Pipe"/>
      <sheetName val="Order_List"/>
      <sheetName val="Currency"/>
      <sheetName val="Ceil."/>
      <sheetName val="งานภายนอก"/>
      <sheetName val="Paint."/>
      <sheetName val="Roof"/>
      <sheetName val="Struc."/>
      <sheetName val="SanFix"/>
      <sheetName val="Wall"/>
      <sheetName val="Grand Summary"/>
      <sheetName val="Sub Summary"/>
      <sheetName val="Prelim"/>
      <sheetName val="Hotel A type A"/>
      <sheetName val="Hotel A type B"/>
      <sheetName val="Hotel A type C"/>
      <sheetName val="Hotel B type B"/>
      <sheetName val="Hotel B type C"/>
      <sheetName val="Hote C. type C"/>
      <sheetName val="Hotel A suite"/>
      <sheetName val="Bar&amp;Resturant"/>
      <sheetName val="Gyp Pavilion"/>
      <sheetName val="Reception Pavilion"/>
      <sheetName val="WC. Reception"/>
      <sheetName val="Corridor Hote A."/>
      <sheetName val="Corridor Hote B."/>
      <sheetName val="Corridor Hote C."/>
      <sheetName val="main sum (hotel &amp; residences)"/>
      <sheetName val="ตารางส่วนลด EE."/>
      <sheetName val="bk unit rate"/>
      <sheetName val="STMspry"/>
      <sheetName val="PsychroData"/>
      <sheetName val="Customize Your Invoice"/>
      <sheetName val="EFR30696"/>
      <sheetName val="Customize_Your_Purchase_Order6"/>
      <sheetName val="Purchase_Order6"/>
      <sheetName val="AutoOpen_Stub_Data6"/>
      <sheetName val="Customize_Your_Purchase_Order8"/>
      <sheetName val="Purchase_Order8"/>
      <sheetName val="Intl_Data_Table6"/>
      <sheetName val="DETAIL_6"/>
      <sheetName val="SAN_REDUCED_14"/>
      <sheetName val="C-LOAD(L-FACTORY_)4"/>
      <sheetName val="Purchase_Order13"/>
      <sheetName val="A_กลาง1"/>
      <sheetName val="A_กลาง_เกสร1"/>
      <sheetName val="A_แฝด1"/>
      <sheetName val="A_ริม1"/>
      <sheetName val="B_กลาง1"/>
      <sheetName val="B_ริม1"/>
      <sheetName val="B_แฝด1"/>
      <sheetName val="C_กลาง1"/>
      <sheetName val="C_ริม1"/>
      <sheetName val="C_แฝด1"/>
      <sheetName val="Defect_Report(M&amp;E)2"/>
      <sheetName val="Price_per_model1"/>
      <sheetName val="Currency_Rate1"/>
      <sheetName val="Book_1_Summary1"/>
      <sheetName val="Sheet1_(3)2"/>
      <sheetName val="COMMOND_LINE2"/>
      <sheetName val="2_1_1Take_pipe1"/>
      <sheetName val="2_1_2Take_Copper_Pipe1"/>
      <sheetName val="Main_Summary1"/>
      <sheetName val="Nov_'022"/>
      <sheetName val="data_list2"/>
      <sheetName val="New_DYNA2"/>
      <sheetName val="PRODUCT_MIX_TRUCK2"/>
      <sheetName val="BOM_043L,351L,299L2"/>
      <sheetName val="Order_List1"/>
      <sheetName val="Construction_cost_assumption1"/>
      <sheetName val="JLL_Assumption1"/>
      <sheetName val="Retail_Program&amp;Rev_Assumption1"/>
      <sheetName val="Annual_Production1"/>
      <sheetName val="Fill_this_out_first___1"/>
      <sheetName val="ITB_COST1"/>
      <sheetName val="Direct_Cost1"/>
      <sheetName val="_ELECTRICAL_ROOM_CENTER_xlsx1"/>
      <sheetName val="Income_Statement1"/>
      <sheetName val="Balance_Sheet1"/>
      <sheetName val="ARM_39C_1"/>
      <sheetName val="Supplier_Master_IF1"/>
      <sheetName val="Cost_Data1"/>
      <sheetName val="Buy_vs__Lease_Car1"/>
      <sheetName val="AutoOpen_Stub_Data5"/>
      <sheetName val="Customize_Your_Purchase_Order7"/>
      <sheetName val="Purchase_Order7"/>
      <sheetName val="Intl_Data_Table5"/>
      <sheetName val="DETAIL_5"/>
      <sheetName val="Defect_Report(M&amp;E)1"/>
      <sheetName val="Sheet1_(3)1"/>
      <sheetName val="COMMOND_LINE1"/>
      <sheetName val="Nov_'021"/>
      <sheetName val="data_list1"/>
      <sheetName val="New_DYNA1"/>
      <sheetName val="PRODUCT_MIX_TRUCK1"/>
      <sheetName val="BOM_043L,351L,299L1"/>
      <sheetName val="Construction_cost_assumption"/>
      <sheetName val="JLL_Assumption"/>
      <sheetName val="Retail_Program&amp;Rev_Assumption"/>
      <sheetName val="Annual_Production"/>
      <sheetName val="Fill_this_out_first___"/>
      <sheetName val="ITB_COST"/>
      <sheetName val="Direct_Cost"/>
      <sheetName val="_ELECTRICAL_ROOM_CENTER_xlsx"/>
      <sheetName val="Income_Statement"/>
      <sheetName val="Balance_Sheet"/>
      <sheetName val="ARM_39C_"/>
      <sheetName val="Supplier_Master_IF"/>
      <sheetName val="Cost_Data"/>
      <sheetName val="Buy_vs__Lease_Car"/>
      <sheetName val="Sch  3"/>
      <sheetName val="Equipment"/>
      <sheetName val="unitcost"/>
      <sheetName val="21"/>
      <sheetName val="SH-A"/>
      <sheetName val="stair"/>
      <sheetName val="footing"/>
      <sheetName val="Manpower"/>
      <sheetName val="status"/>
      <sheetName val="ราคาต่ำสุด-721"/>
      <sheetName val="Attendance配合费"/>
      <sheetName val="402"/>
      <sheetName val="sheetNO"/>
      <sheetName val="Cert1"/>
      <sheetName val="2nd"/>
      <sheetName val="A1_2"/>
      <sheetName val="_Sample_request_(JC41-00834A)_-"/>
      <sheetName val="GAAP_Pru"/>
      <sheetName val="Breakdown"/>
      <sheetName val="inWords"/>
      <sheetName val="bp bill"/>
      <sheetName val="A1_Summary"/>
      <sheetName val="A"/>
      <sheetName val="Discounted Cash Flow"/>
      <sheetName val="ｺｽﾄｾﾝﾀｰ別設備稼働費ﾚｰﾄ算出表"/>
      <sheetName val="基準ｲﾝﾌﾟｯﾄ"/>
      <sheetName val="LpC"/>
      <sheetName val="Form"/>
      <sheetName val="Structure"/>
      <sheetName val="Artisan一类材料进度表-丽萍更新"/>
      <sheetName val="Consl"/>
      <sheetName val="Formula"/>
      <sheetName val="Assumptions"/>
      <sheetName val="DuctWork Summary"/>
      <sheetName val="Branch"/>
      <sheetName val="Data Dep1"/>
      <sheetName val="Production info"/>
      <sheetName val="Profit_Budget"/>
      <sheetName val="Revised 021099"/>
      <sheetName val="ob_complete"/>
      <sheetName val="SCHEDULE_2"/>
      <sheetName val="QS-Payment"/>
      <sheetName val="full pot"/>
      <sheetName val="Project Data"/>
      <sheetName val="中日程"/>
      <sheetName val="Register_Local"/>
      <sheetName val="Fagor04-A3112e"/>
      <sheetName val="SAN_REDUCED_15"/>
      <sheetName val="C-LOAD(L-FACTORY_)5"/>
      <sheetName val="Purchase_Order14"/>
      <sheetName val="A_กลาง2"/>
      <sheetName val="A_กลาง_เกสร2"/>
      <sheetName val="A_แฝด2"/>
      <sheetName val="A_ริม2"/>
      <sheetName val="B_กลาง2"/>
      <sheetName val="B_ริม2"/>
      <sheetName val="B_แฝด2"/>
      <sheetName val="C_กลาง2"/>
      <sheetName val="C_ริม2"/>
      <sheetName val="C_แฝด2"/>
      <sheetName val="Price_per_model2"/>
      <sheetName val="Currency_Rate2"/>
      <sheetName val="Book_1_Summary2"/>
      <sheetName val="Main_Summary2"/>
      <sheetName val="2_1_1Take_pipe2"/>
      <sheetName val="2_1_2Take_Copper_Pipe2"/>
      <sheetName val="JOB_FO"/>
      <sheetName val="Table Master"/>
      <sheetName val="ELIM"/>
      <sheetName val="HYO"/>
      <sheetName val="PASTE N CUT"/>
      <sheetName val="SEA"/>
      <sheetName val="Cctmst"/>
      <sheetName val="3 Cost Summary with classes"/>
      <sheetName val="Loading"/>
      <sheetName val="Check C"/>
      <sheetName val="DATA BASE"/>
      <sheetName val="BG"/>
      <sheetName val="Level"/>
      <sheetName val="Input"/>
      <sheetName val="ALLME"/>
      <sheetName val="P-200 Grid"/>
      <sheetName val="GiaVL"/>
      <sheetName val="SAN_REDUCED_16"/>
      <sheetName val="C-LOAD(L-FACTORY_)6"/>
      <sheetName val="Purchase_Order15"/>
      <sheetName val="A_กลาง3"/>
      <sheetName val="A_กลาง_เกสร3"/>
      <sheetName val="A_แฝด3"/>
      <sheetName val="A_ริม3"/>
      <sheetName val="B_กลาง3"/>
      <sheetName val="B_ริม3"/>
      <sheetName val="B_แฝด3"/>
      <sheetName val="C_กลาง3"/>
      <sheetName val="C_ริม3"/>
      <sheetName val="C_แฝด3"/>
      <sheetName val="Defect_Report(M&amp;E)3"/>
      <sheetName val="Currency_Rate3"/>
      <sheetName val="Price_per_model3"/>
      <sheetName val="AutoOpen_Stub_Data7"/>
      <sheetName val="Intl_Data_Table7"/>
      <sheetName val="DETAIL_7"/>
      <sheetName val="SAN_REDUCED_17"/>
      <sheetName val="C-LOAD(L-FACTORY_)7"/>
      <sheetName val="Purchase_Order16"/>
      <sheetName val="A_กลาง4"/>
      <sheetName val="A_กลาง_เกสร4"/>
      <sheetName val="A_แฝด4"/>
      <sheetName val="A_ริม4"/>
      <sheetName val="B_กลาง4"/>
      <sheetName val="B_ริม4"/>
      <sheetName val="B_แฝด4"/>
      <sheetName val="C_กลาง4"/>
      <sheetName val="C_ริม4"/>
      <sheetName val="C_แฝด4"/>
      <sheetName val="Defect_Report(M&amp;E)4"/>
      <sheetName val="Currency_Rate4"/>
      <sheetName val="Price_per_model4"/>
      <sheetName val="Customize_Your_Purchase_Order9"/>
      <sheetName val="Purchase_Order9"/>
      <sheetName val="Sheet1_(3)3"/>
      <sheetName val="COMMOND_LINE3"/>
      <sheetName val="Order_List2"/>
      <sheetName val="Nov_'023"/>
      <sheetName val="data_list3"/>
      <sheetName val="New_DYNA3"/>
      <sheetName val="PRODUCT_MIX_TRUCK3"/>
      <sheetName val="BOM_043L,351L,299L3"/>
      <sheetName val="Construction_cost_assumption2"/>
      <sheetName val="JLL_Assumption2"/>
      <sheetName val="Retail_Program&amp;Rev_Assumption2"/>
      <sheetName val="Annual_Production2"/>
      <sheetName val="ARM_39C_2"/>
      <sheetName val="Supplier_Master_IF2"/>
      <sheetName val="Fill_this_out_first___2"/>
      <sheetName val="ITB_COST2"/>
      <sheetName val="_ELECTRICAL_ROOM_CENTER_xlsx2"/>
      <sheetName val="Buy_vs__Lease_Car2"/>
      <sheetName val="Direct_Cost2"/>
      <sheetName val="Income_Statement2"/>
      <sheetName val="Balance_Sheet2"/>
      <sheetName val="Cost_Data2"/>
      <sheetName val="Grand_Summary"/>
      <sheetName val="Sub_Summary"/>
      <sheetName val="Hotel_A_type_A"/>
      <sheetName val="Hotel_A_type_B"/>
      <sheetName val="Hotel_A_type_C"/>
      <sheetName val="Hotel_B_type_B"/>
      <sheetName val="Hotel_B_type_C"/>
      <sheetName val="Hote_C__type_C"/>
      <sheetName val="Hotel_A_suite"/>
      <sheetName val="Gyp_Pavilion"/>
      <sheetName val="Reception_Pavilion"/>
      <sheetName val="WC__Reception"/>
      <sheetName val="Corridor_Hote_A_"/>
      <sheetName val="Corridor_Hote_B_"/>
      <sheetName val="Corridor_Hote_C_"/>
      <sheetName val="SPT_vs_PHI"/>
      <sheetName val="main_sum_(hotel_&amp;_residences)"/>
      <sheetName val="ตารางส่วนลด_EE_"/>
      <sheetName val="bk_unit_rate"/>
      <sheetName val="Ceil_"/>
      <sheetName val="Paint_"/>
      <sheetName val="Struc_"/>
      <sheetName val="Customize_Your_Invoice"/>
      <sheetName val="Sch__3"/>
      <sheetName val="AutoOpen_Stub_Data8"/>
      <sheetName val="Customize_Your_Purchase_Order10"/>
      <sheetName val="Purchase_Order10"/>
      <sheetName val="Intl_Data_Table8"/>
      <sheetName val="DETAIL_8"/>
      <sheetName val="Book_1_Summary3"/>
      <sheetName val="Sheet1_(3)4"/>
      <sheetName val="COMMOND_LINE4"/>
      <sheetName val="Main_Summary3"/>
      <sheetName val="2_1_1Take_pipe3"/>
      <sheetName val="2_1_2Take_Copper_Pipe3"/>
      <sheetName val="Order_List3"/>
      <sheetName val="Nov_'024"/>
      <sheetName val="data_list4"/>
      <sheetName val="New_DYNA4"/>
      <sheetName val="PRODUCT_MIX_TRUCK4"/>
      <sheetName val="BOM_043L,351L,299L4"/>
      <sheetName val="Construction_cost_assumption3"/>
      <sheetName val="JLL_Assumption3"/>
      <sheetName val="Retail_Program&amp;Rev_Assumption3"/>
      <sheetName val="Annual_Production3"/>
      <sheetName val="Direct_Cost3"/>
      <sheetName val="_ELECTRICAL_ROOM_CENTER_xlsx3"/>
      <sheetName val="Fill_this_out_first___3"/>
      <sheetName val="ITB_COST3"/>
      <sheetName val="Buy_vs__Lease_Car3"/>
      <sheetName val="Income_Statement3"/>
      <sheetName val="Balance_Sheet3"/>
      <sheetName val="Cost_Data3"/>
      <sheetName val="ARM_39C_3"/>
      <sheetName val="Supplier_Master_IF3"/>
      <sheetName val="main_sum_(hotel_&amp;_residences)1"/>
      <sheetName val="ตารางส่วนลด_EE_1"/>
      <sheetName val="bk_unit_rate1"/>
      <sheetName val="GAAP_Pru1"/>
      <sheetName val="Sch__31"/>
      <sheetName val="_Sample_request_(JC41-00834A)_1"/>
      <sheetName val="A1_21"/>
      <sheetName val="Customize_Your_Invoice1"/>
      <sheetName val="SPT_vs_PHI1"/>
      <sheetName val="Grand_Summary1"/>
      <sheetName val="Sub_Summary1"/>
      <sheetName val="Hotel_A_type_A1"/>
      <sheetName val="Hotel_A_type_B1"/>
      <sheetName val="Hotel_A_type_C1"/>
      <sheetName val="Hotel_B_type_B1"/>
      <sheetName val="Hotel_B_type_C1"/>
      <sheetName val="Hote_C__type_C1"/>
      <sheetName val="Hotel_A_suite1"/>
      <sheetName val="Gyp_Pavilion1"/>
      <sheetName val="Reception_Pavilion1"/>
      <sheetName val="WC__Reception1"/>
      <sheetName val="Corridor_Hote_A_1"/>
      <sheetName val="Corridor_Hote_B_1"/>
      <sheetName val="Corridor_Hote_C_1"/>
      <sheetName val="Ceil_1"/>
      <sheetName val="Paint_1"/>
      <sheetName val="Struc_1"/>
      <sheetName val="S"/>
      <sheetName val="Info"/>
      <sheetName val="PRICE LIST"/>
      <sheetName val="DetEst"/>
      <sheetName val="labour"/>
      <sheetName val="SITE-E"/>
      <sheetName val="nsc"/>
      <sheetName val="Warehouse"/>
      <sheetName val="iNDEX"/>
      <sheetName val="Bill No. 2 - Carpark"/>
      <sheetName val="fr"/>
      <sheetName val="Sheet1 _2_"/>
      <sheetName val="Sheet5"/>
      <sheetName val="Sheet2"/>
      <sheetName val="Sheet3"/>
      <sheetName val="รวม"/>
      <sheetName val="Drop_list"/>
      <sheetName val="HTP"/>
      <sheetName val="Loan Amortization Schedule"/>
      <sheetName val="ภูมิทัศน์"/>
      <sheetName val="Material Cost"/>
      <sheetName val="Decking"/>
      <sheetName val="Transport"/>
      <sheetName val="Ridge Ventilation"/>
      <sheetName val="Data3"/>
      <sheetName val="วงเครดิต 3"/>
      <sheetName val="description"/>
      <sheetName val="FF-3"/>
      <sheetName val="IP標時xls"/>
      <sheetName val="VENDER (2)"/>
      <sheetName val="Sheet1 (2)"/>
      <sheetName val="SELL"/>
      <sheetName val="sum-sys"/>
      <sheetName val="EXCLUDE"/>
      <sheetName val="VENDER"/>
      <sheetName val="DATA "/>
      <sheetName val="SITE OFFICE"/>
      <sheetName val="เพิ่มข้อมูลe-Pro"/>
      <sheetName val="ข้อมูลรหัสลูกค้า-องค์กร"/>
      <sheetName val="ข้อมูลหน่วยงาน-เเผนก"/>
      <sheetName val="MOULD"/>
      <sheetName val="Corp-Eng"/>
      <sheetName val="SthBank"/>
      <sheetName val="UGRNQ"/>
      <sheetName val="HK"/>
      <sheetName val="NZ"/>
      <sheetName val="MT"/>
      <sheetName val="Preston"/>
      <sheetName val="KMC"/>
      <sheetName val="Milperra"/>
      <sheetName val="RATES"/>
      <sheetName val="Project Status Overview"/>
      <sheetName val="Cover Page"/>
      <sheetName val="Architectural wo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Set>
  </externalBook>
</externalLink>
</file>

<file path=xl/externalLinks/externalLink153.xml><?xml version="1.0" encoding="utf-8"?>
<externalLink xmlns="http://schemas.openxmlformats.org/spreadsheetml/2006/main">
  <externalBook xmlns:r="http://schemas.openxmlformats.org/officeDocument/2006/relationships" r:id="rId1">
    <sheetNames>
      <sheetName val="PIPE-03E"/>
      <sheetName val="Sheet1"/>
      <sheetName val="Sheet2"/>
      <sheetName val="Sheet3"/>
      <sheetName val="Sheet4"/>
      <sheetName val="Sheet5"/>
      <sheetName val="Sheet6"/>
      <sheetName val="Sheet7"/>
      <sheetName val="Sheet8"/>
      <sheetName val="Sheet9"/>
      <sheetName val="Sheet10"/>
      <sheetName val="Sheet11"/>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XL4Poppy"/>
      <sheetName val="Gia VL"/>
      <sheetName val="Bang gia ca may"/>
      <sheetName val="Bang luong CB"/>
      <sheetName val="Bang P.tich CT"/>
      <sheetName val="D.toan chi tiet"/>
      <sheetName val="Bang TH Dtoan"/>
      <sheetName val="XXXXXXXX"/>
      <sheetName val="Chart1"/>
      <sheetName val="Interim payment"/>
      <sheetName val="Letter"/>
      <sheetName val="Bid Sum"/>
      <sheetName val="Item B"/>
      <sheetName val="Dg A"/>
      <sheetName val="Dg B&amp;C"/>
      <sheetName val="Rates&amp;Prices"/>
      <sheetName val="Material at site"/>
      <sheetName val="KLHT"/>
      <sheetName val="THKP"/>
      <sheetName val="KL XL2000"/>
      <sheetName val="KLXL2001"/>
      <sheetName val="THKP2001"/>
      <sheetName val="KLphanbo"/>
      <sheetName val="Chiet tinh"/>
      <sheetName val="Van chuyen"/>
      <sheetName val="THKP (2)"/>
      <sheetName val="T.Bi"/>
      <sheetName val="Thiet ke"/>
      <sheetName val="CT"/>
      <sheetName val="K.luong"/>
      <sheetName val="TT L2"/>
      <sheetName val="TT L1"/>
      <sheetName val="Thue Ngoai"/>
      <sheetName val="KH"/>
      <sheetName val="DM"/>
      <sheetName val="DD&amp;TV"/>
      <sheetName val="CDSL"/>
      <sheetName val="PTSL"/>
      <sheetName val="THCP"/>
      <sheetName val="VT"/>
      <sheetName val="NL"/>
      <sheetName val="SoSanh"/>
      <sheetName val="QTVT"/>
      <sheetName val="QTNC"/>
      <sheetName val="BC_KKTSCD"/>
      <sheetName val="Chitiet"/>
      <sheetName val="Sheet2 (2)"/>
      <sheetName val="Mau_BC_KKTSCD"/>
      <sheetName val="1"/>
      <sheetName val="Chi tiet - Dv lap"/>
      <sheetName val="TH KHTC"/>
      <sheetName val="000"/>
      <sheetName val="00000000"/>
      <sheetName val="Dong Dau"/>
      <sheetName val="Dong Dau (2)"/>
      <sheetName val="Sau dong"/>
      <sheetName val="Ma xa"/>
      <sheetName val="My dinh"/>
      <sheetName val="Tong cong"/>
      <sheetName val="Chart2"/>
      <sheetName val="KH 2003 (moi max)"/>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MD"/>
      <sheetName val="ND"/>
      <sheetName val="CONG"/>
      <sheetName val="DGCT"/>
      <sheetName val="Thuyet minh"/>
      <sheetName val="CQ-HQ"/>
      <sheetName val="Phu luc"/>
      <sheetName val="Gia trÞ"/>
      <sheetName val="TH"/>
      <sheetName val="116(300)"/>
      <sheetName val="116(200)"/>
      <sheetName val="116(150)"/>
      <sheetName val="VL"/>
      <sheetName val="CTXD"/>
      <sheetName val=".."/>
      <sheetName val="CTDN"/>
      <sheetName val="san vuon"/>
      <sheetName val="khu phu tro"/>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be tong"/>
      <sheetName val="Thep"/>
      <sheetName val="Tong hop thep"/>
      <sheetName val="DTHH"/>
      <sheetName val="Bang1"/>
      <sheetName val="TAI TRONG"/>
      <sheetName val="NOI LUC"/>
      <sheetName val="TINH DUYET THTT CHINH"/>
      <sheetName val="TDUYET THTT PHU"/>
      <sheetName val="TINH DAO DONG VA DO VONG"/>
      <sheetName val="TINH NEO"/>
      <sheetName val="Congty"/>
      <sheetName val="VPPN"/>
      <sheetName val="XN74"/>
      <sheetName val="XN54"/>
      <sheetName val="XN33"/>
      <sheetName val="NK96"/>
      <sheetName val="XL4Test5"/>
      <sheetName val="KH12"/>
      <sheetName val="CN12"/>
      <sheetName val="HD12"/>
      <sheetName val="KH1"/>
      <sheetName val="Km0-Km1"/>
      <sheetName val="Km1-Km2"/>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KL tong"/>
      <sheetName val="cd viaK0-T6"/>
      <sheetName val="cdvia T6-Tc24"/>
      <sheetName val="cdvia Tc24-T46"/>
      <sheetName val="cdbtnL2ko-k0+361"/>
      <sheetName val="cd btnL2k0+361-T19"/>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01"/>
      <sheetName val="02"/>
      <sheetName val="03"/>
      <sheetName val="04"/>
      <sheetName val="05"/>
      <sheetName val="Sheet13"/>
      <sheetName val="Sheet14"/>
      <sheetName val="Sheet15"/>
      <sheetName val="Sheet16"/>
      <sheetName val="Sheet17"/>
      <sheetName val="Sheet18"/>
      <sheetName val="Sheet19"/>
      <sheetName val="Sheet20"/>
      <sheetName val="PTCT"/>
      <sheetName val="CDghino"/>
      <sheetName val="Tonghop"/>
      <sheetName val="TH (T1-6)"/>
      <sheetName val="ThueTB"/>
      <sheetName val="SCD5"/>
      <sheetName val=" NL"/>
      <sheetName val="CPVL-CPM"/>
      <sheetName val="PTVL"/>
      <sheetName val="CD1"/>
      <sheetName val=" NL (2)"/>
      <sheetName val="CDTHCT"/>
      <sheetName val="CDTHCT (3)"/>
      <sheetName val="THCT"/>
      <sheetName val="cap cho cac DT"/>
      <sheetName val="Ung - hoan"/>
      <sheetName val="CP may"/>
      <sheetName val="SS"/>
      <sheetName val="NVL"/>
      <sheetName val="10000000"/>
      <sheetName val="DT"/>
      <sheetName val="THND"/>
      <sheetName val="THMD"/>
      <sheetName val="Phtro1"/>
      <sheetName val="DTKS1"/>
      <sheetName val="CT1m"/>
      <sheetName val="Thep "/>
      <sheetName val="Chi tiet Khoi luong"/>
      <sheetName val="TH khoi luong"/>
      <sheetName val="Chiet tinh vat lieu "/>
      <sheetName val="TH KL VL"/>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CHIT"/>
      <sheetName val="THXH"/>
      <sheetName val="BHXH"/>
      <sheetName val="DS them luong qui 4-2002"/>
      <sheetName val="Phuc loi 2-9-02"/>
      <sheetName val="PCLB-2002"/>
      <sheetName val="Thuong nhan dip 21-12-02"/>
      <sheetName val="Thuong dip nhan danh hieu AHL§"/>
      <sheetName val="Thang luong thu 13 nam 2002"/>
      <sheetName val="Luong SX# dip Tet Qui Mui(dong)"/>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hietTinh"/>
      <sheetName val="Ct.Dam "/>
      <sheetName val="Ct.Duoi"/>
      <sheetName val="Ct.Tren"/>
      <sheetName val="CtVKdam"/>
      <sheetName val="asphal"/>
      <sheetName val="Gvua"/>
      <sheetName val="D.giaMay"/>
      <sheetName val="tscd"/>
      <sheetName val="KM"/>
      <sheetName val="KHOANMUC"/>
      <sheetName val="CPQL"/>
      <sheetName val="SANLUONG"/>
      <sheetName val="SSCP-SL"/>
      <sheetName val="CPSX"/>
      <sheetName val="KQKD"/>
      <sheetName val="CDSL (2)"/>
      <sheetName val="00000001"/>
      <sheetName val="00000002"/>
      <sheetName val="00000003"/>
      <sheetName val="00000004"/>
      <sheetName val="phan tich DG"/>
      <sheetName val="gia vat lieu"/>
      <sheetName val="gia xe may"/>
      <sheetName val="gia nhan cong"/>
      <sheetName val="KL VL"/>
      <sheetName val="KHCTiet"/>
      <sheetName val="QT 9-6"/>
      <sheetName val="Thuong luu HB"/>
      <sheetName val="QT03"/>
      <sheetName val="QT"/>
      <sheetName val="PTmay"/>
      <sheetName val="KK"/>
      <sheetName val="QT Ky T"/>
      <sheetName val="BCKT"/>
      <sheetName val="bc vt TON BAI"/>
      <sheetName val="XXXXXXX0"/>
      <sheetName val="dutoan1"/>
      <sheetName val="Anhtoan"/>
      <sheetName val="dutoan2"/>
      <sheetName val="vat tu"/>
      <sheetName val="Thang 12"/>
      <sheetName val="Thang 1"/>
      <sheetName val="moi"/>
      <sheetName val="Thang 12 (2)"/>
      <sheetName val="Thang 01"/>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TM"/>
      <sheetName val="BU-gian"/>
      <sheetName val="Bu-Ha"/>
      <sheetName val="PTVT"/>
      <sheetName val="Gia DAN"/>
      <sheetName val="Dan"/>
      <sheetName val="Cuoc"/>
      <sheetName val="Bugia"/>
      <sheetName val="KL57"/>
      <sheetName val="Quang Tri"/>
      <sheetName val="TTHue"/>
      <sheetName val="Da Nang"/>
      <sheetName val="Quang Nam"/>
      <sheetName val="Quang Ngai"/>
      <sheetName val="TH DH-QN"/>
      <sheetName val="KP HD"/>
      <sheetName val="DB HD"/>
      <sheetName val="Caodo"/>
      <sheetName val="Dat"/>
      <sheetName val="KL-CTTK"/>
      <sheetName val="BTH"/>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sent to"/>
      <sheetName val="XE DAU"/>
      <sheetName val="XE XANG"/>
      <sheetName val="9"/>
      <sheetName val="10"/>
      <sheetName val="cong Q2"/>
      <sheetName val="T.U luong Q1"/>
      <sheetName val="T.U luong Q2"/>
      <sheetName val="T.U luong Q3"/>
      <sheetName val="binh do"/>
      <sheetName val="cot lieu"/>
      <sheetName val="van khuon"/>
      <sheetName val="CT BT"/>
      <sheetName val="lay mau"/>
      <sheetName val="mat ngoai goi"/>
      <sheetName val="coc tram-bt"/>
      <sheetName val="THDGK"/>
      <sheetName val="THDGTT"/>
      <sheetName val="Cong hop"/>
      <sheetName val="nt+dd+cl"/>
      <sheetName val="kc+conlaiql"/>
      <sheetName val="kc+clai(107)"/>
      <sheetName val="duong(107)"/>
      <sheetName val="qui1"/>
      <sheetName val="1,3-30,4"/>
      <sheetName val="kldukien"/>
      <sheetName val="kldukien (107)"/>
      <sheetName val="thang4"/>
      <sheetName val="qui1 (2)"/>
      <sheetName val="T1(T1)04"/>
      <sheetName val="THDT"/>
      <sheetName val="DM-Goc"/>
      <sheetName val="Gia-CT"/>
      <sheetName val="PTCP"/>
      <sheetName val="cphoi"/>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Xep hang 201"/>
      <sheetName val="toan Cty"/>
      <sheetName val="Cong ty"/>
      <sheetName val="XN 2"/>
      <sheetName val="XN ong CHi"/>
      <sheetName val="N XDCT&amp; XKLD"/>
      <sheetName val="CN HCM"/>
      <sheetName val="HITECO"/>
      <sheetName val="TT XKLD(Nhan)"/>
      <sheetName val="Ong Hong"/>
      <sheetName val="CN hung yen"/>
      <sheetName val="Dong nai"/>
      <sheetName val="LUU1704"/>
      <sheetName val="Tien ung"/>
      <sheetName val="phi luong3"/>
      <sheetName val="Q1-02"/>
      <sheetName val="Q2-02"/>
      <sheetName val="Q3-02"/>
      <sheetName val="Phu luc HD"/>
      <sheetName val="Gia du thau"/>
      <sheetName val="PTDG"/>
      <sheetName val="Ca xe"/>
      <sheetName val="PXuat"/>
      <sheetName val="THVT.T5"/>
      <sheetName val="XL1.t5"/>
      <sheetName val="XL2.T5"/>
      <sheetName val="XL3.T5"/>
      <sheetName val="XL5.T5"/>
      <sheetName val="THCCDCXN"/>
      <sheetName val="CC.XL1"/>
      <sheetName val="XL2"/>
      <sheetName val="XL3"/>
      <sheetName val="XL5"/>
      <sheetName val="Cpa"/>
      <sheetName val="khXN"/>
      <sheetName val="KKTS.04"/>
      <sheetName val="nha kct"/>
      <sheetName val="BKVT"/>
      <sheetName val="Quyet toan"/>
      <sheetName val="Thu hoi"/>
      <sheetName val="Lai vay"/>
      <sheetName val="Tien vay"/>
      <sheetName val="Cong no"/>
      <sheetName val="Cop pha"/>
      <sheetName val="20000000"/>
      <sheetName val="Cau 2(3)"/>
      <sheetName val="XN79"/>
      <sheetName val="CTMT"/>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OLD PRICES"/>
    </sheetNames>
    <definedNames>
      <definedName name="DataFilter"/>
      <definedName name="DataSort"/>
      <definedName name="GoBack" sheetId="1"/>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Set>
  </externalBook>
</externalLink>
</file>

<file path=xl/externalLinks/externalLink154.xml><?xml version="1.0" encoding="utf-8"?>
<externalLink xmlns="http://schemas.openxmlformats.org/spreadsheetml/2006/main">
  <externalBook xmlns:r="http://schemas.openxmlformats.org/officeDocument/2006/relationships" r:id="rId1">
    <sheetNames>
      <sheetName val="BOQ Summary"/>
      <sheetName val="BOQ Offer - Cost"/>
      <sheetName val="BOQ LV System"/>
      <sheetName val="CABLE SIZING"/>
      <sheetName val="Factor Sheet"/>
      <sheetName val="Cost Factor Sheet"/>
      <sheetName val="Price Sheet"/>
      <sheetName val="Price Sheet (New)"/>
      <sheetName val="Point Qty &amp; Load"/>
      <sheetName val="Load Sch, Cable Sel &amp; Qty"/>
      <sheetName val="LV Fed - ELV Wire, B Born Qty."/>
      <sheetName val="Sheet1"/>
      <sheetName val="Sheet2"/>
      <sheetName val="BedRooms"/>
      <sheetName val="Equipments"/>
      <sheetName val="LS Price List"/>
      <sheetName val="MDB-25.8.2014"/>
      <sheetName val="DEP"/>
      <sheetName val="GEN"/>
      <sheetName val="MTC"/>
      <sheetName val="TFR"/>
      <sheetName val="Factors"/>
      <sheetName val="Bill 5 - Carpark"/>
      <sheetName val="MCB"/>
      <sheetName val="BOQ_Summary"/>
      <sheetName val="BOQ_Offer_-_Cost"/>
      <sheetName val="BOQ_LV_System"/>
      <sheetName val="CABLE_SIZING"/>
      <sheetName val="Factor_Sheet"/>
      <sheetName val="Cost_Factor_Sheet"/>
      <sheetName val="Price_Sheet"/>
      <sheetName val="Price_Sheet_(New)"/>
      <sheetName val="Point_Qty_&amp;_Load"/>
      <sheetName val="Load_Sch,_Cable_Sel_&amp;_Qty"/>
      <sheetName val="LV_Fed_-_ELV_Wire,_B_Born_Qty_"/>
      <sheetName val="1A"/>
      <sheetName val="RATE"/>
      <sheetName val="Room Type"/>
      <sheetName val="Basement2 DB"/>
      <sheetName val="Histry Price"/>
      <sheetName val="Cctmst"/>
      <sheetName val="Ragama"/>
      <sheetName val="Factors &amp; Temp Calc"/>
      <sheetName val="Distributor Details"/>
      <sheetName val="total components with Rates"/>
      <sheetName val="Factor"/>
      <sheetName val="4"/>
      <sheetName val="INPUT - Recommended Schedules"/>
      <sheetName val="Schedules"/>
      <sheetName val="costing sheet"/>
      <sheetName val="Plumbing "/>
      <sheetName val="Material Prices"/>
      <sheetName val="3A"/>
      <sheetName val="Fcst Tool"/>
      <sheetName val="Input"/>
      <sheetName val="Backlog Consol"/>
      <sheetName val="OC 17-04-06"/>
      <sheetName val="D_Cntnts"/>
      <sheetName val="E_Summary"/>
      <sheetName val="BOQ"/>
      <sheetName val="Plumbing LABORATORY"/>
      <sheetName val="B-2"/>
      <sheetName val="Electrical"/>
      <sheetName val="วัดใต้"/>
      <sheetName val=" Factor  "/>
      <sheetName val="Homagama Grounds-9.7.2013"/>
      <sheetName val="BOI - Katunayaka-9.8.2013"/>
      <sheetName val="Data"/>
      <sheetName val="Group"/>
      <sheetName val="Sheet3"/>
      <sheetName val="Calc Inputs"/>
      <sheetName val="BOQ Com"/>
      <sheetName val="Title"/>
      <sheetName val="Valible One BOQ"/>
      <sheetName val="CQ by Entity"/>
      <sheetName val="FY by Entity"/>
      <sheetName val="INDEX"/>
      <sheetName val="NQ by Entity"/>
      <sheetName val="CQ Bridge"/>
      <sheetName val="CQ Orders"/>
      <sheetName val="Org Growth"/>
      <sheetName val="Monthly Trend Act MOR p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55.xml><?xml version="1.0" encoding="utf-8"?>
<externalLink xmlns="http://schemas.openxmlformats.org/spreadsheetml/2006/main">
  <externalBook xmlns:r="http://schemas.openxmlformats.org/officeDocument/2006/relationships" r:id="rId1">
    <sheetNames>
      <sheetName val="DATA"/>
      <sheetName val="Printing"/>
      <sheetName val="Input"/>
      <sheetName val="P&amp;L"/>
      <sheetName val="15%"/>
      <sheetName val="Notes"/>
      <sheetName val="Notes (2)"/>
      <sheetName val="Trend"/>
      <sheetName val="New Work"/>
      <sheetName val="Lockup"/>
      <sheetName val="Budget"/>
      <sheetName val="Graph_HK"/>
      <sheetName val="Graph_S"/>
      <sheetName val="Graph_C"/>
      <sheetName val="Summary_£"/>
      <sheetName val="Copy Macros"/>
      <sheetName val="Module1"/>
      <sheetName val="Module3"/>
      <sheetName val="Bill 1"/>
      <sheetName val="Bill 2"/>
      <sheetName val="Bill 3"/>
      <sheetName val="Bill 4"/>
      <sheetName val="Bill 5"/>
      <sheetName val="Bill 6"/>
      <sheetName val="Bill 7"/>
      <sheetName val="Sheet1"/>
      <sheetName val="PLT-SUM"/>
      <sheetName val="③赤紙(日文)"/>
      <sheetName val="FEVA"/>
      <sheetName val="HO Costs"/>
      <sheetName val="Notes_(2)"/>
      <sheetName val="New_Work"/>
      <sheetName val="Copy_Macros"/>
      <sheetName val="Wiring_Firemen"/>
      <sheetName val="ACS(1)"/>
      <sheetName val="CCTV(old)"/>
      <sheetName val="BQ"/>
      <sheetName val="CF"/>
      <sheetName val="CAP"/>
      <sheetName val="SCHEDULE"/>
      <sheetName val="Building's PA"/>
      <sheetName val="Detai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56.xml><?xml version="1.0" encoding="utf-8"?>
<externalLink xmlns="http://schemas.openxmlformats.org/spreadsheetml/2006/main">
  <externalBook xmlns:r="http://schemas.openxmlformats.org/officeDocument/2006/relationships" r:id="rId1">
    <sheetNames>
      <sheetName val="c"/>
      <sheetName val="D"/>
      <sheetName val="E"/>
      <sheetName val="G"/>
      <sheetName val="L"/>
      <sheetName val="N1"/>
      <sheetName val="Q1`"/>
      <sheetName val="Collection"/>
      <sheetName val="Factors"/>
      <sheetName val="Cost Factor Sheet"/>
      <sheetName val="Material Prices"/>
      <sheetName val="B-3.2 EB"/>
      <sheetName val="Sheet2"/>
      <sheetName val="Dist Controls"/>
      <sheetName val="File Settings"/>
      <sheetName val="Forecast"/>
      <sheetName val="ACS(1)"/>
      <sheetName val="FAS-C(4)"/>
      <sheetName val="CCTV(old)"/>
      <sheetName val="Rate Sheet"/>
      <sheetName val="Summary"/>
      <sheetName val="ICAM_Prices_Raw"/>
      <sheetName val="Zones"/>
      <sheetName val="Homagama Grounds-9.7.2013"/>
      <sheetName val="BOI - Katunayaka-9.8.2013"/>
      <sheetName val="CCTV_EST1"/>
      <sheetName val="Cost summary"/>
      <sheetName val="Sheet1"/>
      <sheetName val="Goodwill Calculation"/>
      <sheetName val="Variables"/>
      <sheetName val="Input"/>
      <sheetName val="LS Price List"/>
      <sheetName val="Cost Sheet"/>
      <sheetName val="INPUT - Recommended Schedules"/>
      <sheetName val="Title"/>
      <sheetName val="Bill 5 - Carpark"/>
      <sheetName val="Parameters"/>
      <sheetName val="AU Zone"/>
      <sheetName val="Valible One BOQ"/>
      <sheetName val="4"/>
      <sheetName val="1A"/>
      <sheetName val="APPT"/>
      <sheetName val="APPT_SGL"/>
      <sheetName val="Phone_Sale"/>
      <sheetName val="NATION"/>
      <sheetName val="Furniture"/>
      <sheetName val="Product Groups"/>
      <sheetName val="Factor Sheet"/>
      <sheetName val="NEW PRODUCT SALES FOR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57.xml><?xml version="1.0" encoding="utf-8"?>
<externalLink xmlns="http://schemas.openxmlformats.org/spreadsheetml/2006/main">
  <externalBook xmlns:r="http://schemas.openxmlformats.org/officeDocument/2006/relationships" r:id="rId1">
    <sheetNames>
      <sheetName val="Ragama"/>
      <sheetName val="Tangalle hos"/>
      <sheetName val="Factor Sheet"/>
      <sheetName val="Furniture"/>
      <sheetName val="Cover"/>
      <sheetName val="Sheet2"/>
      <sheetName val="ID Office-R1 - 23.8.2012"/>
      <sheetName val="Schnieder Price List-July 2012"/>
      <sheetName val="Factors"/>
      <sheetName val="PLUMBING WORK ADDITIONS"/>
      <sheetName val="Rates"/>
      <sheetName val="Sheet5"/>
      <sheetName val="JOB COSTING SHEET ELEC"/>
      <sheetName val="DEP"/>
      <sheetName val="GEN"/>
      <sheetName val="MTC"/>
      <sheetName val="TFR"/>
      <sheetName val="OC 17-04-06"/>
      <sheetName val="DDB Depr (Mths)"/>
      <sheetName val="BOM"/>
      <sheetName val="costing sheet"/>
      <sheetName val="Factors &amp; Temp Calc"/>
      <sheetName val="기계내역서"/>
      <sheetName val="BO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58.xml><?xml version="1.0" encoding="utf-8"?>
<externalLink xmlns="http://schemas.openxmlformats.org/spreadsheetml/2006/main">
  <externalBook xmlns:r="http://schemas.openxmlformats.org/officeDocument/2006/relationships" r:id="rId1">
    <sheetNames>
      <sheetName val="BOQ"/>
      <sheetName val="Price sheet"/>
      <sheetName val="Factor Sheet"/>
      <sheetName val="MD Sheet"/>
      <sheetName val="Sheet3"/>
      <sheetName val="Sheet4"/>
      <sheetName val="BOQ 4 Summary"/>
      <sheetName val="Summary of Schedule I,II &amp; II"/>
      <sheetName val="Sheet1"/>
      <sheetName val="Factors"/>
      <sheetName val="DEP"/>
      <sheetName val="GEN"/>
      <sheetName val="MTC"/>
      <sheetName val="TFR"/>
      <sheetName val="Cost Factor Sheet"/>
      <sheetName val="Load Sch, Cable Sel &amp; Qty"/>
      <sheetName val="Factors &amp; Temp Calc"/>
      <sheetName val="Bill 5 - Carpark"/>
      <sheetName val="Enclo.compar.EMP-RND"/>
      <sheetName val="DDB Depr (Mths)"/>
      <sheetName val="SSuppliers"/>
      <sheetName val="Ragama"/>
      <sheetName val="Price_sheet"/>
      <sheetName val="Factor_Sheet"/>
      <sheetName val="MD_Sheet"/>
      <sheetName val="BOQ_4_Summary"/>
      <sheetName val="Summary_of_Schedule_I,II_&amp;_II"/>
      <sheetName val="total components with Rates"/>
      <sheetName val="Title"/>
      <sheetName val="Legend"/>
      <sheetName val="Material Prices"/>
      <sheetName val="JOB COSTING SHEET ELEC"/>
      <sheetName val="Rates"/>
      <sheetName val="INPUT"/>
      <sheetName val="Schnieder Price List-July 2012"/>
      <sheetName val="BOI - Katunayaka-9.8.2013"/>
      <sheetName val="BN 01"/>
      <sheetName val="Summary"/>
      <sheetName val="ID Office-R1 - 23.8.2012"/>
      <sheetName val=" Factor  "/>
      <sheetName val="Histry Price"/>
      <sheetName val="Aitken Spence Electrical BOQ"/>
      <sheetName val="4"/>
      <sheetName val="Admin"/>
      <sheetName val="Factor"/>
      <sheetName val="MACHINERY"/>
      <sheetName val="MATERIAL"/>
      <sheetName val="SUBCON OR OTHER"/>
      <sheetName val="Seachells-Pools-25.2.2014"/>
      <sheetName val="ancillary"/>
      <sheetName val="Start"/>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59.xml><?xml version="1.0" encoding="utf-8"?>
<externalLink xmlns="http://schemas.openxmlformats.org/spreadsheetml/2006/main">
  <externalBook xmlns:r="http://schemas.openxmlformats.org/officeDocument/2006/relationships" r:id="rId1">
    <sheetNames>
      <sheetName val="wordsdata"/>
      <sheetName val="inWords"/>
      <sheetName val="material"/>
      <sheetName val="labour"/>
      <sheetName val="equipment"/>
      <sheetName val="subcon"/>
      <sheetName val="upa"/>
      <sheetName val="DetEst"/>
      <sheetName val="BoQ"/>
      <sheetName val="DetEstimates"/>
      <sheetName val="CshFlw"/>
      <sheetName val="DirIndLabor"/>
      <sheetName val="Summary"/>
      <sheetName val="Purchase Order"/>
      <sheetName val="Customize Your Purchase Order"/>
      <sheetName val="BoQ Covanta"/>
      <sheetName val="Sheet1"/>
      <sheetName val="プロジェクト概要"/>
      <sheetName val="OLD 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60.xml><?xml version="1.0" encoding="utf-8"?>
<externalLink xmlns="http://schemas.openxmlformats.org/spreadsheetml/2006/main">
  <externalBook xmlns:r="http://schemas.openxmlformats.org/officeDocument/2006/relationships" r:id="rId1">
    <sheetNames>
      <sheetName val="estimate"/>
      <sheetName val="QPL"/>
      <sheetName val="CEM_CONS"/>
      <sheetName val="QTY"/>
      <sheetName val="UNIT"/>
      <sheetName val="qty(cem)"/>
      <sheetName val="cementitems"/>
      <sheetName val="I-CO"/>
      <sheetName val="ICAM_Prices_Raw"/>
      <sheetName val="Total"/>
      <sheetName val="Factors"/>
      <sheetName val="OC 17-04-0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1.xml><?xml version="1.0" encoding="utf-8"?>
<externalLink xmlns="http://schemas.openxmlformats.org/spreadsheetml/2006/main">
  <externalBook xmlns:r="http://schemas.openxmlformats.org/officeDocument/2006/relationships" r:id="rId1">
    <sheetNames>
      <sheetName val="BOD Approval Summary (Becky P)"/>
      <sheetName val="Held for Sale (Becky P)  "/>
      <sheetName val="Rev &amp; EBIT"/>
      <sheetName val="BV (Current)"/>
      <sheetName val="BV (fcst)"/>
      <sheetName val="Goodwill Calculation"/>
      <sheetName val="Fcst Tool"/>
      <sheetName val="Factors"/>
      <sheetName val="Variables"/>
      <sheetName val="Input"/>
      <sheetName val="Enclo.compar.EMP-RND"/>
      <sheetName val="D"/>
      <sheetName val="G"/>
      <sheetName val="E"/>
      <sheetName val="jul_data"/>
      <sheetName val="Zones"/>
      <sheetName val="Sheet2"/>
      <sheetName val="Total"/>
      <sheetName val="ICAM_Prices_Raw"/>
      <sheetName val="Prices"/>
      <sheetName val="Americas"/>
      <sheetName val="3.Labour"/>
      <sheetName val="1.Material"/>
      <sheetName val="MMI"/>
      <sheetName val="2.Machinery"/>
      <sheetName val="Equipment"/>
      <sheetName val="Cost Factor Sheet"/>
      <sheetName val="Bill 5 - Carpark"/>
      <sheetName val="aug_data"/>
      <sheetName val="CS"/>
      <sheetName val="4"/>
      <sheetName val="HyperionEnt"/>
      <sheetName val="AU Zone"/>
      <sheetName val="Financial Summary"/>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62.xml><?xml version="1.0" encoding="utf-8"?>
<externalLink xmlns="http://schemas.openxmlformats.org/spreadsheetml/2006/main">
  <externalBook xmlns:r="http://schemas.openxmlformats.org/officeDocument/2006/relationships" r:id="rId1">
    <sheetNames>
      <sheetName val="Light Fittings Supply"/>
      <sheetName val="Manufacture list"/>
      <sheetName val="Electrical"/>
      <sheetName val="Telephone"/>
      <sheetName val="MATV"/>
      <sheetName val="ES"/>
      <sheetName val="Summary of Changes"/>
      <sheetName val="MEP Summary"/>
      <sheetName val="Summary"/>
      <sheetName val="Coll Bill -02 "/>
      <sheetName val="Summary "/>
      <sheetName val="Coll Bill -01 "/>
      <sheetName val="Bill - 01"/>
      <sheetName val="Coll Bill -02"/>
      <sheetName val="Bill - 02 "/>
      <sheetName val="Coll Bill - 03 "/>
      <sheetName val="Bill-03 "/>
      <sheetName val="Bill - 02 (02)"/>
      <sheetName val="Costing"/>
      <sheetName val="MF"/>
      <sheetName val="CF"/>
      <sheetName val="EME summary"/>
      <sheetName val="Sheet1"/>
      <sheetName val="Mayday"/>
      <sheetName val="Coll Bill -01"/>
      <sheetName val="Bill -01"/>
      <sheetName val="Coll Bill - 03"/>
      <sheetName val="Bill-03"/>
      <sheetName val="Wiring"/>
      <sheetName val="technical - offer"/>
      <sheetName val="bus bar"/>
      <sheetName val="cable"/>
      <sheetName val="ACWL RTX"/>
      <sheetName val="EMP - VDP"/>
      <sheetName val="CT"/>
      <sheetName val="UPS"/>
      <sheetName val="KIK DB"/>
      <sheetName val="EMP - HV"/>
      <sheetName val="generator pl"/>
      <sheetName val="SO,ISO,SW"/>
      <sheetName val="ELV"/>
      <sheetName val="light fixtur @ cable"/>
      <sheetName val="cct BOQ"/>
      <sheetName val="ACS"/>
      <sheetName val="swt &amp;skt"/>
      <sheetName val="LV CABLE"/>
      <sheetName val="Mallia DF Orange"/>
      <sheetName val="ACL11"/>
      <sheetName val="Equipment List"/>
      <sheetName val="FD DHQ"/>
      <sheetName val="Earthing"/>
      <sheetName val="technical offer"/>
      <sheetName val="PSDF-LPS&amp;E"/>
      <sheetName val="Mallia"/>
      <sheetName val="Orange BR"/>
      <sheetName val="Legrand EMP SL"/>
      <sheetName val="ICT"/>
      <sheetName val="Sheet2"/>
      <sheetName val="Sheet3"/>
      <sheetName val="SubmitCal"/>
      <sheetName val="SSuppli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163.xml><?xml version="1.0" encoding="utf-8"?>
<externalLink xmlns="http://schemas.openxmlformats.org/spreadsheetml/2006/main">
  <externalBook xmlns:r="http://schemas.openxmlformats.org/officeDocument/2006/relationships" r:id="rId1">
    <sheetNames>
      <sheetName val="Income Statement"/>
      <sheetName val="Balance Sheet"/>
      <sheetName val="Variables"/>
      <sheetName val="Income Statement (2)"/>
      <sheetName val="Cost Factor Sheet"/>
      <sheetName val="V3100 Prices_Raw"/>
      <sheetName val="Sheet2"/>
      <sheetName val="Goodwill Calculation"/>
      <sheetName val="Sheet1"/>
      <sheetName val="NOV fx rates"/>
      <sheetName val="Input"/>
      <sheetName val="50000"/>
      <sheetName val="Lookup"/>
      <sheetName val="A"/>
      <sheetName val="OLD PRICES"/>
      <sheetName val="Total"/>
      <sheetName val="Zones"/>
      <sheetName val="Material Prices"/>
      <sheetName val="B-3.2 EB"/>
      <sheetName val="INPUT - Recommended Schedules"/>
      <sheetName val="G"/>
      <sheetName val="D"/>
      <sheetName val="E"/>
      <sheetName val="Factors"/>
      <sheetName val="Factor"/>
      <sheetName val="Rate analysis 1"/>
      <sheetName val="Import Schedule"/>
      <sheetName val="MDB-25.8.2014"/>
      <sheetName val="Backlog Consol"/>
      <sheetName val="Financial Summary"/>
      <sheetName val="Admin"/>
      <sheetName val="Fcst Tool"/>
      <sheetName val="S2 H&amp;CW"/>
      <sheetName val="S1 CHW "/>
      <sheetName val="NEW PRODUCT SALES FORCE"/>
      <sheetName val="CQ by Entity"/>
      <sheetName val="FY by Entity"/>
      <sheetName val="INDEX"/>
      <sheetName val="NQ by Entity"/>
      <sheetName val="CQ Bridge"/>
      <sheetName val="CQ Orders"/>
      <sheetName val="Org Growth"/>
      <sheetName val="Monthly Trend Act MOR p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64.xml><?xml version="1.0" encoding="utf-8"?>
<externalLink xmlns="http://schemas.openxmlformats.org/spreadsheetml/2006/main">
  <externalBook xmlns:r="http://schemas.openxmlformats.org/officeDocument/2006/relationships" r:id="rId1">
    <sheetNames>
      <sheetName val="Cost"/>
      <sheetName val="SPR &amp; Margin"/>
      <sheetName val="BOM"/>
      <sheetName val="Pricelist"/>
      <sheetName val="Distributor Details"/>
      <sheetName val="MDB-25.8.2014"/>
      <sheetName val="Title"/>
      <sheetName val="Factors"/>
      <sheetName val="INPUT"/>
      <sheetName val="total"/>
      <sheetName val="Prices"/>
      <sheetName val="B-3"/>
      <sheetName val="3.Labour"/>
      <sheetName val="1.Material"/>
      <sheetName val="MMI"/>
      <sheetName val="2.Machinery"/>
      <sheetName val="Variables"/>
      <sheetName val="Goodwill Calculation"/>
      <sheetName val="Fcst Tool"/>
      <sheetName val="Sheet1"/>
      <sheetName val="DDB Depr (Mths)"/>
      <sheetName val="APPT"/>
      <sheetName val="APPT_SGL"/>
      <sheetName val="Phone_Sale"/>
      <sheetName val="Keels-6.2.2014"/>
      <sheetName val="FlowHmgma Grds-9.7.2013-details"/>
      <sheetName val="BOQ PP"/>
      <sheetName val="4"/>
      <sheetName val="Ragama"/>
      <sheetName val="Factor Sheet"/>
      <sheetName val="Cost Factor Sheet"/>
      <sheetName val="Summary"/>
      <sheetName val="Legend"/>
      <sheetName val="Database"/>
      <sheetName val="Date Ranges"/>
      <sheetName val="Chil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65.xml><?xml version="1.0" encoding="utf-8"?>
<externalLink xmlns="http://schemas.openxmlformats.org/spreadsheetml/2006/main">
  <externalBook xmlns:r="http://schemas.openxmlformats.org/officeDocument/2006/relationships" r:id="rId1">
    <sheetNames>
      <sheetName val="Grand summary"/>
      <sheetName val="Summary"/>
      <sheetName val="GS1"/>
      <sheetName val="1A"/>
      <sheetName val="1B"/>
      <sheetName val="GS2"/>
      <sheetName val="2A"/>
      <sheetName val="2B"/>
      <sheetName val="2C-50%"/>
      <sheetName val="GS3"/>
      <sheetName val="3A"/>
      <sheetName val="3B"/>
      <sheetName val="3C"/>
      <sheetName val="GS4"/>
      <sheetName val="4A"/>
      <sheetName val="4B"/>
      <sheetName val="4C-50%"/>
      <sheetName val="GS5"/>
      <sheetName val="5A"/>
      <sheetName val="5B"/>
      <sheetName val="5C-50% FCU's"/>
      <sheetName val="5C"/>
      <sheetName val="3A-SD &amp; FD"/>
      <sheetName val="3B-SD &amp; FD "/>
      <sheetName val="OPTIONAL-50%"/>
      <sheetName val="Non price"/>
      <sheetName val="error"/>
      <sheetName val="2A-error app"/>
      <sheetName val="2B-error app"/>
      <sheetName val="2A-error Talent"/>
      <sheetName val="1A-jsi"/>
      <sheetName val="1B-jsi"/>
      <sheetName val="2A-jsi"/>
      <sheetName val="2B-jsi"/>
      <sheetName val="3A-jsi"/>
      <sheetName val="3B-jsi"/>
      <sheetName val="4A-jsi"/>
      <sheetName val="4B-jsi"/>
      <sheetName val="5A-jsi"/>
      <sheetName val="5B-jsi"/>
      <sheetName val="APPT"/>
      <sheetName val="APPT_SGL"/>
      <sheetName val="Phone_Sale"/>
      <sheetName val="Cash Flow Worksheet"/>
      <sheetName val="Material Prices"/>
      <sheetName val="Factors"/>
      <sheetName val="Total"/>
      <sheetName val="BOQ PL"/>
      <sheetName val="Ele Price"/>
      <sheetName val="B-2"/>
      <sheetName val="Price Sheet"/>
      <sheetName val="BN 01"/>
      <sheetName val="Chiller"/>
      <sheetName val="d-safe DELUXE"/>
      <sheetName val="Cash2"/>
      <sheetName val="Z"/>
      <sheetName val="INPUT"/>
      <sheetName val="BOQ"/>
      <sheetName val="Admin"/>
      <sheetName val="RSM and Distributors"/>
      <sheetName val="SSuppliers"/>
      <sheetName val="SubmitCal"/>
      <sheetName val="BOQ Co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166.xml><?xml version="1.0" encoding="utf-8"?>
<externalLink xmlns="http://schemas.openxmlformats.org/spreadsheetml/2006/main">
  <externalBook xmlns:r="http://schemas.openxmlformats.org/officeDocument/2006/relationships" r:id="rId1">
    <sheetNames>
      <sheetName val="VENDER (2)"/>
      <sheetName val="Sheet1 (2)"/>
      <sheetName val="SELL"/>
      <sheetName val="sum-sys"/>
      <sheetName val="DETAIL "/>
      <sheetName val="EXCLUDE"/>
      <sheetName val="VENDER"/>
      <sheetName val="DATA "/>
      <sheetName val="EXF"/>
      <sheetName val="SUMMARY"/>
      <sheetName val="SH-D"/>
      <sheetName val="SH-E"/>
      <sheetName val="SH-F"/>
      <sheetName val="SH-G"/>
      <sheetName val="SOURCE"/>
      <sheetName val="SITE OFFICE"/>
      <sheetName val="Cost Data"/>
      <sheetName val="Purchase Order"/>
      <sheetName val="Customize Your Purchase Order"/>
      <sheetName val="S3 Architectural"/>
      <sheetName val="X-042581_TOYOTA NO DEHU"/>
      <sheetName val="Total M&amp;E"/>
      <sheetName val="Architect"/>
      <sheetName val="BOQ ACMV-MU"/>
      <sheetName val="GAE8'9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67.xml><?xml version="1.0" encoding="utf-8"?>
<externalLink xmlns="http://schemas.openxmlformats.org/spreadsheetml/2006/main">
  <externalBook xmlns:r="http://schemas.openxmlformats.org/officeDocument/2006/relationships" r:id="rId1">
    <sheetNames>
      <sheetName val="Review"/>
      <sheetName val="Exchange Rates(rounded)"/>
      <sheetName val="Exchange Rates"/>
      <sheetName val="DAT File"/>
      <sheetName val="CQ by Entity"/>
      <sheetName val="FY by Entity"/>
      <sheetName val="INDEX"/>
      <sheetName val="NQ by Entity"/>
      <sheetName val="CQ Bridge"/>
      <sheetName val="CQ Orders"/>
      <sheetName val="Org Growth"/>
      <sheetName val="Monthly Trend Act MOR pv"/>
      <sheetName val="total components with Rates"/>
      <sheetName val="Sheet2"/>
      <sheetName val="Database"/>
      <sheetName val="Date Ranges"/>
      <sheetName val="APPT"/>
      <sheetName val="APPT_SGL"/>
      <sheetName val="Phone_Sale"/>
      <sheetName val="Schedules"/>
      <sheetName val="DDB Depr (Mths)"/>
      <sheetName val="ELE Summary"/>
      <sheetName val="Backlog Consol"/>
      <sheetName val="Start"/>
      <sheetName val="Legend"/>
      <sheetName val="4"/>
      <sheetName val="Valible One BOQ"/>
      <sheetName val="Competitors"/>
      <sheetName val="Factors"/>
      <sheetName val="Sheet1"/>
      <sheetName val="NEW PRODUCT SALES FORCE"/>
      <sheetName val="Factors &amp; Temp Calc"/>
      <sheetName val="Factor Sheet"/>
      <sheetName val="Material Prices"/>
      <sheetName val="Room Type"/>
      <sheetName val="Basement2 DB"/>
      <sheetName val="NonPerp"/>
      <sheetName val="Perp"/>
      <sheetName val="INPUT"/>
      <sheetName val="Dist Controls"/>
      <sheetName val="File Settings"/>
      <sheetName val="Forecast"/>
      <sheetName val="HyperionEnt"/>
      <sheetName val="Cost Factor Sheet"/>
      <sheetName val="Load Sch, Cable Sel &amp; Qty"/>
      <sheetName val="Price Sheet"/>
      <sheetName val="RATE"/>
      <sheetName val="A"/>
      <sheetName val="RW_Option"/>
      <sheetName val="Structural work"/>
      <sheetName val="Electrical Systems"/>
      <sheetName val="Plumbing Systems"/>
      <sheetName val="Air Conditioning"/>
      <sheetName val="External work"/>
      <sheetName val="Bill 5 - Carpark"/>
      <sheetName val="Goodwill Calculation"/>
      <sheetName val="AU Zone"/>
      <sheetName val="MDB-25.8.2014"/>
      <sheetName val="Summary"/>
      <sheetName val="B-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68.xml><?xml version="1.0" encoding="utf-8"?>
<externalLink xmlns="http://schemas.openxmlformats.org/spreadsheetml/2006/main">
  <externalBook xmlns:r="http://schemas.openxmlformats.org/officeDocument/2006/relationships" r:id="rId1">
    <sheetNames>
      <sheetName val="laroux"/>
      <sheetName val="海外三社 (1)"/>
      <sheetName val="海外三社 (2)"/>
      <sheetName val="海外三社 (3)"/>
      <sheetName val="代価表AC"/>
      <sheetName val="海外三社"/>
      <sheetName val="Factors"/>
      <sheetName val="明細"/>
      <sheetName val="Summary "/>
      <sheetName val="VVa"/>
      <sheetName val="Variables"/>
      <sheetName val="3A"/>
      <sheetName val="Sheet1"/>
      <sheetName val="Cost summary"/>
      <sheetName val="HyperionEnt"/>
      <sheetName val="Material Prices"/>
      <sheetName val="B-3.2 EB"/>
      <sheetName val="Valible One BOQ"/>
      <sheetName val="概総括1"/>
      <sheetName val="Start"/>
      <sheetName val="d-safe specs"/>
      <sheetName val="B-2"/>
      <sheetName val="jul_data"/>
      <sheetName val="Schedules"/>
      <sheetName val="INPUT"/>
      <sheetName val="Enclo.compar.EMP-RND"/>
      <sheetName val="GS1"/>
      <sheetName val="RBD"/>
      <sheetName val="calculations"/>
      <sheetName val="takeoff2"/>
      <sheetName val="Factor"/>
      <sheetName val="Imp_HDPE PN16"/>
      <sheetName val="Sheet3"/>
      <sheetName val="BOI - Katunayaka-9.8.2013"/>
      <sheetName val="GAE8'97"/>
      <sheetName val="Cash2"/>
      <sheetName val="Z"/>
      <sheetName val="Goodwill Calculation"/>
      <sheetName val="Homagama Grounds-9.7.2013"/>
      <sheetName val="Bill 5 - Carpark"/>
      <sheetName val="JOB COSTING SHEET HVAC"/>
      <sheetName val="Valesco Paste"/>
      <sheetName val="Database"/>
      <sheetName val="Date Ranges"/>
      <sheetName val="Legend"/>
      <sheetName val="ELE Summary"/>
      <sheetName val="Material Prices to site"/>
      <sheetName val="V3100 Prices_Raw"/>
      <sheetName val="S3 Architectural"/>
      <sheetName val="LET_BAFO"/>
      <sheetName val="SLS CM"/>
      <sheetName val="B-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69.xml><?xml version="1.0" encoding="utf-8"?>
<externalLink xmlns="http://schemas.openxmlformats.org/spreadsheetml/2006/main">
  <externalBook xmlns:r="http://schemas.openxmlformats.org/officeDocument/2006/relationships" r:id="rId1">
    <sheetNames>
      <sheetName val="금융비용"/>
      <sheetName val="제목"/>
      <sheetName val="목차"/>
      <sheetName val="실행과정요약"/>
      <sheetName val="총괄표"/>
      <sheetName val="실행대비표"/>
      <sheetName val="실행대비 (2)"/>
      <sheetName val="분석1"/>
      <sheetName val="평당분석"/>
      <sheetName val="견적비교"/>
      <sheetName val="물량분석"/>
      <sheetName val="평단가분석(건축)"/>
      <sheetName val="품의서"/>
      <sheetName val="견적조건"/>
      <sheetName val="공정"/>
      <sheetName val="인원"/>
      <sheetName val="적용단가"/>
      <sheetName val="물량차이"/>
      <sheetName val="Sheet1"/>
      <sheetName val="Bill 3 - Site Works"/>
      <sheetName val="内訳書"/>
      <sheetName val="BOQ"/>
      <sheetName val="BK Unit Rate"/>
      <sheetName val="BOQ PL"/>
      <sheetName val="Ele Price"/>
      <sheetName val="Fac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70.xml><?xml version="1.0" encoding="utf-8"?>
<externalLink xmlns="http://schemas.openxmlformats.org/spreadsheetml/2006/main">
  <externalBook xmlns:r="http://schemas.openxmlformats.org/officeDocument/2006/relationships" r:id="rId1">
    <sheetNames>
      <sheetName val="Data"/>
      <sheetName val="BUDGET"/>
      <sheetName val="BOQ Sum"/>
      <sheetName val="BOQ"/>
      <sheetName val="1.Material"/>
      <sheetName val="2.Machinery"/>
      <sheetName val="3.Labour"/>
      <sheetName val="4.Sub"/>
      <sheetName val="5.OH"/>
      <sheetName val="RBD"/>
      <sheetName val="QTY"/>
      <sheetName val="QTY - RF"/>
      <sheetName val="MMI"/>
      <sheetName val="Material Book"/>
      <sheetName val="Cash Book"/>
      <sheetName val="RBD-Sample"/>
      <sheetName val="Rate Sheet"/>
      <sheetName val="Material Prices"/>
      <sheetName val="Keels-6.2.2014"/>
      <sheetName val="FlowHmgma Grds-9.7.2013-details"/>
      <sheetName val="Schedules"/>
      <sheetName val="Seachells-Pools-25.2.2014"/>
      <sheetName val="SSuppliers"/>
      <sheetName val="Factors"/>
      <sheetName val="BILL 4 NEW multi"/>
      <sheetName val="Competitors"/>
      <sheetName val="MAIN"/>
      <sheetName val="DUTY FREE-DF VAT"/>
      <sheetName val="B-3"/>
      <sheetName val="Room Type"/>
      <sheetName val="Database"/>
      <sheetName val="Date Ranges"/>
      <sheetName val="Basement2 DB"/>
      <sheetName val="Prices"/>
      <sheetName val="NOV fx rates"/>
      <sheetName val="A"/>
      <sheetName val="B-3.2 EB"/>
      <sheetName val="Sheet1"/>
      <sheetName val="Ragama"/>
      <sheetName val="PLT-SUM"/>
      <sheetName val="Bill 5 - Carpark"/>
      <sheetName val="Factor"/>
      <sheetName val="Homagama Grounds-9.7.2013"/>
      <sheetName val="BOI - Katunayaka-9.8.2013"/>
      <sheetName val="Pri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71.xml><?xml version="1.0" encoding="utf-8"?>
<externalLink xmlns="http://schemas.openxmlformats.org/spreadsheetml/2006/main">
  <externalBook xmlns:r="http://schemas.openxmlformats.org/officeDocument/2006/relationships" r:id="rId1">
    <sheetNames>
      <sheetName val="Grand summary"/>
      <sheetName val="GS1"/>
      <sheetName val="1A"/>
      <sheetName val="1B"/>
      <sheetName val="GS2"/>
      <sheetName val="2A"/>
      <sheetName val="2B"/>
      <sheetName val="2C"/>
      <sheetName val="GS3"/>
      <sheetName val="3A"/>
      <sheetName val="3B"/>
      <sheetName val="3C"/>
      <sheetName val="GS4"/>
      <sheetName val="4A"/>
      <sheetName val="4B"/>
      <sheetName val="4C"/>
      <sheetName val="GS5"/>
      <sheetName val="5A"/>
      <sheetName val="5B"/>
      <sheetName val="5C"/>
      <sheetName val="OLD PRICES"/>
      <sheetName val="Sheet3"/>
      <sheetName val="Calc Inputs"/>
      <sheetName val="Factors"/>
      <sheetName val="Fcst Tool"/>
      <sheetName val="NOV fx rates"/>
      <sheetName val="total"/>
      <sheetName val="Equipment"/>
      <sheetName val="Ragama"/>
      <sheetName val="Variables"/>
      <sheetName val="Factor"/>
      <sheetName val="PLUMBING WORK ADDITIONS"/>
      <sheetName val="Admin"/>
      <sheetName val="w't table"/>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72.xml><?xml version="1.0" encoding="utf-8"?>
<externalLink xmlns="http://schemas.openxmlformats.org/spreadsheetml/2006/main">
  <externalBook xmlns:r="http://schemas.openxmlformats.org/officeDocument/2006/relationships" r:id="rId1">
    <sheetNames>
      <sheetName val="Sheet1"/>
      <sheetName val="주식"/>
      <sheetName val="Sheet1 (2)"/>
      <sheetName val="삼성전기"/>
      <sheetName val="대부현황"/>
      <sheetName val="조선맥주"/>
      <sheetName val="한솔전자"/>
      <sheetName val="군자산업"/>
      <sheetName val="두산음료"/>
      <sheetName val="아남산업"/>
      <sheetName val="유공"/>
      <sheetName val="두산상사"/>
      <sheetName val="대호"/>
      <sheetName val="Sheet3"/>
      <sheetName val="사용내역"/>
      <sheetName val="Sheet5"/>
      <sheetName val="Sheet6"/>
      <sheetName val="Sheet7"/>
      <sheetName val="Sheet8"/>
      <sheetName val="Sheet9"/>
      <sheetName val="Sheet10"/>
      <sheetName val="Sheet11"/>
      <sheetName val="Sheet12"/>
      <sheetName val="Sheet13"/>
      <sheetName val="Sheet14"/>
      <sheetName val="Sheet15"/>
      <sheetName val="Sheet16"/>
      <sheetName val="노임이"/>
      <sheetName val="#REF"/>
      <sheetName val="1-1"/>
      <sheetName val="01"/>
      <sheetName val="양식summary"/>
      <sheetName val="98주식"/>
      <sheetName val="원가계산서"/>
      <sheetName val="Raw Data"/>
      <sheetName val="data"/>
      <sheetName val="③赤紙(日文)"/>
      <sheetName val="Cash Flow Worksheet"/>
      <sheetName val="CAL. - DATA"/>
      <sheetName val="Section 2-SCHEDULE OF DAYWORK"/>
      <sheetName val="Factors"/>
      <sheetName val="Det Import"/>
      <sheetName val="#3E1_GCR"/>
      <sheetName val="Equipment Schedule"/>
      <sheetName val="Workings"/>
      <sheetName val="Take-Of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73.xml><?xml version="1.0" encoding="utf-8"?>
<externalLink xmlns="http://schemas.openxmlformats.org/spreadsheetml/2006/main">
  <externalBook xmlns:r="http://schemas.openxmlformats.org/officeDocument/2006/relationships" r:id="rId1">
    <sheetNames>
      <sheetName val="LS"/>
      <sheetName val="Enclo.compar.EMP-RND"/>
      <sheetName val="Sheet3"/>
      <sheetName val="Seachells-Pools-25.2.2014"/>
      <sheetName val="Ragama"/>
      <sheetName val="total components with Rates"/>
      <sheetName val="bill02"/>
      <sheetName val="NonPerp"/>
      <sheetName val="Perp"/>
      <sheetName val="Sheet1"/>
      <sheetName val="Histry Price"/>
      <sheetName val="Enclo_compar_EMP-RND"/>
      <sheetName val="SSuppliers"/>
      <sheetName val="MDB-25.8.2014"/>
      <sheetName val="Histry_Price"/>
      <sheetName val="Material Prices"/>
      <sheetName val="Cost Factor Sheet"/>
      <sheetName val="Calc Inputs"/>
      <sheetName val="Rates"/>
      <sheetName val="B-3"/>
      <sheetName val="JOB COSTING SHEET ELEC"/>
      <sheetName val="Kaatsu H.A.M.T.T.C.-7 jan 10"/>
      <sheetName val="RBD"/>
      <sheetName val="BOM"/>
      <sheetName val="Price Sheet"/>
      <sheetName val="Factor Sheet"/>
      <sheetName val="D"/>
      <sheetName val="G"/>
      <sheetName val="E"/>
      <sheetName val="Assumptions"/>
      <sheetName val="BOQ"/>
      <sheetName val="MACHINERY"/>
      <sheetName val="MATERIAL"/>
      <sheetName val="SUBCON OR OTHER"/>
      <sheetName val="Bill 3 - Site Works"/>
      <sheetName val="JOB COSTING SHEET HVAC"/>
      <sheetName val="Electrical"/>
      <sheetName val="Product Groups"/>
      <sheetName val="Financial Summary"/>
      <sheetName val="jul_data"/>
      <sheetName val="Admin"/>
      <sheetName val="Schedules"/>
      <sheetName val="BILL 4 NEW multi"/>
      <sheetName val="CAL. -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74.xml><?xml version="1.0" encoding="utf-8"?>
<externalLink xmlns="http://schemas.openxmlformats.org/spreadsheetml/2006/main">
  <externalBook xmlns:r="http://schemas.openxmlformats.org/officeDocument/2006/relationships" r:id="rId1">
    <sheetNames>
      <sheetName val="Data 1"/>
      <sheetName val="dlvoid"/>
      <sheetName val="Homagama Grounds-9.7.2013"/>
      <sheetName val="Invoice"/>
      <sheetName val="DETAIL "/>
      <sheetName val="Keels-6.2.2014"/>
      <sheetName val="FlowHmgma Grds-9.7.2013-details"/>
      <sheetName val="BILL 4 NEW multi"/>
      <sheetName val="Schedu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75.xml><?xml version="1.0" encoding="utf-8"?>
<externalLink xmlns="http://schemas.openxmlformats.org/spreadsheetml/2006/main">
  <externalBook xmlns:r="http://schemas.openxmlformats.org/officeDocument/2006/relationships" r:id="rId1">
    <sheetNames>
      <sheetName val="corbeldatail"/>
      <sheetName val="Data 1"/>
      <sheetName val="SUMMARY"/>
      <sheetName val="FAB별"/>
      <sheetName val="ค่าวัสดุ"/>
      <sheetName val="Factor F Data"/>
      <sheetName val="#REF"/>
      <sheetName val="Sheet1"/>
      <sheetName val="BUR4-Rd"/>
      <sheetName val="BUR3-DrnRC"/>
      <sheetName val="Homagama Grounds-9.7.2013"/>
      <sheetName val="Background"/>
      <sheetName val="CashFlwProjections"/>
      <sheetName val="Category 1"/>
      <sheetName val="Data"/>
      <sheetName val="HVAC BoQ"/>
      <sheetName val="Schedules"/>
      <sheetName val="Build Up Rates"/>
      <sheetName val="Furnitu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76.xml><?xml version="1.0" encoding="utf-8"?>
<externalLink xmlns="http://schemas.openxmlformats.org/spreadsheetml/2006/main">
  <externalBook xmlns:r="http://schemas.openxmlformats.org/officeDocument/2006/relationships" r:id="rId1">
    <sheetNames>
      <sheetName val="Executives"/>
      <sheetName val="NOV fx rates"/>
      <sheetName val="EBIT"/>
      <sheetName val="CASH"/>
      <sheetName val="Calculo Incentivotodo"/>
      <sheetName val="Calculo Incentivo todo ganadore"/>
      <sheetName val="Directions"/>
      <sheetName val="Country summary"/>
      <sheetName val="Jun04 fx"/>
      <sheetName val="Regions"/>
      <sheetName val="Variables"/>
      <sheetName val="Cost Factor Sheet"/>
      <sheetName val="Zones"/>
      <sheetName val="Sheet2"/>
      <sheetName val="SLS CM"/>
      <sheetName val="3A"/>
      <sheetName val="Lookup"/>
      <sheetName val="WB"/>
      <sheetName val="ICAM_Prices_Raw"/>
      <sheetName val="jul_data"/>
      <sheetName val="Total"/>
      <sheetName val="Keels-6.2.2014"/>
      <sheetName val="FlowHmgma Grds-9.7.2013-details"/>
      <sheetName val="Input"/>
      <sheetName val="pipes"/>
      <sheetName val="OLD PRICES"/>
      <sheetName val="Prices"/>
      <sheetName val="Factors"/>
      <sheetName val="Summary"/>
      <sheetName val="금융비용"/>
      <sheetName val="Sheet1"/>
      <sheetName val="V3100 Prices_Raw"/>
      <sheetName val="2005 - GAAP"/>
      <sheetName val="Bill 5 - Carpark"/>
      <sheetName val="Dist Controls"/>
      <sheetName val="File Settings"/>
      <sheetName val="Forecast"/>
      <sheetName val="D"/>
      <sheetName val="G"/>
      <sheetName val="E"/>
      <sheetName val="aug_data"/>
      <sheetName val="Bill 3 - Site Works"/>
      <sheetName val="D_Cntnts"/>
      <sheetName val="PLUMBING WORK ADDITIONS"/>
      <sheetName val="Financial Summary"/>
      <sheetName val="corbeldata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77.xml><?xml version="1.0" encoding="utf-8"?>
<externalLink xmlns="http://schemas.openxmlformats.org/spreadsheetml/2006/main">
  <externalBook xmlns:r="http://schemas.openxmlformats.org/officeDocument/2006/relationships" r:id="rId1">
    <sheetNames>
      <sheetName val="2A Collect"/>
      <sheetName val="2B Collect"/>
      <sheetName val="2C Collect"/>
      <sheetName val="2D Collect"/>
      <sheetName val="2E Collect"/>
      <sheetName val="2F Collect"/>
      <sheetName val="Factors"/>
      <sheetName val="Summary "/>
      <sheetName val="BOQ Reference"/>
      <sheetName val="FS FinalSum"/>
      <sheetName val="3A ChillerRm"/>
      <sheetName val="3B CHWDIS"/>
      <sheetName val="3 Summary"/>
      <sheetName val="4A PierRecep"/>
      <sheetName val="4B PierServ"/>
      <sheetName val="4C RecepPav"/>
      <sheetName val="4D Ballroom"/>
      <sheetName val="4E Retail"/>
      <sheetName val="4F DiveCentre"/>
      <sheetName val="4G FitnessCtr"/>
      <sheetName val="4 Summary"/>
      <sheetName val="5A SBA"/>
      <sheetName val="5B SBB"/>
      <sheetName val="5C SSB"/>
      <sheetName val="5D PGP"/>
      <sheetName val="5E STP"/>
      <sheetName val="5F DP"/>
      <sheetName val="5G FuelTank"/>
      <sheetName val="5H WasteMgt"/>
      <sheetName val="5I Engrg"/>
      <sheetName val="5 Summary"/>
      <sheetName val="6A StoreMKitchen"/>
      <sheetName val="6B AdminBldg"/>
      <sheetName val="6C Canteen"/>
      <sheetName val="6D Laundry"/>
      <sheetName val="6E Buggy"/>
      <sheetName val="6F Landscape"/>
      <sheetName val="6G Bar&amp;BBQ"/>
      <sheetName val="6 Summary"/>
      <sheetName val="7A MaleHse"/>
      <sheetName val="7B FemaleHse"/>
      <sheetName val="7 Summary"/>
      <sheetName val="break"/>
      <sheetName val="Material Prices"/>
      <sheetName val="Sheet2"/>
      <sheetName val="D"/>
      <sheetName val="G"/>
      <sheetName val="E"/>
      <sheetName val="Input"/>
      <sheetName val="Rate Sheet"/>
      <sheetName val="Keels-6.2.2014"/>
      <sheetName val="FlowHmgma Grds-9.7.2013-details"/>
      <sheetName val="LS Price List"/>
      <sheetName val="Sheet5"/>
      <sheetName val="GS1"/>
      <sheetName val="Electrical"/>
      <sheetName val="Rates"/>
      <sheetName val="QTY Pipe Laying"/>
      <sheetName val="3.Labour"/>
      <sheetName val="1.Material"/>
      <sheetName val="MMI"/>
      <sheetName val="2.Machinery"/>
      <sheetName val="Cost summary"/>
      <sheetName val="3A"/>
      <sheetName val="Dist Controls"/>
      <sheetName val="File Settings"/>
      <sheetName val="Forecast"/>
      <sheetName val="TBLS"/>
      <sheetName val="EV_FC"/>
      <sheetName val="LET_BAFO"/>
      <sheetName val="Sheet1"/>
      <sheetName val="OLD PRICES"/>
      <sheetName val="Ragama"/>
      <sheetName val="Zones"/>
      <sheetName val="Fcst Tool"/>
      <sheetName val="Bill 5 - Carpark"/>
      <sheetName val="CERTIFICATE"/>
      <sheetName val="A"/>
      <sheetName val="Unit Rates-Duty Free"/>
      <sheetName val="Prices"/>
      <sheetName val="Legend"/>
      <sheetName val="Price sheet"/>
      <sheetName val="Factor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178.xml><?xml version="1.0" encoding="utf-8"?>
<externalLink xmlns="http://schemas.openxmlformats.org/spreadsheetml/2006/main">
  <externalBook xmlns:r="http://schemas.openxmlformats.org/officeDocument/2006/relationships" r:id="rId1">
    <sheetNames>
      <sheetName val="Furniture"/>
      <sheetName val="Take Off "/>
      <sheetName val="BOQ"/>
      <sheetName val="BK Unit Rate"/>
      <sheetName val="Architectural works"/>
      <sheetName val="APP. B"/>
      <sheetName val="Sheet1"/>
      <sheetName val="tables"/>
      <sheetName val="Equipment"/>
      <sheetName val="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79.xml><?xml version="1.0" encoding="utf-8"?>
<externalLink xmlns="http://schemas.openxmlformats.org/spreadsheetml/2006/main">
  <externalBook xmlns:r="http://schemas.openxmlformats.org/officeDocument/2006/relationships" r:id="rId1">
    <sheetNames>
      <sheetName val="1104000 Perp"/>
      <sheetName val="Total"/>
      <sheetName val="InvBal"/>
      <sheetName val="12 Mos Issues"/>
      <sheetName val="Canada"/>
      <sheetName val="NonPerpTotal"/>
      <sheetName val="11048610"/>
      <sheetName val="11048608"/>
      <sheetName val="11044523"/>
      <sheetName val="11044522"/>
      <sheetName val="11040002"/>
      <sheetName val="11040001"/>
      <sheetName val="11040004"/>
      <sheetName val="11040000"/>
      <sheetName val="Dist-Lisa"/>
      <sheetName val="Notes"/>
      <sheetName val="Zones"/>
      <sheetName val="Medical"/>
      <sheetName val="Factors"/>
      <sheetName val="3A"/>
      <sheetName val="ICAM_Prices_Raw"/>
      <sheetName val="Material Prices"/>
      <sheetName val="Cost Factor Sheet"/>
      <sheetName val="Database"/>
      <sheetName val="Date Ranges"/>
      <sheetName val="Exchange Rates(rounded)"/>
      <sheetName val="sep_data"/>
      <sheetName val="NonPerp"/>
      <sheetName val="Perp"/>
      <sheetName val="MAIN"/>
      <sheetName val="Rates"/>
      <sheetName val="may_data"/>
      <sheetName val="Assumptions"/>
      <sheetName val="Lookup"/>
      <sheetName val="Goodwill Calculation"/>
      <sheetName val="HyperionEnt"/>
      <sheetName val="Sheet5"/>
      <sheetName val="Backlog Consol"/>
      <sheetName val="Input"/>
      <sheetName val="Variables"/>
      <sheetName val="NOV fx rates"/>
      <sheetName val="Prices"/>
      <sheetName val="Bill 5 - Carpark"/>
      <sheetName val="AEX_IMPORTS_on 320"/>
      <sheetName val="Fcst Tool"/>
      <sheetName val="ancillary"/>
      <sheetName val="Schedules"/>
      <sheetName val="Equip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80.xml><?xml version="1.0" encoding="utf-8"?>
<externalLink xmlns="http://schemas.openxmlformats.org/spreadsheetml/2006/main">
  <externalBook xmlns:r="http://schemas.openxmlformats.org/officeDocument/2006/relationships" r:id="rId1">
    <sheetNames>
      <sheetName val="Qty."/>
      <sheetName val="Final Order - Flowline"/>
      <sheetName val="Rev-1"/>
      <sheetName val="comparison with Singapore"/>
      <sheetName val="total components "/>
      <sheetName val="total components with Rates"/>
      <sheetName val="Cubic"/>
      <sheetName val="Rotex"/>
      <sheetName val="AN"/>
      <sheetName val="Empire Trading Agency"/>
      <sheetName val="LD Engineering"/>
      <sheetName val="pipes"/>
      <sheetName val="Unit Rates-Duty Free"/>
      <sheetName val="Sheet1"/>
      <sheetName val="Keels-6.2.2014"/>
      <sheetName val="FlowHmgma Grds-9.7.2013-details"/>
      <sheetName val="Ragama"/>
      <sheetName val="ancillary"/>
      <sheetName val="Electrical"/>
      <sheetName val="Oracle Account Master"/>
      <sheetName val="BK Unit Rate"/>
      <sheetName val="Schedules"/>
      <sheetName val="Material Prices"/>
      <sheetName val="주식"/>
      <sheetName val="B-2"/>
      <sheetName val="NATION"/>
      <sheetName val="Cost summary"/>
      <sheetName val="Fcst Too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81.xml><?xml version="1.0" encoding="utf-8"?>
<externalLink xmlns="http://schemas.openxmlformats.org/spreadsheetml/2006/main">
  <externalBook xmlns:r="http://schemas.openxmlformats.org/officeDocument/2006/relationships" r:id="rId1">
    <sheetNames>
      <sheetName val="Plumbing &amp; Installation "/>
      <sheetName val="Waste Water and Sewer Drainage "/>
      <sheetName val="Rain Water Disposal System"/>
      <sheetName val="LP Gas Supply System"/>
      <sheetName val="Swimming Pool Equipment"/>
      <sheetName val="Electrical"/>
      <sheetName val="CCTV"/>
      <sheetName val="MATV"/>
      <sheetName val="EACS"/>
      <sheetName val="PA &amp; BMG"/>
      <sheetName val="VDP"/>
      <sheetName val="Garbage"/>
      <sheetName val="Gondola"/>
      <sheetName val="Lift"/>
      <sheetName val="BMS"/>
      <sheetName val="Fire System"/>
      <sheetName val="Telephone &amp; Data System"/>
      <sheetName val="Generator BOQ"/>
      <sheetName val="MAVC"/>
      <sheetName val="MV System"/>
      <sheetName val="OLD PRICES"/>
      <sheetName val="Cost Factor Sheet"/>
      <sheetName val="Sheet2"/>
      <sheetName val="Homagama Grounds-9.7.2013"/>
      <sheetName val="BOI - Katunayaka-9.8.2013"/>
      <sheetName val="Bill 5 - Carpark"/>
      <sheetName val="Factors"/>
      <sheetName val="BOQ ACMV-MU"/>
      <sheetName val="LS Price List"/>
      <sheetName val="Factor Sheet"/>
      <sheetName val="Material Prices"/>
      <sheetName val="CASH"/>
      <sheetName val="Sheet1"/>
      <sheetName val="BILL 4 NEW multi"/>
      <sheetName val="Input"/>
      <sheetName val="Kaatsu H.A.M.T.T.C.-7 jan 10"/>
      <sheetName val="Ragama"/>
      <sheetName val="Factor"/>
      <sheetName val="LET_BAFO"/>
      <sheetName val="jul_data"/>
      <sheetName val="3.Labour"/>
      <sheetName val="1.Material"/>
      <sheetName val="MMI"/>
      <sheetName val="2.Machinery"/>
      <sheetName val="3A"/>
      <sheetName val="Room Type"/>
      <sheetName val="Basement2 DB"/>
      <sheetName val="MACHINERY"/>
      <sheetName val="MATERIAL"/>
      <sheetName val="SUBCON OR OTHER"/>
      <sheetName val="Rate Sheet"/>
      <sheetName val="JOB COSTING SHEET ELEC"/>
      <sheetName val="tables"/>
      <sheetName val="Keels-6.2.2014"/>
      <sheetName val="FlowHmgma Grds-9.7.2013-details"/>
      <sheetName val="Rates"/>
      <sheetName val="QTY Pipe Laying"/>
      <sheetName val="Sheet5"/>
      <sheetName val="HyperionEnt"/>
      <sheetName val="산근"/>
      <sheetName val="Backlog Consol"/>
      <sheetName val="Equipment"/>
      <sheetName val="Price Sheet"/>
      <sheetName val="RBD"/>
      <sheetName val="Fcst Tool"/>
      <sheetName val="CAL. - DATA"/>
      <sheetName val="Cost summary"/>
      <sheetName val="A"/>
      <sheetName val="DDB Depr (Mths)"/>
      <sheetName val="DEP"/>
      <sheetName val="GEN"/>
      <sheetName val="MTC"/>
      <sheetName val="TFR"/>
      <sheetName val="Testing"/>
      <sheetName val="Eqp.selection"/>
      <sheetName val="data"/>
      <sheetName val="概総括1"/>
      <sheetName val="Zones"/>
      <sheetName val="ICAM_Prices_Raw"/>
      <sheetName val="NOV fx rates"/>
      <sheetName val="Title"/>
      <sheetName val="ID Office-R1 - 23.8.2012"/>
      <sheetName val="Schnieder Price List-July 20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182.xml><?xml version="1.0" encoding="utf-8"?>
<externalLink xmlns="http://schemas.openxmlformats.org/spreadsheetml/2006/main">
  <externalBook xmlns:r="http://schemas.openxmlformats.org/officeDocument/2006/relationships" r:id="rId1">
    <sheetNames>
      <sheetName val="jul_data"/>
      <sheetName val="aug_data"/>
      <sheetName val="sep_data"/>
      <sheetName val="SUMMARY"/>
      <sheetName val="Q4 Ops"/>
      <sheetName val="July Ops"/>
      <sheetName val="Aug Ops"/>
      <sheetName val="Sep Ops"/>
      <sheetName val="July"/>
      <sheetName val="Aug"/>
      <sheetName val="Sep"/>
      <sheetName val="ICAM_Prices_Raw"/>
      <sheetName val="Zones"/>
      <sheetName val="1A"/>
      <sheetName val="Total"/>
      <sheetName val="Database"/>
      <sheetName val="Date Ranges"/>
      <sheetName val="Chiller"/>
      <sheetName val="Material Prices"/>
      <sheetName val="Oracle Account Master"/>
      <sheetName val="data"/>
      <sheetName val="B-3"/>
      <sheetName val="Sheet1"/>
      <sheetName val="may_data"/>
      <sheetName val="MACHINERY"/>
      <sheetName val="MATERIAL"/>
      <sheetName val="SUBCON OR OTHER"/>
      <sheetName val="Rates"/>
      <sheetName val="QTY Pipe Laying"/>
      <sheetName val="Factors"/>
      <sheetName val="Input"/>
      <sheetName val="Cash2"/>
      <sheetName val="BOQ ACMV-MU"/>
      <sheetName val="Goodwill Calculation"/>
      <sheetName val="NEW PRODUCT SALES FORCE"/>
      <sheetName val="Legend"/>
      <sheetName val="Variables"/>
      <sheetName val="NOV fx rates"/>
      <sheetName val="BK Unit Rate"/>
      <sheetName val="Histry Price"/>
      <sheetName val="tables"/>
      <sheetName val="CERTIFICATE"/>
      <sheetName val="Fcst Tool"/>
      <sheetName val="Backlog Consol"/>
      <sheetName val="Equipment"/>
      <sheetName val="G"/>
      <sheetName val="D"/>
      <sheetName val="E"/>
      <sheetName val="Unit Rates-Duty Free"/>
      <sheetName val="Keels-6.2.2014"/>
      <sheetName val="FlowHmgma Grds-9.7.2013-details"/>
      <sheetName val="Price sheet"/>
      <sheetName val="Factor Sheet"/>
      <sheetName val="LS Price List"/>
      <sheetName val="Cost Factor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83.xml><?xml version="1.0" encoding="utf-8"?>
<externalLink xmlns="http://schemas.openxmlformats.org/spreadsheetml/2006/main">
  <externalBook xmlns:r="http://schemas.openxmlformats.org/officeDocument/2006/relationships" r:id="rId1">
    <sheetNames>
      <sheetName val="Final Summary"/>
      <sheetName val="SCH 1 - C"/>
      <sheetName val="SCH 2 - D &amp; E"/>
      <sheetName val="SCH 3 - F"/>
      <sheetName val="SCH 4 - G &amp; H"/>
      <sheetName val="SCH 5 - Utilities House"/>
      <sheetName val="SCH 6 - Tennis Court"/>
      <sheetName val="SCH 7 - Landscape "/>
      <sheetName val="SCH 8 - FS"/>
      <sheetName val="S0"/>
      <sheetName val="S1"/>
      <sheetName val="S2"/>
      <sheetName val="S3"/>
      <sheetName val="S4"/>
      <sheetName val="S5"/>
      <sheetName val="SCH 9 - PRELIM"/>
      <sheetName val="#REF"/>
      <sheetName val="SUM"/>
      <sheetName val="statement"/>
      <sheetName val="Sheet2"/>
      <sheetName val="Manpower"/>
      <sheetName val="G"/>
      <sheetName val="D"/>
      <sheetName va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84.xml><?xml version="1.0" encoding="utf-8"?>
<externalLink xmlns="http://schemas.openxmlformats.org/spreadsheetml/2006/main">
  <externalBook xmlns:r="http://schemas.openxmlformats.org/officeDocument/2006/relationships" r:id="rId1">
    <sheetNames>
      <sheetName val="Estimate"/>
      <sheetName val="RBD"/>
      <sheetName val="CAL."/>
      <sheetName val="Rates"/>
      <sheetName val="pipe supports cost"/>
      <sheetName val="PVC-Prices"/>
      <sheetName val="Gate Valve"/>
      <sheetName val="code"/>
      <sheetName val="SPRINKLER"/>
      <sheetName val="aug_data"/>
      <sheetName val="Factors"/>
      <sheetName val="SubmitCal"/>
      <sheetName val="CAP"/>
      <sheetName val="Staff Acco."/>
      <sheetName val="주식"/>
      <sheetName val="PA"/>
      <sheetName val="Workings"/>
      <sheetName val="AEX_IMPORTS"/>
      <sheetName val="S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85.xml><?xml version="1.0" encoding="utf-8"?>
<externalLink xmlns="http://schemas.openxmlformats.org/spreadsheetml/2006/main">
  <externalBook xmlns:r="http://schemas.openxmlformats.org/officeDocument/2006/relationships" r:id="rId1">
    <sheetNames>
      <sheetName val="DWqty"/>
      <sheetName val="DWtbl"/>
      <sheetName val="IFarea"/>
      <sheetName val="IFqty"/>
      <sheetName val="IFtbl"/>
      <sheetName val="InWqty"/>
      <sheetName val="Door"/>
      <sheetName val="Fintbl"/>
      <sheetName val="BQSC-CFA"/>
      <sheetName val="CFA"/>
      <sheetName val="Extract"/>
      <sheetName val="#REF"/>
      <sheetName val="_REF"/>
      <sheetName val="Imp_HDPE PN16"/>
      <sheetName val="BQextra"/>
      <sheetName val="corbeldatail"/>
      <sheetName val="Build Up Rates"/>
      <sheetName val="2.S"/>
      <sheetName val="Option2-EGB+Electric Chiller"/>
      <sheetName val="BLDG4"/>
      <sheetName val="MATL"/>
      <sheetName val="Material Prices"/>
      <sheetName val="SubmitC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86.xml><?xml version="1.0" encoding="utf-8"?>
<externalLink xmlns="http://schemas.openxmlformats.org/spreadsheetml/2006/main">
  <externalBook xmlns:r="http://schemas.openxmlformats.org/officeDocument/2006/relationships" r:id="rId1">
    <sheetNames>
      <sheetName val="Sum"/>
      <sheetName val="BQ"/>
      <sheetName val="cost-pile"/>
      <sheetName val="cost-footing"/>
      <sheetName val="cost-tnb"/>
      <sheetName val="M&amp;E-Sum"/>
      <sheetName val="M&amp;E"/>
      <sheetName val="Prelim"/>
      <sheetName val="B-3"/>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7.xml><?xml version="1.0" encoding="utf-8"?>
<externalLink xmlns="http://schemas.openxmlformats.org/spreadsheetml/2006/main">
  <externalBook xmlns:r="http://schemas.openxmlformats.org/officeDocument/2006/relationships" r:id="rId1">
    <sheetNames>
      <sheetName val="Calcu-2004"/>
      <sheetName val="Select"/>
      <sheetName val="SRates"/>
      <sheetName val="SSuppliers"/>
      <sheetName val="S-ResNot"/>
      <sheetName val="Calcu-2002"/>
      <sheetName val="Calcu-2003"/>
      <sheetName val="Changed Items"/>
      <sheetName val="Rate Sheet"/>
      <sheetName val="NATION"/>
      <sheetName val="B-3"/>
      <sheetName val="Sheet1"/>
      <sheetName val="Changed_Items"/>
      <sheetName val="Rate_Sheet"/>
      <sheetName val="Schedules"/>
      <sheetName val="Electrical"/>
      <sheetName val=" Factor  "/>
      <sheetName val="Histry Price"/>
      <sheetName val="costing sheet"/>
      <sheetName val="GS1"/>
      <sheetName val="Ragama"/>
      <sheetName val="Factor"/>
      <sheetName val="BOM"/>
      <sheetName val="MCB"/>
      <sheetName val="TBLS"/>
      <sheetName val="EV-FC"/>
      <sheetName val="Input"/>
      <sheetName val="Seachells-Pools-25.2.2014"/>
      <sheetName val="Cost Factor Sheet"/>
      <sheetName val="Load Sch, Cable Sel &amp; Qty"/>
      <sheetName val="Factor Sheet"/>
      <sheetName val="Price Sheet"/>
      <sheetName val="Drainage"/>
      <sheetName val="BOQ"/>
      <sheetName val="S2 H&amp;CW"/>
      <sheetName val="S1 CHW "/>
      <sheetName val="S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88.xml><?xml version="1.0" encoding="utf-8"?>
<externalLink xmlns="http://schemas.openxmlformats.org/spreadsheetml/2006/main">
  <externalBook xmlns:r="http://schemas.openxmlformats.org/officeDocument/2006/relationships" r:id="rId1">
    <sheetNames>
      <sheetName val="PO - TT "/>
      <sheetName val="AEX_IMPORTS"/>
      <sheetName val="Factor Sheet"/>
      <sheetName val="Cost Factor Sheet"/>
      <sheetName val="FACTORS"/>
      <sheetName val="Bill 5 - Carpark"/>
      <sheetName val="Equipment Schedule"/>
      <sheetName val="Workings"/>
      <sheetName val="Take-Off"/>
      <sheetName val="Ra  stair"/>
      <sheetName val="S2 H&amp;CW"/>
      <sheetName val="S1 CHW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89.xml><?xml version="1.0" encoding="utf-8"?>
<externalLink xmlns="http://schemas.openxmlformats.org/spreadsheetml/2006/main">
  <externalBook xmlns:r="http://schemas.openxmlformats.org/officeDocument/2006/relationships" r:id="rId1">
    <sheetNames>
      <sheetName val="Sheet1"/>
      <sheetName val="Sheet2"/>
      <sheetName val="Sheet3"/>
      <sheetName val="Schedules"/>
      <sheetName val="OLD_PRICES"/>
      <sheetName val="OLD_PRICES2"/>
      <sheetName val="B-3"/>
      <sheetName val="OLD PRICES"/>
      <sheetName val="内訳書"/>
      <sheetName val="Material Prices"/>
      <sheetName val="Factor Sheet"/>
      <sheetName val="Ragama"/>
      <sheetName val="Input"/>
      <sheetName val="Product Groups"/>
      <sheetName val="13A"/>
      <sheetName val="NonPerp"/>
      <sheetName val="Perp"/>
      <sheetName val="total components with Rates"/>
      <sheetName val="PLT-SUM"/>
      <sheetName val="JOB COSTING SHEET ELEC"/>
      <sheetName val="BOI - Katunayaka-9.8.2013"/>
      <sheetName val="Factors"/>
      <sheetName val="Room Type"/>
      <sheetName val="Basement2 DB"/>
      <sheetName val="Inputs"/>
      <sheetName val="Oracle Account Master"/>
      <sheetName val="Start"/>
      <sheetName val="Seachells-Pools-25.2.2014"/>
      <sheetName val="Cost Factor Sheet"/>
      <sheetName val="Histry Price"/>
      <sheetName val="3A"/>
      <sheetName val="Summary"/>
      <sheetName val="Enclo.compar.EMP-RND"/>
      <sheetName val="Material"/>
      <sheetName val="covere"/>
      <sheetName val="概総括1"/>
      <sheetName val="PVC-Prices"/>
      <sheetName val="pipe supports cost"/>
      <sheetName val="B-3.2 EB"/>
      <sheetName val="SSuppliers"/>
      <sheetName val="BOQ"/>
      <sheetName val="SPRINKLER"/>
      <sheetName val="Keels-6.2.2014"/>
      <sheetName val="FlowHmgma Grds-9.7.2013-details"/>
      <sheetName val="Import Det"/>
      <sheetName val="BN 01"/>
      <sheetName val="sum-all"/>
      <sheetName val="INPUT SHEET"/>
      <sheetName val="Lookup"/>
      <sheetName val="BOQ PL"/>
      <sheetName val="Ele Price"/>
      <sheetName val="JOB COSTING SHEET HVAC"/>
      <sheetName val="CF"/>
      <sheetName val="Services_InitialEst_UtilityServ"/>
      <sheetName val="SubmitCal"/>
      <sheetName val="Bill 1"/>
      <sheetName val="Bill 2"/>
      <sheetName val="Bill 3"/>
      <sheetName val="Bill 4"/>
      <sheetName val="Bill 5"/>
      <sheetName val="Bill 6"/>
      <sheetName val="Bill 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90.xml><?xml version="1.0" encoding="utf-8"?>
<externalLink xmlns="http://schemas.openxmlformats.org/spreadsheetml/2006/main">
  <externalBook xmlns:r="http://schemas.openxmlformats.org/officeDocument/2006/relationships" r:id="rId1">
    <sheetNames>
      <sheetName val="MATL"/>
      <sheetName val="#REF"/>
      <sheetName val="CashFlow"/>
      <sheetName val="BOI - Katunayaka-9.8.2013"/>
      <sheetName val="CF"/>
    </sheetNames>
    <sheetDataSet>
      <sheetData sheetId="0" refreshError="1"/>
      <sheetData sheetId="1" refreshError="1"/>
      <sheetData sheetId="2" refreshError="1"/>
      <sheetData sheetId="3" refreshError="1"/>
      <sheetData sheetId="4" refreshError="1"/>
    </sheetDataSet>
  </externalBook>
</externalLink>
</file>

<file path=xl/externalLinks/externalLink191.xml><?xml version="1.0" encoding="utf-8"?>
<externalLink xmlns="http://schemas.openxmlformats.org/spreadsheetml/2006/main">
  <externalBook xmlns:r="http://schemas.openxmlformats.org/officeDocument/2006/relationships" r:id="rId1">
    <sheetNames>
      <sheetName val="000000"/>
      <sheetName val="laroux"/>
      <sheetName val="XXXXXXXX"/>
      <sheetName val="OLD PRICES"/>
      <sheetName val="NORMS"/>
      <sheetName val="SUMMARY"/>
      <sheetName val="Sheet2"/>
      <sheetName val="Homagama Grounds-9.7.2013"/>
      <sheetName val="BOI - Katunayaka-9.8.2013"/>
      <sheetName val="PRECAST lightconc-II"/>
      <sheetName val="Bill 5 - Carpark"/>
      <sheetName val="Ragama"/>
      <sheetName val="Factor Sheet"/>
      <sheetName val="Variables"/>
      <sheetName val="Goodwill Calculation"/>
      <sheetName val="total"/>
      <sheetName val="Imp_HDPE PN16"/>
      <sheetName val="Sheet3"/>
      <sheetName val="Enclo.compar.EMP-RND"/>
      <sheetName val="D_Cntnts"/>
      <sheetName val="E_Summary"/>
      <sheetName val="Electrical"/>
      <sheetName val="ancillary"/>
      <sheetName val="Cost Factor Sheet"/>
      <sheetName val="OLD_PRICES"/>
      <sheetName val="Imp_HDPE_PN16"/>
      <sheetName val="D"/>
      <sheetName val="G"/>
      <sheetName val="E"/>
      <sheetName val="Factors"/>
      <sheetName val="Cost summary"/>
      <sheetName val="Factor"/>
      <sheetName val="Histry Price"/>
      <sheetName val="Room Type"/>
      <sheetName val="Basement2 DB"/>
      <sheetName val="Americas"/>
      <sheetName val="PLUMBING WORK ADDITIONS"/>
      <sheetName val="A"/>
      <sheetName val="Sheet1"/>
      <sheetName val="JOB COSTING SHEET HVAC"/>
      <sheetName val="Cover"/>
      <sheetName val="Schedules"/>
      <sheetName val="Keels-6.2.2014"/>
      <sheetName val="FlowHmgma Grds-9.7.2013-details"/>
      <sheetName val="BQ"/>
      <sheetName val="CF"/>
      <sheetName val="Input"/>
      <sheetName val="Chilly"/>
      <sheetName val="jul_data"/>
      <sheetName val="ELE Summary"/>
      <sheetName val="Import Siemens"/>
      <sheetName val="concrete"/>
      <sheetName val="VO Claim"/>
      <sheetName val="SMK"/>
      <sheetName val="LAN"/>
      <sheetName val="CE"/>
      <sheetName val="VILLAS"/>
      <sheetName val="VILLAS-MOCKUP"/>
      <sheetName val="VILLAS-MOCKUP (2)"/>
      <sheetName val="SMK (2)"/>
      <sheetName val="MKS(2)"/>
      <sheetName val="LAN(2)"/>
      <sheetName val="HK"/>
      <sheetName val="UnderWV"/>
      <sheetName val="Kaatsu H.A.M.T.T.C.-7 jan 10"/>
      <sheetName val="MAT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92.xml><?xml version="1.0" encoding="utf-8"?>
<externalLink xmlns="http://schemas.openxmlformats.org/spreadsheetml/2006/main">
  <externalBook xmlns:r="http://schemas.openxmlformats.org/officeDocument/2006/relationships" r:id="rId1">
    <sheetNames>
      <sheetName val="Summery"/>
      <sheetName val="BOQ"/>
      <sheetName val="P Sum"/>
      <sheetName val="Labour"/>
      <sheetName val="MATERIAL"/>
      <sheetName val="PLANT"/>
      <sheetName val="RBD"/>
      <sheetName val="Rate Sheet"/>
      <sheetName val="5.OH"/>
      <sheetName val="Keels-6.2.2014"/>
      <sheetName val="FlowHmgma Grds-9.7.2013-details"/>
      <sheetName val="Sheet2"/>
      <sheetName val="sep_data"/>
      <sheetName val="9-A (SVAT) New"/>
      <sheetName val="Factors"/>
      <sheetName val="Electrical"/>
      <sheetName val="Summary"/>
      <sheetName val="total components with Rates"/>
      <sheetName val="Sheet1"/>
      <sheetName val="BK Unit Rate"/>
      <sheetName val="3A"/>
      <sheetName val="A"/>
      <sheetName val="Material Prices"/>
      <sheetName val="Total"/>
      <sheetName val="Zones"/>
      <sheetName val="Ragama"/>
      <sheetName val="Dist Controls"/>
      <sheetName val="Input"/>
      <sheetName val="File Settings"/>
      <sheetName val="Forecast"/>
      <sheetName val="Variables"/>
      <sheetName val="B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93.xml><?xml version="1.0" encoding="utf-8"?>
<externalLink xmlns="http://schemas.openxmlformats.org/spreadsheetml/2006/main">
  <externalBook xmlns:r="http://schemas.openxmlformats.org/officeDocument/2006/relationships" r:id="rId1">
    <sheetNames>
      <sheetName val="concrete"/>
      <sheetName val="shuttering"/>
      <sheetName val="foot-slab reinft"/>
      <sheetName val="beam-reinft"/>
      <sheetName val="col-reinft"/>
      <sheetName val="Indices"/>
      <sheetName val="Key-notes"/>
      <sheetName val="beam-reinft-IIInd floor"/>
      <sheetName val="HPL"/>
      <sheetName val="COP Final"/>
      <sheetName val="RA-markate"/>
      <sheetName val="Summary"/>
      <sheetName val="cal"/>
      <sheetName val="7.0 CASHFLOW"/>
      <sheetName val="9.0 VARIATION"/>
      <sheetName val="MATL"/>
      <sheetName val="Set"/>
      <sheetName val="DETAILED  BOQ"/>
      <sheetName val="sq ftg detail"/>
      <sheetName val="lookup"/>
      <sheetName val="CFForecast detail"/>
      <sheetName val="Boq"/>
      <sheetName val="Break up Sheet"/>
      <sheetName val="Costing"/>
      <sheetName val="LIST OF MAKES"/>
      <sheetName val="Data"/>
      <sheetName val="Lead"/>
      <sheetName val="GBW"/>
      <sheetName val="Analysis"/>
      <sheetName val="para"/>
      <sheetName val="Macro1"/>
      <sheetName val="PPA Summary"/>
      <sheetName val="Actuals"/>
      <sheetName val="Sheet1"/>
      <sheetName val="Design"/>
      <sheetName val="Basic"/>
      <sheetName val="Conc-BP"/>
      <sheetName val="Vind-BtB"/>
      <sheetName val="Summary_Bank"/>
      <sheetName val="beam-reinft-machine rm"/>
      <sheetName val="fco"/>
      <sheetName val="一発シート"/>
      <sheetName val="labour"/>
      <sheetName val="Mechanical"/>
      <sheetName val="col-reinft1"/>
      <sheetName val="estimate"/>
      <sheetName val="except wiring"/>
      <sheetName val="INDIGINEOUS ITEMS "/>
      <sheetName val="Headings"/>
      <sheetName val="Basement Budget"/>
      <sheetName val="DataSheet"/>
      <sheetName val="PRECAST lightconc-II"/>
      <sheetName val="220KV CS"/>
      <sheetName val="RCC Rates"/>
      <sheetName val="1st -vpd"/>
      <sheetName val="foot-slab_reinft"/>
      <sheetName val="DETAILED__BOQ"/>
      <sheetName val="sq_ftg_detail"/>
      <sheetName val="beam-reinft-IIInd_floor"/>
      <sheetName val="CFForecast_detail"/>
      <sheetName val="Break_up_Sheet"/>
      <sheetName val="COP_Final"/>
      <sheetName val="LIST_OF_MAKES"/>
      <sheetName val="PPA_Summary"/>
      <sheetName val="foot-slab_reinft2"/>
      <sheetName val="DETAILED__BOQ2"/>
      <sheetName val="sq_ftg_detail2"/>
      <sheetName val="beam-reinft-IIInd_floor2"/>
      <sheetName val="CFForecast_detail2"/>
      <sheetName val="Break_up_Sheet2"/>
      <sheetName val="COP_Final2"/>
      <sheetName val="LIST_OF_MAKES2"/>
      <sheetName val="PPA_Summary2"/>
      <sheetName val="foot-slab_reinft1"/>
      <sheetName val="DETAILED__BOQ1"/>
      <sheetName val="sq_ftg_detail1"/>
      <sheetName val="beam-reinft-IIInd_floor1"/>
      <sheetName val="CFForecast_detail1"/>
      <sheetName val="Break_up_Sheet1"/>
      <sheetName val="COP_Final1"/>
      <sheetName val="LIST_OF_MAKES1"/>
      <sheetName val="PPA_Summary1"/>
      <sheetName val="foot-slab_reinft3"/>
      <sheetName val="DETAILED__BOQ3"/>
      <sheetName val="sq_ftg_detail3"/>
      <sheetName val="beam-reinft-IIInd_floor3"/>
      <sheetName val="CFForecast_detail3"/>
      <sheetName val="Break_up_Sheet3"/>
      <sheetName val="COP_Final3"/>
      <sheetName val="LIST_OF_MAKES3"/>
      <sheetName val="PPA_Summary3"/>
      <sheetName val="foot-slab_reinft4"/>
      <sheetName val="DETAILED__BOQ4"/>
      <sheetName val="sq_ftg_detail4"/>
      <sheetName val="beam-reinft-IIInd_floor4"/>
      <sheetName val="CFForecast_detail4"/>
      <sheetName val="Break_up_Sheet4"/>
      <sheetName val="COP_Final4"/>
      <sheetName val="LIST_OF_MAKES4"/>
      <sheetName val="PPA_Summary4"/>
      <sheetName val="foot-slab_reinft5"/>
      <sheetName val="DETAILED__BOQ5"/>
      <sheetName val="sq_ftg_detail5"/>
      <sheetName val="beam-reinft-IIInd_floor5"/>
      <sheetName val="CFForecast_detail5"/>
      <sheetName val="Break_up_Sheet5"/>
      <sheetName val="COP_Final5"/>
      <sheetName val="LIST_OF_MAKES5"/>
      <sheetName val="PPA_Summary5"/>
      <sheetName val="foot-slab_reinft6"/>
      <sheetName val="DETAILED__BOQ6"/>
      <sheetName val="sq_ftg_detail6"/>
      <sheetName val="beam-reinft-IIInd_floor6"/>
      <sheetName val="CFForecast_detail6"/>
      <sheetName val="Break_up_Sheet6"/>
      <sheetName val="COP_Final6"/>
      <sheetName val="LIST_OF_MAKES6"/>
      <sheetName val="PPA_Summary6"/>
      <sheetName val="foot-slab_reinft7"/>
      <sheetName val="DETAILED__BOQ7"/>
      <sheetName val="sq_ftg_detail7"/>
      <sheetName val="beam-reinft-IIInd_floor7"/>
      <sheetName val="CFForecast_detail7"/>
      <sheetName val="Break_up_Sheet7"/>
      <sheetName val="COP_Final7"/>
      <sheetName val="LIST_OF_MAKES7"/>
      <sheetName val="PPA_Summary7"/>
      <sheetName val="foot-slab_reinft8"/>
      <sheetName val="DETAILED__BOQ8"/>
      <sheetName val="sq_ftg_detail8"/>
      <sheetName val="beam-reinft-IIInd_floor8"/>
      <sheetName val="CFForecast_detail8"/>
      <sheetName val="Break_up_Sheet8"/>
      <sheetName val="COP_Final8"/>
      <sheetName val="LIST_OF_MAKES8"/>
      <sheetName val="PPA_Summary8"/>
      <sheetName val="foot-slab_reinft14"/>
      <sheetName val="DETAILED__BOQ14"/>
      <sheetName val="sq_ftg_detail14"/>
      <sheetName val="beam-reinft-IIInd_floor14"/>
      <sheetName val="CFForecast_detail14"/>
      <sheetName val="Break_up_Sheet14"/>
      <sheetName val="COP_Final14"/>
      <sheetName val="LIST_OF_MAKES14"/>
      <sheetName val="PPA_Summary14"/>
      <sheetName val="foot-slab_reinft10"/>
      <sheetName val="DETAILED__BOQ10"/>
      <sheetName val="sq_ftg_detail10"/>
      <sheetName val="beam-reinft-IIInd_floor10"/>
      <sheetName val="CFForecast_detail10"/>
      <sheetName val="Break_up_Sheet10"/>
      <sheetName val="COP_Final10"/>
      <sheetName val="LIST_OF_MAKES10"/>
      <sheetName val="PPA_Summary10"/>
      <sheetName val="foot-slab_reinft9"/>
      <sheetName val="DETAILED__BOQ9"/>
      <sheetName val="sq_ftg_detail9"/>
      <sheetName val="beam-reinft-IIInd_floor9"/>
      <sheetName val="CFForecast_detail9"/>
      <sheetName val="Break_up_Sheet9"/>
      <sheetName val="COP_Final9"/>
      <sheetName val="LIST_OF_MAKES9"/>
      <sheetName val="PPA_Summary9"/>
      <sheetName val="foot-slab_reinft11"/>
      <sheetName val="DETAILED__BOQ11"/>
      <sheetName val="sq_ftg_detail11"/>
      <sheetName val="beam-reinft-IIInd_floor11"/>
      <sheetName val="CFForecast_detail11"/>
      <sheetName val="Break_up_Sheet11"/>
      <sheetName val="COP_Final11"/>
      <sheetName val="LIST_OF_MAKES11"/>
      <sheetName val="PPA_Summary11"/>
      <sheetName val="foot-slab_reinft12"/>
      <sheetName val="DETAILED__BOQ12"/>
      <sheetName val="sq_ftg_detail12"/>
      <sheetName val="beam-reinft-IIInd_floor12"/>
      <sheetName val="CFForecast_detail12"/>
      <sheetName val="Break_up_Sheet12"/>
      <sheetName val="COP_Final12"/>
      <sheetName val="LIST_OF_MAKES12"/>
      <sheetName val="PPA_Summary12"/>
      <sheetName val="foot-slab_reinft13"/>
      <sheetName val="DETAILED__BOQ13"/>
      <sheetName val="sq_ftg_detail13"/>
      <sheetName val="beam-reinft-IIInd_floor13"/>
      <sheetName val="CFForecast_detail13"/>
      <sheetName val="Break_up_Sheet13"/>
      <sheetName val="COP_Final13"/>
      <sheetName val="LIST_OF_MAKES13"/>
      <sheetName val="PPA_Summary13"/>
      <sheetName val="foot-slab_reinft20"/>
      <sheetName val="DETAILED__BOQ20"/>
      <sheetName val="sq_ftg_detail20"/>
      <sheetName val="beam-reinft-IIInd_floor20"/>
      <sheetName val="CFForecast_detail20"/>
      <sheetName val="Break_up_Sheet20"/>
      <sheetName val="COP_Final20"/>
      <sheetName val="LIST_OF_MAKES20"/>
      <sheetName val="PPA_Summary20"/>
      <sheetName val="foot-slab_reinft15"/>
      <sheetName val="DETAILED__BOQ15"/>
      <sheetName val="sq_ftg_detail15"/>
      <sheetName val="beam-reinft-IIInd_floor15"/>
      <sheetName val="CFForecast_detail15"/>
      <sheetName val="Break_up_Sheet15"/>
      <sheetName val="COP_Final15"/>
      <sheetName val="LIST_OF_MAKES15"/>
      <sheetName val="PPA_Summary15"/>
      <sheetName val="foot-slab_reinft16"/>
      <sheetName val="DETAILED__BOQ16"/>
      <sheetName val="sq_ftg_detail16"/>
      <sheetName val="beam-reinft-IIInd_floor16"/>
      <sheetName val="CFForecast_detail16"/>
      <sheetName val="Break_up_Sheet16"/>
      <sheetName val="COP_Final16"/>
      <sheetName val="LIST_OF_MAKES16"/>
      <sheetName val="PPA_Summary16"/>
      <sheetName val="beam-reinft-machine_rm3"/>
      <sheetName val="INDIGINEOUS_ITEMS_3"/>
      <sheetName val="except_wiring3"/>
      <sheetName val="foot-slab_reinft17"/>
      <sheetName val="DETAILED__BOQ17"/>
      <sheetName val="sq_ftg_detail17"/>
      <sheetName val="beam-reinft-IIInd_floor17"/>
      <sheetName val="CFForecast_detail17"/>
      <sheetName val="Break_up_Sheet17"/>
      <sheetName val="COP_Final17"/>
      <sheetName val="LIST_OF_MAKES17"/>
      <sheetName val="PPA_Summary17"/>
      <sheetName val="beam-reinft-machine_rm"/>
      <sheetName val="INDIGINEOUS_ITEMS_"/>
      <sheetName val="except_wiring"/>
      <sheetName val="foot-slab_reinft18"/>
      <sheetName val="DETAILED__BOQ18"/>
      <sheetName val="sq_ftg_detail18"/>
      <sheetName val="beam-reinft-IIInd_floor18"/>
      <sheetName val="CFForecast_detail18"/>
      <sheetName val="Break_up_Sheet18"/>
      <sheetName val="COP_Final18"/>
      <sheetName val="LIST_OF_MAKES18"/>
      <sheetName val="PPA_Summary18"/>
      <sheetName val="beam-reinft-machine_rm1"/>
      <sheetName val="INDIGINEOUS_ITEMS_1"/>
      <sheetName val="except_wiring1"/>
      <sheetName val="foot-slab_reinft19"/>
      <sheetName val="DETAILED__BOQ19"/>
      <sheetName val="sq_ftg_detail19"/>
      <sheetName val="beam-reinft-IIInd_floor19"/>
      <sheetName val="CFForecast_detail19"/>
      <sheetName val="Break_up_Sheet19"/>
      <sheetName val="COP_Final19"/>
      <sheetName val="LIST_OF_MAKES19"/>
      <sheetName val="PPA_Summary19"/>
      <sheetName val="beam-reinft-machine_rm2"/>
      <sheetName val="INDIGINEOUS_ITEMS_2"/>
      <sheetName val="except_wiring2"/>
      <sheetName val="foot-slab_reinft21"/>
      <sheetName val="DETAILED__BOQ21"/>
      <sheetName val="sq_ftg_detail21"/>
      <sheetName val="beam-reinft-IIInd_floor21"/>
      <sheetName val="CFForecast_detail21"/>
      <sheetName val="Break_up_Sheet21"/>
      <sheetName val="COP_Final21"/>
      <sheetName val="LIST_OF_MAKES21"/>
      <sheetName val="PPA_Summary21"/>
      <sheetName val="beam-reinft-machine_rm4"/>
      <sheetName val="INDIGINEOUS_ITEMS_4"/>
      <sheetName val="except_wiring4"/>
      <sheetName val="foot-slab_reinft22"/>
      <sheetName val="DETAILED__BOQ22"/>
      <sheetName val="sq_ftg_detail22"/>
      <sheetName val="beam-reinft-IIInd_floor22"/>
      <sheetName val="CFForecast_detail22"/>
      <sheetName val="Break_up_Sheet22"/>
      <sheetName val="COP_Final22"/>
      <sheetName val="LIST_OF_MAKES22"/>
      <sheetName val="PPA_Summary22"/>
      <sheetName val="beam-reinft-machine_rm5"/>
      <sheetName val="INDIGINEOUS_ITEMS_5"/>
      <sheetName val="except_wiring5"/>
      <sheetName val="TBAL9697 -group wise  sdpl"/>
      <sheetName val="NetBQ"/>
      <sheetName val="Summ"/>
      <sheetName val="Fossil_DCF"/>
      <sheetName val="Fill this out first..."/>
      <sheetName val="Centrifugal pumps_cooling tower"/>
      <sheetName val="PRESSURIZATION units"/>
      <sheetName val="BASEMENT VENT _ DUCTED OPTION"/>
      <sheetName val="Details"/>
      <sheetName val="IO LIST"/>
      <sheetName val="OHT_Abs"/>
      <sheetName val="foot-slab_reinft23"/>
      <sheetName val="DETAILED__BOQ23"/>
      <sheetName val="sq_ftg_detail23"/>
      <sheetName val="beam-reinft-IIInd_floor23"/>
      <sheetName val="CFForecast_detail23"/>
      <sheetName val="Break_up_Sheet23"/>
      <sheetName val="COP_Final23"/>
      <sheetName val="LIST_OF_MAKES23"/>
      <sheetName val="PPA_Summary23"/>
      <sheetName val="beam-reinft-machine_rm6"/>
      <sheetName val="INDIGINEOUS_ITEMS_6"/>
      <sheetName val="except_wiring6"/>
      <sheetName val="foot-slab_reinft24"/>
      <sheetName val="DETAILED__BOQ24"/>
      <sheetName val="sq_ftg_detail24"/>
      <sheetName val="beam-reinft-IIInd_floor24"/>
      <sheetName val="CFForecast_detail24"/>
      <sheetName val="Break_up_Sheet24"/>
      <sheetName val="COP_Final24"/>
      <sheetName val="LIST_OF_MAKES24"/>
      <sheetName val="PPA_Summary24"/>
      <sheetName val="beam-reinft-machine_rm7"/>
      <sheetName val="INDIGINEOUS_ITEMS_7"/>
      <sheetName val="except_wiring7"/>
      <sheetName val="M.S."/>
      <sheetName val="DESIGN COEFFICIENTS"/>
      <sheetName val="RCC,Ret. Wall"/>
      <sheetName val="Loads"/>
      <sheetName val="Fin Sum"/>
      <sheetName val="Sheet 1"/>
      <sheetName val="Sheet3 (2)"/>
      <sheetName val="Publicbuilding"/>
      <sheetName val="9. Package split - Cost "/>
      <sheetName val="Codes"/>
      <sheetName val="Factors"/>
      <sheetName val="O3340-BOQ-workings-29.07"/>
      <sheetName val="IDCCALHYD-GOO"/>
      <sheetName val="COLUMN"/>
      <sheetName val="Staff Acco."/>
      <sheetName val="GR.slab-reinft"/>
      <sheetName val="dBase"/>
      <sheetName val="0200 Siteworks"/>
      <sheetName val="GF Columns"/>
      <sheetName val="works"/>
      <sheetName val="specs"/>
      <sheetName val="Hardware"/>
      <sheetName val="External"/>
      <sheetName val="SUPPLY -Sanitary Fixtures"/>
      <sheetName val="ITEMS FOR CIVIL TENDER"/>
      <sheetName val="Est To comp-KTRP"/>
      <sheetName val="JCR TOP(ITEM)-KTRP"/>
      <sheetName val="Monthly Turnover (Final)"/>
      <sheetName val="Monthly Programme"/>
      <sheetName val="7_0_CASHFLOW"/>
      <sheetName val="9_0_VARIATION"/>
      <sheetName val="7_0_CASHFLOW1"/>
      <sheetName val="9_0_VARIATION1"/>
      <sheetName val="Project Budget Worksheet"/>
      <sheetName val="Parameter"/>
      <sheetName val="5F"/>
      <sheetName val="F1a-Pile"/>
      <sheetName val="AC"/>
      <sheetName val="FP"/>
      <sheetName val="PLB"/>
      <sheetName val="Material"/>
      <sheetName val="Plant &amp;  Machinery"/>
      <sheetName val="Intro."/>
      <sheetName val="INPUT SHEET"/>
      <sheetName val="Sheet3"/>
      <sheetName val="RES-PLANNING"/>
      <sheetName val="Sheet2"/>
      <sheetName val="Detail"/>
      <sheetName val="Imp_HDPE PN16"/>
      <sheetName val="Rates"/>
      <sheetName val="factor"/>
      <sheetName val="Cable accessory Copper"/>
      <sheetName val="Cable accessory Al-Cu"/>
      <sheetName val="Cold Water Reticulation"/>
      <sheetName val="ACMV"/>
      <sheetName val="Petrol Store &amp; Dispen Annex A11"/>
      <sheetName val="Consolidated"/>
      <sheetName val="Cable Schedule Al_Cu"/>
      <sheetName val="Data Tel MATV"/>
      <sheetName val="Diesel Fill_Dispense Annex A10"/>
      <sheetName val="Lift Station"/>
      <sheetName val="FAB별"/>
      <sheetName val="CashFlow"/>
      <sheetName val="total components with Rates"/>
      <sheetName val="Vari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Set>
  </externalBook>
</externalLink>
</file>

<file path=xl/externalLinks/externalLink194.xml><?xml version="1.0" encoding="utf-8"?>
<externalLink xmlns="http://schemas.openxmlformats.org/spreadsheetml/2006/main">
  <externalBook xmlns:r="http://schemas.openxmlformats.org/officeDocument/2006/relationships" r:id="rId1">
    <sheetNames>
      <sheetName val="Fly - BOQ"/>
      <sheetName val="Fly - D"/>
      <sheetName val="BILL D"/>
      <sheetName val="Fly - F"/>
      <sheetName val="BILL F "/>
      <sheetName val="Fly - G"/>
      <sheetName val="BILL G"/>
      <sheetName val="Fly - H"/>
      <sheetName val="BILL H"/>
      <sheetName val="Fly - J"/>
      <sheetName val="BILL J"/>
      <sheetName val="Fly - K"/>
      <sheetName val="BILL K"/>
      <sheetName val="Fly - N"/>
      <sheetName val="BILL N"/>
      <sheetName val="Fly - Q"/>
      <sheetName val="BILL Q"/>
      <sheetName val="Fly - P"/>
      <sheetName val="BILL P ROOF"/>
      <sheetName val="Fly - R"/>
      <sheetName val="Fly - R1"/>
      <sheetName val="BILL R1"/>
      <sheetName val="Fly - R2"/>
      <sheetName val="BILL R2"/>
      <sheetName val="BILL R sum"/>
      <sheetName val="Fly - S"/>
      <sheetName val="BILL S"/>
      <sheetName val="Fly - T"/>
      <sheetName val="BILL T"/>
      <sheetName val="Fly V"/>
      <sheetName val="BILL V"/>
      <sheetName val="Fly - W"/>
      <sheetName val="BILL W"/>
      <sheetName val="Fly - Bld Sum"/>
      <sheetName val="building Summary"/>
      <sheetName val="RBD"/>
      <sheetName val="Rate Sheet"/>
      <sheetName val="RBD (2)"/>
      <sheetName val="Sheet2"/>
      <sheetName val="Total"/>
      <sheetName val="ancillary"/>
      <sheetName val="Material Prices"/>
      <sheetName val="Section 2-SCHEDULE OF DAYWORK"/>
      <sheetName val="Homagama Grounds-9.7.2013"/>
      <sheetName val="Keels-6.2.2014"/>
      <sheetName val="FlowHmgma Grds-9.7.2013-details"/>
      <sheetName val="Schedules"/>
      <sheetName val="Factors"/>
      <sheetName val="Sheet1"/>
      <sheetName val="Seachells-Pools-25.2.2014"/>
      <sheetName val="A"/>
      <sheetName val="Competitors"/>
      <sheetName val="DUTY FREE-DF VAT"/>
      <sheetName val="3.Labour"/>
      <sheetName val="1.Material"/>
      <sheetName val="MMI"/>
      <sheetName val="2.Machinery"/>
      <sheetName val="jul_data"/>
      <sheetName val="Goodwill Calculation"/>
      <sheetName val="Exchange Rates(rounded)"/>
      <sheetName val="3A"/>
      <sheetName val="concre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95.xml><?xml version="1.0" encoding="utf-8"?>
<externalLink xmlns="http://schemas.openxmlformats.org/spreadsheetml/2006/main">
  <externalBook xmlns:r="http://schemas.openxmlformats.org/officeDocument/2006/relationships" r:id="rId1">
    <sheetNames>
      <sheetName val="Budget"/>
      <sheetName val="A"/>
      <sheetName val="B"/>
      <sheetName val="C"/>
      <sheetName val="D"/>
      <sheetName val="GuestRm"/>
      <sheetName val="E"/>
      <sheetName val="kitchen equip"/>
      <sheetName val="F"/>
      <sheetName val="G (Not Used)"/>
      <sheetName val="H (Not Used)"/>
      <sheetName val="J (Not Used)"/>
      <sheetName val="K-L,N-R (Not Used)"/>
      <sheetName val="M (Not Used)"/>
      <sheetName val="Site Man Fee (Not Used)"/>
      <sheetName val="HEOS (Not Used)"/>
      <sheetName val="Sheet1"/>
      <sheetName val="Lookup"/>
      <sheetName val="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96.xml><?xml version="1.0" encoding="utf-8"?>
<externalLink xmlns="http://schemas.openxmlformats.org/spreadsheetml/2006/main">
  <externalBook xmlns:r="http://schemas.openxmlformats.org/officeDocument/2006/relationships" r:id="rId1">
    <sheetNames>
      <sheetName val="B-1 "/>
      <sheetName val="B-2"/>
      <sheetName val="B 3"/>
      <sheetName val="B-4"/>
      <sheetName val="S M B-4"/>
      <sheetName val="B-5"/>
      <sheetName val="S M B-5"/>
      <sheetName val="B-6"/>
      <sheetName val="B-7"/>
      <sheetName val="B-8"/>
      <sheetName val="DWS"/>
      <sheetName val="Main sum"/>
      <sheetName val="S M B-5 (2)"/>
      <sheetName val="Add 01"/>
      <sheetName val="Main sum 2"/>
      <sheetName val="Main sum 3"/>
      <sheetName val="Furniture"/>
      <sheetName val="Electrical"/>
      <sheetName val="Factor Sheet"/>
      <sheetName val="Histry Price"/>
      <sheetName val="Cover"/>
      <sheetName val="B-3.2 EB"/>
      <sheetName val="概総括1"/>
      <sheetName val="内訳書"/>
      <sheetName val="BOQ ACMV-MU"/>
      <sheetName val="GAE8'97"/>
      <sheetName val="Sheet3"/>
      <sheetName val="Chiller"/>
      <sheetName val="Budg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97.xml><?xml version="1.0" encoding="utf-8"?>
<externalLink xmlns="http://schemas.openxmlformats.org/spreadsheetml/2006/main">
  <externalBook xmlns:r="http://schemas.openxmlformats.org/officeDocument/2006/relationships" r:id="rId1">
    <sheetNames>
      <sheetName val="EW (T,D &amp; TV)"/>
      <sheetName val="WW1 (T,D &amp; TV)"/>
      <sheetName val="BOQ Offer - Cost"/>
      <sheetName val="Point Qty &amp; Load"/>
      <sheetName val="Load Sch, Cable Sel &amp; Qty"/>
      <sheetName val="WW2 (T,D &amp; TV)"/>
      <sheetName val="CCTV"/>
      <sheetName val="FIRE"/>
      <sheetName val="Other ELV"/>
      <sheetName val="LV Fed - ELV Wire, B Born Qty."/>
      <sheetName val="Guest Rm DB Cable"/>
      <sheetName val="Other DB's"/>
      <sheetName val="ELV Cables"/>
      <sheetName val="CT &amp; CL"/>
      <sheetName val="Sheet1"/>
      <sheetName val="Sheet3"/>
      <sheetName val="TOS"/>
      <sheetName val="Factors"/>
      <sheetName val="MDB-25.8.2014"/>
      <sheetName val="Section 2-SCHEDULE OF DAYWORK"/>
      <sheetName val="Wiring_Firemen"/>
      <sheetName val="ACS(1)"/>
      <sheetName val="CCTV(old)"/>
      <sheetName val="BQ"/>
      <sheetName val="CF"/>
      <sheetName val="PVC-Prices"/>
      <sheetName val="pipe supports cost"/>
      <sheetName val="App. A(contd)"/>
      <sheetName val="GAE8'9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98.xml><?xml version="1.0" encoding="utf-8"?>
<externalLink xmlns="http://schemas.openxmlformats.org/spreadsheetml/2006/main">
  <externalBook xmlns:r="http://schemas.openxmlformats.org/officeDocument/2006/relationships" r:id="rId1">
    <sheetNames>
      <sheetName val="Current Tariff"/>
      <sheetName val="Current Costs"/>
      <sheetName val="Current Cost Card $"/>
      <sheetName val="Current Margin card %"/>
      <sheetName val="Graph"/>
      <sheetName val="Zones"/>
      <sheetName val="New Tariff"/>
      <sheetName val="New Costs"/>
      <sheetName val="New Cost Card $"/>
      <sheetName val="New Margin card %"/>
      <sheetName val="Competitors"/>
      <sheetName val="New card vs old"/>
      <sheetName val="Contract Rates"/>
      <sheetName val="Contract Rates Schedule"/>
      <sheetName val="DOX 3 "/>
      <sheetName val="WPX 3 "/>
      <sheetName val="Module1"/>
      <sheetName val="Module2"/>
      <sheetName val="Module3"/>
      <sheetName val="Module4"/>
      <sheetName val="Module5"/>
      <sheetName val="Module6"/>
      <sheetName val="Module7"/>
      <sheetName val="Module8"/>
      <sheetName val="Module9"/>
      <sheetName val="Module10"/>
      <sheetName val="Module11"/>
      <sheetName val="Module12"/>
      <sheetName val="Module13"/>
      <sheetName val="Module14"/>
      <sheetName val="Module15"/>
      <sheetName val="Module16"/>
      <sheetName val="Module17"/>
      <sheetName val="Module18"/>
      <sheetName val="Module19"/>
      <sheetName val="Module20"/>
      <sheetName val="Module21"/>
      <sheetName val="Module22"/>
      <sheetName val="OLD PRICES"/>
      <sheetName val="Variables"/>
      <sheetName val="NOV fx rates"/>
      <sheetName val="NEW PRODUCT SALES FORCE"/>
      <sheetName val="Sheet3"/>
      <sheetName val="Assumptions"/>
      <sheetName val="A"/>
      <sheetName val="Keels-6.2.2014"/>
      <sheetName val="FlowHmgma Grds-9.7.2013-details"/>
      <sheetName val="Lookup"/>
      <sheetName val="jul_data"/>
      <sheetName val="Rate Sheet"/>
      <sheetName val="Sheet2"/>
      <sheetName val="Fcst Tool"/>
      <sheetName val="Admin"/>
      <sheetName val="3A"/>
      <sheetName val="Equipment"/>
      <sheetName val="Factor"/>
      <sheetName val="50000"/>
      <sheetName val="Cost summary"/>
      <sheetName val="Sheet1"/>
      <sheetName val="SEX"/>
      <sheetName val="WB"/>
      <sheetName val="RBD"/>
      <sheetName val="2005 - GAAP"/>
      <sheetName val="Section 2-SCHEDULE OF DAYWOR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99.xml><?xml version="1.0" encoding="utf-8"?>
<externalLink xmlns="http://schemas.openxmlformats.org/spreadsheetml/2006/main">
  <externalBook xmlns:r="http://schemas.openxmlformats.org/officeDocument/2006/relationships" r:id="rId1">
    <sheetNames>
      <sheetName val="concrete"/>
      <sheetName val="shuttering"/>
      <sheetName val="foot-slab reinft"/>
      <sheetName val="beam-reinft"/>
      <sheetName val="col-reinft"/>
      <sheetName val="Indices"/>
      <sheetName val="Indices-External"/>
      <sheetName val="Indices-unconf"/>
      <sheetName val="Indices-combined"/>
      <sheetName val="Key-notes"/>
      <sheetName val="Site Dev BOQ"/>
      <sheetName val="Break up Sheet"/>
      <sheetName val="dBase"/>
      <sheetName val="OLD PRICES"/>
      <sheetName val="Option2-EGB+Electric Chiller"/>
      <sheetName val="PROG_DATA"/>
      <sheetName val="Rate Analysis"/>
      <sheetName val="beam-reinft-machine rm"/>
      <sheetName val="FT-05-02IsoBOM"/>
      <sheetName val="analysis"/>
      <sheetName val="M.S."/>
      <sheetName val="beam_reinft"/>
      <sheetName val="meas-wp"/>
      <sheetName val="Codes"/>
      <sheetName val="beam-reinft-IIInd floor"/>
      <sheetName val="BOQ"/>
      <sheetName val="LIST OF MAKES"/>
      <sheetName val="BILLING SUMMARY"/>
      <sheetName val="Calc"/>
      <sheetName val="Factor"/>
      <sheetName val="MATL"/>
      <sheetName val="Sheet1"/>
      <sheetName val="Seachells-Pools-25.2.2014"/>
      <sheetName val="Zones"/>
      <sheetName val="2005 - GAA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00.xml><?xml version="1.0" encoding="utf-8"?>
<externalLink xmlns="http://schemas.openxmlformats.org/spreadsheetml/2006/main">
  <externalBook xmlns:r="http://schemas.openxmlformats.org/officeDocument/2006/relationships" r:id="rId1">
    <sheetNames>
      <sheetName val="d-safe DELUXE"/>
      <sheetName val="d_safe DELUXE"/>
      <sheetName val="d-safe specs"/>
      <sheetName val="CABLE DATA"/>
      <sheetName val="CCTV_EST1"/>
      <sheetName val="Parameter"/>
      <sheetName val="Cable-data"/>
      <sheetName val="WORK TABLE"/>
      <sheetName val="DI-ESTI"/>
      <sheetName val="Calculation"/>
      <sheetName val="Chiller"/>
      <sheetName val="total"/>
      <sheetName val="sep_data"/>
      <sheetName val="Homagama Grounds-9.7.2013"/>
      <sheetName val="BOI - Katunayaka-9.8.2013"/>
      <sheetName val="B-3.2 EB"/>
      <sheetName val="SLS CM"/>
      <sheetName val="Sheet3"/>
      <sheetName val="Parameters"/>
      <sheetName val="Unit Rates-Duty Free"/>
      <sheetName val="beam-reinf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01.xml><?xml version="1.0" encoding="utf-8"?>
<externalLink xmlns="http://schemas.openxmlformats.org/spreadsheetml/2006/main">
  <externalBook xmlns:r="http://schemas.openxmlformats.org/officeDocument/2006/relationships" r:id="rId1">
    <sheetNames>
      <sheetName val="A"/>
      <sheetName val="Legend"/>
      <sheetName val="GS1"/>
      <sheetName val="B-3"/>
      <sheetName val="Electrical"/>
      <sheetName val="FIRE ALARM"/>
      <sheetName val="50000"/>
      <sheetName val="Sheet2"/>
      <sheetName val="Sheet1"/>
      <sheetName val="Schedules"/>
      <sheetName val="B-2"/>
      <sheetName val="FACTORS"/>
      <sheetName val="MAIN"/>
      <sheetName val="1-Excavation"/>
      <sheetName val="2-Substructure"/>
      <sheetName val="3-Concrete"/>
      <sheetName val="4-Masonry"/>
      <sheetName val="5-Thermal &amp; Moisture"/>
      <sheetName val="Cost Factor Sheet"/>
      <sheetName val="概総括1"/>
      <sheetName val="Zones"/>
      <sheetName val="FORM5"/>
      <sheetName val="WB"/>
      <sheetName val="Price"/>
      <sheetName val="3C"/>
      <sheetName val="Services_InitialEst_UtilityServ"/>
      <sheetName val="Total Operations"/>
      <sheetName val="White Group"/>
      <sheetName val="FS"/>
      <sheetName val="sys_System"/>
      <sheetName val="Bill 5 - Carpark"/>
      <sheetName val="LS Price List"/>
      <sheetName val="AEX_IMPORTS"/>
      <sheetName val="Material Prices"/>
      <sheetName val="Rate Sheet"/>
      <sheetName val="内訳書"/>
      <sheetName val="Total"/>
      <sheetName val="BOQ"/>
      <sheetName val="RSM and Distributors"/>
      <sheetName val="Raw Data"/>
      <sheetName val="INPUT"/>
      <sheetName val="BOQ Com"/>
      <sheetName val="Unit Rates-Duty Fre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02.xml><?xml version="1.0" encoding="utf-8"?>
<externalLink xmlns="http://schemas.openxmlformats.org/spreadsheetml/2006/main">
  <externalBook xmlns:r="http://schemas.openxmlformats.org/officeDocument/2006/relationships" r:id="rId1">
    <sheetNames>
      <sheetName val="#1 IS"/>
      <sheetName val="#2a FY 08 PHASING"/>
      <sheetName val="#3a BS"/>
      <sheetName val="#4 FCF"/>
      <sheetName val="#2 Org Growth"/>
      <sheetName val="Lookup"/>
      <sheetName val="#3 Rev OI Bridge 07-08"/>
      <sheetName val="#3 Rev OI Bridge 08-09"/>
      <sheetName val="#3 Rev OI Bridge 09-10"/>
      <sheetName val="#3 Bridge Instructions"/>
      <sheetName val="#5 Restructuring"/>
      <sheetName val="#9 RIF Roll Forward"/>
      <sheetName val="#10 RIF Unit Roll Forward"/>
      <sheetName val="#11  Opps &amp; Risks"/>
      <sheetName val="jul_data"/>
      <sheetName val="Total"/>
      <sheetName val="Legend"/>
      <sheetName val="Parameters"/>
      <sheetName val="3.Labour"/>
      <sheetName val="1.Material"/>
      <sheetName val="MMI"/>
      <sheetName val="2.Machinery"/>
      <sheetName val="Product Groups"/>
      <sheetName val="Summary"/>
      <sheetName val="total components with Rates"/>
      <sheetName val="NonPerp"/>
      <sheetName val="Perp"/>
      <sheetName val="Sheet1"/>
      <sheetName val="Ragama"/>
      <sheetName val="13A"/>
      <sheetName val="Zones"/>
      <sheetName val="Input"/>
      <sheetName val="may_data"/>
      <sheetName val="Material Prices"/>
      <sheetName val="Keels-6.2.2014"/>
      <sheetName val="FlowHmgma Grds-9.7.2013-details"/>
      <sheetName val="OLD PRICES"/>
      <sheetName val="Rate Sheet"/>
      <sheetName val="NEW PRODUCT SALES FORCE"/>
      <sheetName val="Fac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03.xml><?xml version="1.0" encoding="utf-8"?>
<externalLink xmlns="http://schemas.openxmlformats.org/spreadsheetml/2006/main">
  <externalBook xmlns:r="http://schemas.openxmlformats.org/officeDocument/2006/relationships" r:id="rId1">
    <sheetNames>
      <sheetName val="Main"/>
      <sheetName val="Current Tariff"/>
      <sheetName val="Unit Costs"/>
      <sheetName val="Shipment costs"/>
      <sheetName val="Zones"/>
      <sheetName val="Competitors"/>
      <sheetName val="New Tariff"/>
      <sheetName val="Discount"/>
      <sheetName val="Rainbow"/>
      <sheetName val="Revenue Impact Details"/>
      <sheetName val="New card vs old"/>
      <sheetName val="Jumbo"/>
      <sheetName val="Proposed IB Tariff"/>
      <sheetName val="Full Tariff Shipments"/>
      <sheetName val="Inbound ISRs"/>
      <sheetName val="OB Zone List"/>
      <sheetName val="NOV fx rates"/>
      <sheetName val="OLD PRICES"/>
      <sheetName val="Factors"/>
      <sheetName val="ICAM_Prices_Raw"/>
      <sheetName val="CQ by Entity"/>
      <sheetName val="FY by Entity"/>
      <sheetName val="INDEX"/>
      <sheetName val="NQ by Entity"/>
      <sheetName val="CQ Bridge"/>
      <sheetName val="CQ Orders"/>
      <sheetName val="Org Growth"/>
      <sheetName val="Monthly Trend Act MOR pv"/>
      <sheetName val="sys_System"/>
      <sheetName val="may_data"/>
      <sheetName val="Rate Sheet"/>
      <sheetName val="Lookup"/>
      <sheetName val="3.Labour"/>
      <sheetName val="1.Material"/>
      <sheetName val="MMI"/>
      <sheetName val="2.Machinery"/>
      <sheetName val="Cost Factor Sheet"/>
      <sheetName val="Backlog Consol"/>
      <sheetName val="Rates"/>
      <sheetName val="QTY Pipe Laying"/>
      <sheetName val="3A"/>
      <sheetName val="50000"/>
      <sheetName val="Variables"/>
      <sheetName val="INPUT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204.xml><?xml version="1.0" encoding="utf-8"?>
<externalLink xmlns="http://schemas.openxmlformats.org/spreadsheetml/2006/main">
  <externalBook xmlns:r="http://schemas.openxmlformats.org/officeDocument/2006/relationships" r:id="rId1">
    <sheetNames>
      <sheetName val="SLS CM"/>
      <sheetName val="YTD vs Prior Yr"/>
      <sheetName val="Current vs Prior Qtr"/>
      <sheetName val="Qtr vs Prior Qtr"/>
      <sheetName val="SLS QTR"/>
      <sheetName val="Calc Inputs"/>
      <sheetName val="Schedules"/>
      <sheetName val="Sheet1"/>
      <sheetName val="Input"/>
      <sheetName val="Material Prices to site"/>
      <sheetName val="50000"/>
      <sheetName val="RESOURCES"/>
      <sheetName val="BASIC RATES"/>
      <sheetName val="INPUT - Recommended Schedules"/>
      <sheetName val="Kaatsu H.A.M.T.T.C.-7 jan 10"/>
      <sheetName val="2005 - GAAP"/>
      <sheetName val="Financial Summary"/>
      <sheetName val="d-safe specs"/>
      <sheetName val="Summary"/>
      <sheetName val="Title"/>
      <sheetName val="total components with Rates"/>
      <sheetName val="Main-Material"/>
      <sheetName val="Enclo.compar.EMP-RND"/>
      <sheetName val="RBD"/>
      <sheetName val="1A"/>
      <sheetName val="ICAM_Prices_Raw"/>
      <sheetName val="Variables"/>
      <sheetName val="Fcst Tool"/>
      <sheetName val="NonPerp"/>
      <sheetName val="Perp"/>
      <sheetName val="Oracle Account Master"/>
      <sheetName val="Start"/>
      <sheetName val="Product Groups"/>
      <sheetName val="Histry Price"/>
      <sheetName val="Zon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05.xml><?xml version="1.0" encoding="utf-8"?>
<externalLink xmlns="http://schemas.openxmlformats.org/spreadsheetml/2006/main">
  <externalBook xmlns:r="http://schemas.openxmlformats.org/officeDocument/2006/relationships" r:id="rId1">
    <sheetNames>
      <sheetName val="9-A (SVAT) New"/>
      <sheetName val="QU SUMMARY"/>
      <sheetName val="Detail Summary"/>
      <sheetName val="Material Supply Deduction"/>
      <sheetName val="Material Deduction - Damaged"/>
      <sheetName val="Machinery Deduction"/>
      <sheetName val="Labour Deduction"/>
      <sheetName val="Material at site"/>
      <sheetName val="Sheet1"/>
      <sheetName val="Sheet2"/>
      <sheetName val="BOQ"/>
      <sheetName val="12C-Fire"/>
      <sheetName val="成本多栏明细账"/>
      <sheetName val="Kaatsu H.A.M.T.T.C.-7 jan 10"/>
      <sheetName val="d-safe specs"/>
      <sheetName val="Parameters"/>
      <sheetName val="sys_System"/>
      <sheetName val="Weather"/>
      <sheetName val="TBLS"/>
      <sheetName val="EV_FC"/>
      <sheetName val="Schedules"/>
      <sheetName val="sept-plan"/>
      <sheetName val="Histry Price"/>
      <sheetName val="Price"/>
      <sheetName val="Summary"/>
      <sheetName val="total"/>
      <sheetName val="LET_BAFO"/>
      <sheetName val="tables"/>
      <sheetName val="Chiller"/>
      <sheetName val="estimate"/>
      <sheetName val="ICAM_Prices_Ra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06.xml><?xml version="1.0" encoding="utf-8"?>
<externalLink xmlns="http://schemas.openxmlformats.org/spreadsheetml/2006/main">
  <externalBook xmlns:r="http://schemas.openxmlformats.org/officeDocument/2006/relationships" r:id="rId1">
    <sheetNames>
      <sheetName val="Ragama"/>
      <sheetName val="Tangalle hos"/>
      <sheetName val="FS"/>
      <sheetName val="Factor"/>
      <sheetName val="EST"/>
      <sheetName val="③赤紙(日文)"/>
      <sheetName val="Sheet1"/>
      <sheetName val="Section 2-SCHEDULE OF DAYWORK"/>
      <sheetName val="Factors"/>
      <sheetName val="General"/>
      <sheetName val="Civil Works"/>
      <sheetName val="AEX_IMPORTS_on 320"/>
      <sheetName val="estim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7.xml><?xml version="1.0" encoding="utf-8"?>
<externalLink xmlns="http://schemas.openxmlformats.org/spreadsheetml/2006/main">
  <externalBook xmlns:r="http://schemas.openxmlformats.org/officeDocument/2006/relationships" r:id="rId1">
    <sheetNames>
      <sheetName val="conc-foot-gradeslab"/>
      <sheetName val="conc-lift-shear-retwall"/>
      <sheetName val="shuttering-footing"/>
      <sheetName val="shutter-lift-shear-retwall"/>
      <sheetName val="Chart1"/>
      <sheetName val="foot-slab reinft"/>
      <sheetName val="Indices"/>
      <sheetName val="Indices-final"/>
      <sheetName val="SH-C"/>
      <sheetName val="SH-F"/>
      <sheetName val="SH-A"/>
      <sheetName val="Book 1 Summary"/>
      <sheetName val="Aditya- BOQ-workings-23.08.04"/>
      <sheetName val="SSuppliers"/>
      <sheetName val="E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08.xml><?xml version="1.0" encoding="utf-8"?>
<externalLink xmlns="http://schemas.openxmlformats.org/spreadsheetml/2006/main">
  <externalBook xmlns:r="http://schemas.openxmlformats.org/officeDocument/2006/relationships" r:id="rId1">
    <sheetNames>
      <sheetName val="Pile"/>
      <sheetName val="GFA-Supded"/>
      <sheetName val="CPA33-34"/>
      <sheetName val="GFA"/>
      <sheetName val="CPA33-34 (9-8-01)"/>
      <sheetName val="Pile (9-8-01)"/>
      <sheetName val="Fr"/>
      <sheetName val="EW"/>
      <sheetName val="IW"/>
      <sheetName val="SC"/>
      <sheetName val="UFC"/>
      <sheetName val="Wdw"/>
      <sheetName val="Dr"/>
      <sheetName val="Ir"/>
      <sheetName val="WF"/>
      <sheetName val="FF"/>
      <sheetName val="Cg"/>
      <sheetName val="SFit"/>
      <sheetName val="SF"/>
      <sheetName val="paint"/>
      <sheetName val="CPA33_34"/>
      <sheetName val="SSuppliers"/>
      <sheetName val="Ind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09.xml><?xml version="1.0" encoding="utf-8"?>
<externalLink xmlns="http://schemas.openxmlformats.org/spreadsheetml/2006/main">
  <externalBook xmlns:r="http://schemas.openxmlformats.org/officeDocument/2006/relationships" r:id="rId1">
    <sheetNames>
      <sheetName val="Material"/>
      <sheetName val="000000"/>
      <sheetName val="mat"/>
      <sheetName val="Sheet1"/>
      <sheetName val="mattable"/>
      <sheetName val="Sheet3"/>
      <sheetName val="Manpower"/>
      <sheetName val="Furniture"/>
      <sheetName val="Keels-6.2.2014"/>
      <sheetName val="FlowHmgma Grds-9.7.2013-details"/>
      <sheetName val="Enclo.compar.EMP-RND"/>
      <sheetName val="B-2"/>
      <sheetName val="Cost Factor Sheet"/>
      <sheetName val="Load Sch, Cable Sel &amp; Qty"/>
      <sheetName val="Factor Sheet"/>
      <sheetName val="Price Sheet"/>
      <sheetName val="DRUM"/>
      <sheetName val="Ragama"/>
      <sheetName val="Dist Controls"/>
      <sheetName val="File Settings"/>
      <sheetName val="Forecast"/>
      <sheetName val="Assumptions"/>
      <sheetName val="Factors"/>
      <sheetName val="Ele Price"/>
      <sheetName val="BOQ PL"/>
      <sheetName val="BOQ ACMV-MU"/>
      <sheetName val="Chiller"/>
      <sheetName val="Price"/>
      <sheetName val="概総括1"/>
      <sheetName val="Zones"/>
      <sheetName val="Electrical"/>
      <sheetName val="Testing"/>
      <sheetName val="CPA33-3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10.xml><?xml version="1.0" encoding="utf-8"?>
<externalLink xmlns="http://schemas.openxmlformats.org/spreadsheetml/2006/main">
  <externalBook xmlns:r="http://schemas.openxmlformats.org/officeDocument/2006/relationships" r:id="rId1">
    <sheetNames>
      <sheetName val="Budget"/>
      <sheetName val="Actuals"/>
      <sheetName val="Forecast"/>
      <sheetName val="Variance"/>
      <sheetName val="BS Adjustments"/>
      <sheetName val="Upload"/>
      <sheetName val="Assumptions"/>
      <sheetName val="Retrieve"/>
      <sheetName val="Lookup"/>
      <sheetName val="1A"/>
      <sheetName val="Start"/>
      <sheetName val="Price"/>
      <sheetName val="SLS CM"/>
      <sheetName val="RSM and Distributors"/>
      <sheetName val="Seachells-Pools-25.2.2014"/>
      <sheetName val="Product Groups"/>
      <sheetName val="Oracle Account Master"/>
      <sheetName val="Sheet1"/>
      <sheetName val="Material Prices"/>
      <sheetName val="Total"/>
      <sheetName val="NEW PRODUCT SALES FORCE"/>
      <sheetName val="PLT-SUM"/>
      <sheetName val="Electrical"/>
      <sheetName val="Rate Sheet"/>
      <sheetName val="Title"/>
      <sheetName val="Furniture"/>
      <sheetName val="Histry Price"/>
      <sheetName val="Legend"/>
      <sheetName val="jul_data"/>
      <sheetName val="LET_BAFO"/>
      <sheetName val="Factors"/>
      <sheetName val="EST"/>
      <sheetName val="App. A(contd)"/>
      <sheetName val="OLD PRICES"/>
      <sheetName val="Exchange Rates(rounded)"/>
      <sheetName val="DDB Depr (Mths)"/>
      <sheetName val="ancillary"/>
      <sheetName val="Material"/>
      <sheetName val="covere"/>
      <sheetName val="NOV fx rates"/>
      <sheetName val="Factor"/>
      <sheetName val="Input"/>
      <sheetName val="Test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11.xml><?xml version="1.0" encoding="utf-8"?>
<externalLink xmlns="http://schemas.openxmlformats.org/spreadsheetml/2006/main">
  <externalBook xmlns:r="http://schemas.openxmlformats.org/officeDocument/2006/relationships" r:id="rId1">
    <sheetNames>
      <sheetName val="detailed"/>
      <sheetName val="price"/>
      <sheetName val="Summary"/>
      <sheetName val="item"/>
      <sheetName val="inWords"/>
      <sheetName val="Wordsdata"/>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Indices"/>
      <sheetName val="MAD BOH AC VRV + Multi"/>
      <sheetName val="MAD Guest Villa AC"/>
      <sheetName val="Histry Price"/>
      <sheetName val="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12.xml><?xml version="1.0" encoding="utf-8"?>
<externalLink xmlns="http://schemas.openxmlformats.org/spreadsheetml/2006/main">
  <externalBook xmlns:r="http://schemas.openxmlformats.org/officeDocument/2006/relationships" r:id="rId1">
    <sheetNames>
      <sheetName val="3 phase-calculations"/>
      <sheetName val="8 storey mall@col8-10.10.11"/>
      <sheetName val="Sama Viharaya-5.1.2012"/>
      <sheetName val="Airpt htl-seeduwa-vsd-8.12.11"/>
      <sheetName val="23.11.11"/>
      <sheetName val="Tharindu-22.11.11"/>
      <sheetName val="Omega Dye Room-21.11.11"/>
      <sheetName val="Royal Hospital-21.11.2011"/>
      <sheetName val="Thanuja-21.11.2011"/>
      <sheetName val="word&amp;deep cent.-18.11.11"/>
      <sheetName val="Sinahawa-15.9.2011"/>
      <sheetName val="320 Apt"/>
      <sheetName val="Dialog Axiata-17.10.2011"/>
      <sheetName val="Highway-pond"/>
      <sheetName val="Anton Bldg-15.11.2011"/>
      <sheetName val="cabana@avissawella-15.11.11"/>
      <sheetName val="pasikuda Hotel-ICC-31.10.2011"/>
      <sheetName val="low cost apt@rajgiriya 11.11.11"/>
      <sheetName val="gateway-kandy-5.11.2011"/>
      <sheetName val="trillium-ext.wk-5.4.2011"/>
      <sheetName val="Sascon Holdings-3.11.11"/>
      <sheetName val="Randheli Resort-Male-3.11.2011"/>
      <sheetName val="Lumbini-1.5kw -sp-7.6.2011"/>
      <sheetName val="Lokuhetti"/>
      <sheetName val="cinaman grand-2.11.2011"/>
      <sheetName val="Dimo - 2.11.2011"/>
      <sheetName val="mixed dev.1.11.11"/>
      <sheetName val="Nawaloka Geizer--17.10.201"/>
      <sheetName val="TATA Bldg@Maldives-28.10.2011"/>
      <sheetName val="Royal Hospital-24.10.2011"/>
      <sheetName val="Denji-Ingiriya-20.10.2011"/>
      <sheetName val="Botique Hotel - 1.7.2010"/>
      <sheetName val="Randholee-Kandy-18.10.2011"/>
      <sheetName val="Ramada-17.10.2011"/>
      <sheetName val="Bandaranayaka Hospital-17.10.11"/>
      <sheetName val="Hotel@Balapitiya-17.10.2011"/>
      <sheetName val="asoka randeniya res.-15.10.2011"/>
      <sheetName val="neptune-14.10.11"/>
      <sheetName val="house of fashion-12.10.2011"/>
      <sheetName val="Kalpitiya-10.10.11"/>
      <sheetName val="Dr.Vinnaraja Res-10.10.11"/>
      <sheetName val="Pinnaduwa - 10.10.2011"/>
      <sheetName val="ici bank"/>
      <sheetName val="Botique hotel-irigation-10.1.11"/>
      <sheetName val="Mr.Aslam Athas-6.10.2011"/>
      <sheetName val="Thanuja-3.10.2011"/>
      <sheetName val="Neptune-additional-30.9.2011"/>
      <sheetName val="Horana Factory - 29.9.2011"/>
      <sheetName val="EXCEL PRINT28.9.2011"/>
      <sheetName val="Ranna-28.9.2011"/>
      <sheetName val="Green Path-21.9.2011"/>
      <sheetName val="prime land-24.9.32011"/>
      <sheetName val="Ward Place-office-24.9.11"/>
      <sheetName val="St.Anthoneys-23.9.2011"/>
      <sheetName val="VALIBEL-HOUSE-22.9.2011"/>
      <sheetName val="kahatuduwa-toll gate-water dist"/>
      <sheetName val="St.Anthoneys-22.9.2011"/>
      <sheetName val="nine wells - 20.9.2011"/>
      <sheetName val="SASCON-20.9.2011"/>
      <sheetName val="sapthapadi-19.9.2011"/>
      <sheetName val="Nawaloka House-Kandy-17.9.2011"/>
      <sheetName val="Amaya Hills-17.9.2011"/>
      <sheetName val="Dimo"/>
      <sheetName val="COCO LAND - 16.9.2011"/>
      <sheetName val="Havelock City-15.9.2011"/>
      <sheetName val="emp-pond 14.9.11"/>
      <sheetName val="earls regency-13.9.11"/>
      <sheetName val="Damro House-13.9.2011"/>
      <sheetName val="printing store-13.9.11"/>
      <sheetName val="Sinahawa-12.9.11"/>
      <sheetName val="Cape Weligama-10.9.2011"/>
      <sheetName val="Skygarden-2.8.2011"/>
      <sheetName val="pathirana-5.9.2011"/>
      <sheetName val="Sinahawa-31.8.2011"/>
      <sheetName val="Dr.Shanika Res.-30.8.2011"/>
      <sheetName val="census &amp; stat-26.8.11"/>
      <sheetName val="single phase-calculations"/>
      <sheetName val="pathirana-24.8.2011"/>
      <sheetName val="Linea Aqua-23.8.11"/>
      <sheetName val="Anilana 10.8.2011"/>
      <sheetName val="Spa-pasikuda-2.8.2011"/>
      <sheetName val="Sec.Bldg-1.8.2011"/>
      <sheetName val="D.K.N.Asset-1.8.2011"/>
      <sheetName val="30.07.2011"/>
      <sheetName val="james....."/>
      <sheetName val="wickramaratna-sesilco-29.7.11"/>
      <sheetName val="pasikuda bay - booster-27.7.11"/>
      <sheetName val="David Peiris - 27.7.2011"/>
      <sheetName val="dinushika-26.7.2011"/>
      <sheetName val="Regency-Kundasale-25.7.2011"/>
      <sheetName val="worlds james lanka-25.7.2011"/>
      <sheetName val="Sky Garden-21.7.2011"/>
      <sheetName val="Dinushika-20.7.2011"/>
      <sheetName val="rajapaksha memorial -Revised"/>
      <sheetName val="Moratuwa University-15.7.2011"/>
      <sheetName val="kahatuduwa-toll gate-13.7.2011"/>
      <sheetName val="Dinushika-8.7.2011"/>
      <sheetName val="city mall-8.7.2011"/>
      <sheetName val="air pt.hamb-5.7.2011"/>
      <sheetName val="kandy-28.6.2011-rev1"/>
      <sheetName val="Damro-29.6.11"/>
      <sheetName val="1.1kw-SP-Boostr-mchl zoysa-30.5"/>
      <sheetName val="kandy-28.6.2011-Old"/>
      <sheetName val="MOUNT BATTN-VSD"/>
      <sheetName val="HNB-Jaffna-27.6.2011"/>
      <sheetName val="Thinadoo-maldives-27.6.2011"/>
      <sheetName val="mr.wickramasooriya's res-27.6.1"/>
      <sheetName val="customs-cascade-mr.malinda"/>
      <sheetName val="cust.ca - submission - 5 aug 10"/>
      <sheetName val="Hotel pearl grand-kasun-23.6.11"/>
      <sheetName val="L.B.Finance-21.6.2011"/>
      <sheetName val="house of fashion-17.6.2011"/>
      <sheetName val="Omegaline-transf-6.6.11"/>
      <sheetName val="Vajira Rd-16.6.2011"/>
      <sheetName val="shpg mall-house of fash.13.6.11"/>
      <sheetName val="shopping mall-fire-13.6.2011"/>
      <sheetName val="Bagatale9.6.11"/>
      <sheetName val="ICC-2.6.2011"/>
      <sheetName val="ppls bnk-30.5.2011"/>
      <sheetName val="4kw-Dinushika-28.5.2011"/>
      <sheetName val="4kw-thanuja-25.5.2011"/>
      <sheetName val="kandalama-20.5.2011"/>
      <sheetName val="Dinushika-19.5.2011"/>
      <sheetName val="Thirikumar Nadesan-12.5.2011"/>
      <sheetName val="nawaloka-kandy-11.5.2011"/>
      <sheetName val="BOI - Katunayaka (7.9.2010) (2)"/>
      <sheetName val="mr.khan residence-10.5.2011"/>
      <sheetName val="mr.ajith lanarolle-9.5.2011"/>
      <sheetName val="bank-dinushika-7.5.2011"/>
      <sheetName val="buddhist cult."/>
      <sheetName val="sola-yrd.lgt.pnl"/>
      <sheetName val="22kw-thanuja-28.4.11"/>
      <sheetName val="4kw-Arpt Gdn - 23.4.11"/>
      <sheetName val="apt-htl-sprl-15kw-20.4.20"/>
      <sheetName val="arpt.htl.cplx-30kw-20.4.2011"/>
      <sheetName val="dinushika-20.4.2011"/>
      <sheetName val="cape weligama"/>
      <sheetName val="maatsu-koswatta-8.4.2011"/>
      <sheetName val="thanuja-6.4.2011"/>
      <sheetName val="summary-serandib 6.4.2011"/>
      <sheetName val="tube well panel-serandib hotel-"/>
      <sheetName val="timex-fire panel-5.4.11"/>
      <sheetName val="MGIF @ Biyagama - 29.2.11"/>
      <sheetName val="Serandib hotel-29.3.11"/>
      <sheetName val="city hotel-wellawatta-26.3.11"/>
      <sheetName val="hikkaduwa - chaya"/>
      <sheetName val="Atomic Energy Authority 22.3.11"/>
      <sheetName val="Radison-Maldives-21.3.11"/>
      <sheetName val="ppls bnk-tngle-18.3.11"/>
      <sheetName val="chaya coral-18.3.11"/>
      <sheetName val="udara - 17.3.11"/>
      <sheetName val="Guil'd crescent-2-panel-17.3.11"/>
      <sheetName val="ppls bnk-tngle-fire pmp-17.3.11"/>
      <sheetName val="Anilana-16.3.11"/>
      <sheetName val="chaya coral"/>
      <sheetName val="Rhino Factory-11.3.11"/>
      <sheetName val="SunTan Hotel-pasikuda-8.3.11"/>
      <sheetName val="Fairway-Office Bldg"/>
      <sheetName val="MOUNTBATTON HOUSE"/>
      <sheetName val="Butique hotel-irrigation-10.1.1"/>
      <sheetName val="Botqe hotel-irriga'n sys10.1.11"/>
      <sheetName val="fairway office-5.3.2011"/>
      <sheetName val="lalani-caery college-21.2.11"/>
      <sheetName val="lalani-19.8.2010"/>
      <sheetName val="Anilana-Nilaweli-19.2.11"/>
      <sheetName val="Wickramaratna Cicilco-10.1.11"/>
      <sheetName val="Ramada Rsort-19.2.11"/>
      <sheetName val="barns pl. 29.1.11"/>
      <sheetName val="Bullers Residence-19.2.11"/>
      <sheetName val="L.B.Finance-13.2.11"/>
      <sheetName val="maga office-booster-11.2.11"/>
      <sheetName val="htwtr circulatin-pathi-11.2.11"/>
      <sheetName val="Hemachandra-8.2.11"/>
      <sheetName val="Maga Accomodation-Fire-8.2.11"/>
      <sheetName val="Maga Accomodation - FA"/>
      <sheetName val="intercontinental-7.2.11"/>
      <sheetName val="wijerama temple-5.2.11"/>
      <sheetName val="office bldg-1.2.11"/>
      <sheetName val="HEMACHANDRA-BOOSTER-29.1.11"/>
      <sheetName val="centra-super mkt-rjgiri 29.1.11"/>
      <sheetName val="sun &amp; fun 29.1.11"/>
      <sheetName val="mrs.d.n.n.perera 18.1.11"/>
      <sheetName val="Cntra Rajgiriya-fir -18.10.10"/>
      <sheetName val="office bldg@colombo-18.1.11"/>
      <sheetName val="campus-kohuwala-22.12.10"/>
      <sheetName val="1HP.SP.BOOSTER.18.1.11"/>
      <sheetName val="gunaratna res-storm wtr15.1.11"/>
      <sheetName val="HSBC-chairman 28.12.10 (2)"/>
      <sheetName val="Botque hot-trans pmp-13.1.11"/>
      <sheetName val="pump sup.proj-colombo-13.1.11"/>
      <sheetName val="Central Bank-10.1.11"/>
      <sheetName val="booster-thanuja-10.1.11"/>
      <sheetName val="sapthapadi-8.12.10"/>
      <sheetName val="Pasikuda-10.12.10"/>
      <sheetName val="Conventional hall-maldives"/>
      <sheetName val="HSBC-chairman 28.12.10"/>
      <sheetName val="Alpha-polgahawela-4.1.11"/>
      <sheetName val="Mawaramandiya 3.1.11"/>
      <sheetName val="Hemachandra - 3.1.11"/>
      <sheetName val="Mrs Raveendran 28.12.10"/>
      <sheetName val="auditor general dept"/>
      <sheetName val="HNB-Jaffna"/>
      <sheetName val="Hotel Schl-kandy-fire-10.12 (2)"/>
      <sheetName val="Hotel Schl-kandy-fire-10.12.10"/>
      <sheetName val="hambantota maga-2. (2.11.10)"/>
      <sheetName val="AGD - 4.11.10"/>
      <sheetName val="PEOPLES LEASING-10.5.10"/>
      <sheetName val="Hemachandra-7.12.10"/>
      <sheetName val="Litro-water feature-7.12.10"/>
      <sheetName val="hotl sch kndy 3kW fire-3"/>
      <sheetName val="emperor-ex fans-2.12.10"/>
      <sheetName val="Arpico - Kadawata"/>
      <sheetName val="chaaya coral-hikkaduwa-25.11.10"/>
      <sheetName val="kegalle 23.11.10"/>
      <sheetName val="fairmount-17.11.2010"/>
      <sheetName val="fairmount"/>
      <sheetName val="Arpico-Wattala-16.11.10"/>
      <sheetName val="service hotel-jaffna 16.11.10"/>
      <sheetName val="hotl sch kndy 3kW fire-31.3.10"/>
      <sheetName val="upto 5kW"/>
      <sheetName val="lalani-10.11.10"/>
      <sheetName val="Don Bosco-sub mersible pmp"/>
      <sheetName val="SLPA - 21.9.2010"/>
      <sheetName val="customs-motorized valve 6.11.10"/>
      <sheetName val="Mannar School-borehole-4.11.10"/>
      <sheetName val="Mannar School-Rev1-4.11.10"/>
      <sheetName val="ravindran-booster -4.11.10"/>
      <sheetName val="Army Holiday Resort-4.11.10"/>
      <sheetName val="sports complx-kalpitiya-4.11.10"/>
      <sheetName val="Census Dept-3.11.10"/>
      <sheetName val="cold stores-jaffna-3.11.10"/>
      <sheetName val="fairway-sewer"/>
      <sheetName val="Kenya-28.10.10"/>
      <sheetName val="matara port - 26.10.10"/>
      <sheetName val="Saegis Campus 20.8.2010"/>
      <sheetName val="jaykay fire - 26.10.10"/>
      <sheetName val="Dinushika  -  fire 25.10.10"/>
      <sheetName val="horana pc - 23.10.10"/>
      <sheetName val="Omega-irigation-23.10.10"/>
      <sheetName val="Institute of chatd acc-20.10.10"/>
      <sheetName val="airport hotl-hotwt.pmp-20.10.10"/>
      <sheetName val="labuduwa-galle-fire 19.10.10"/>
      <sheetName val="emperor-ponds-18.10.10"/>
      <sheetName val="sakya 15.10.10"/>
      <sheetName val="fairway-ex.work"/>
      <sheetName val="labuduwa-galle 9.10.10"/>
      <sheetName val="dinushika-5.10.2010"/>
      <sheetName val="temple trees-cascade-3.10.2010"/>
      <sheetName val="Sheet2"/>
      <sheetName val="Arpico Super 28.9.2010"/>
      <sheetName val="Alpha Apparel-29.10.2010"/>
      <sheetName val="ID Office 27.9.2010"/>
      <sheetName val="southern highway 25.9.2010"/>
      <sheetName val="Peoples Leasing-25.09.2010"/>
      <sheetName val="hamb.maga.55kW"/>
      <sheetName val="Akurana - 23.9.2010"/>
      <sheetName val="mr.lal-himbutana-23.9.2010"/>
      <sheetName val="mr.Nimal-21.9.2010"/>
      <sheetName val="Office Bldg-Borella-17.9.2010"/>
      <sheetName val="water board-Polonnaruwa-14.9.10"/>
      <sheetName val="Wijerama  -  15.9.2010"/>
      <sheetName val="kaumadhee 9.9.2010"/>
      <sheetName val="temple trees-1.5kw - booster"/>
      <sheetName val="BOI - Katunayaka (7.9.2010)"/>
      <sheetName val="Ave Maria Convent-2.9.10"/>
      <sheetName val="kettarama-31.8.2010"/>
      <sheetName val="wickramaratna factory-31.8.10"/>
      <sheetName val="kik panel comparison"/>
      <sheetName val="BOI - Mawatagama Sewer-16.8.10"/>
      <sheetName val="Dolpin Hotel"/>
      <sheetName val="Dinushika-I 300-3 - 25.8.2010"/>
      <sheetName val="Dinushika 20.8.10"/>
      <sheetName val="Unilever - Horana"/>
      <sheetName val="Dinushika-20.8.2010"/>
      <sheetName val="shell gas - 19.8.2010"/>
      <sheetName val="Dickoya Distilleries-19.8.2010"/>
      <sheetName val="single phase pumps"/>
      <sheetName val="kasun-18.8.2010"/>
      <sheetName val="Acram Cassim-18.8.10"/>
      <sheetName val="pamankada-karu-vindana-13.8.10"/>
      <sheetName val="Dinushika-13.8.2010"/>
      <sheetName val="Guwanpura-11 Aug 2010"/>
      <sheetName val="blank pricing format"/>
      <sheetName val="mr.pathirana-10aug2010"/>
      <sheetName val="thanuja-9.8.2010"/>
      <sheetName val="Dinushika-9 aug 2010"/>
      <sheetName val="ashrof omar-4 aug 2010"/>
      <sheetName val="chaaya-beruwala 3.8.10"/>
      <sheetName val="Hospital @ Tonga- 2.8.10 part 2"/>
      <sheetName val="Hospital @ Tonga-29.7.10 part 1"/>
      <sheetName val="Pasikuda"/>
      <sheetName val="emperor - Latest (21 July 2010)"/>
      <sheetName val="Seychelles 29.7.2010"/>
      <sheetName val="Ranjanas"/>
      <sheetName val="htl sh kdy .kW fire-Rev-22.7.10"/>
      <sheetName val="Aluthgama-Wickramaratna"/>
      <sheetName val="Northshore college-Battaramulla"/>
      <sheetName val="neptune-beruwala-29 june 2010"/>
      <sheetName val="NTU-Booster-1kW"/>
      <sheetName val="emperor - Dimo-KSB  29 jun"/>
      <sheetName val="NTU-cable only"/>
      <sheetName val="Airport Hotel-cable only"/>
      <sheetName val="Distilleries-Anuradhpra-12 July"/>
      <sheetName val="paranalekamge 9july2010"/>
      <sheetName val="New Medicare - punchi borella"/>
      <sheetName val="sample format-kik"/>
      <sheetName val="Risvi"/>
      <sheetName val="butique hotel@ alfd av-1.7.2010"/>
      <sheetName val="PANEL-2.2KW pump-Thanuja-5.7.10"/>
      <sheetName val="Duwa Road"/>
      <sheetName val="40 story bldg@bat-18june10"/>
      <sheetName val="kandy-nws&amp;db-7.6.10"/>
      <sheetName val="Neptune-Beruwala-17 june 2010"/>
      <sheetName val="emperor - Dimo-KSB - 17 june 10"/>
      <sheetName val="Barns Hall-Rev 1"/>
      <sheetName val="Admin Bldg-Hambantota 16.6. (2)"/>
      <sheetName val="Admin Bldg-Hambantota 16.6.2010"/>
      <sheetName val="Hotel Ramada-Kalutara 16.6.2010"/>
      <sheetName val="army-panagoda"/>
      <sheetName val="pump panel - 8 june 2010"/>
      <sheetName val="booster-pilimatalawa"/>
      <sheetName val="Dilaru"/>
      <sheetName val="Dickowita-fishery harbour"/>
      <sheetName val="Alutgama-submersible pump-rev2"/>
      <sheetName val="Alutgama-submersible pump-rev-1"/>
      <sheetName val="Matale-water board 26.5.10"/>
      <sheetName val="ex fan-emperor-25 may 2010"/>
      <sheetName val="ranala - 31.5.10"/>
      <sheetName val="ambatale 22kW-25 may 2010"/>
      <sheetName val="training center hostel-Kandy"/>
      <sheetName val="kaumadi-12.5.2010"/>
      <sheetName val="neptune hotel-12.5.10"/>
      <sheetName val="wickramaratna-alutgama-3kw"/>
      <sheetName val="phosphate - eppawala"/>
      <sheetName val="nallur-office complex-10 may 10"/>
      <sheetName val="emperor - Dimo-KSB (Rev 7 May )"/>
      <sheetName val="mr.nimal-30 April 2010"/>
      <sheetName val="SLLRDC-Rajagiriya"/>
      <sheetName val="mahadamana-sq.mech"/>
      <sheetName val="Seruwila-thanganagar 29Apr10"/>
      <sheetName val="water board-Anuradhapura"/>
      <sheetName val="BOI - Katunayaka (Rev-1)"/>
      <sheetName val="fire-thanuja-26.4.10"/>
      <sheetName val="jaffna-hotel GST"/>
      <sheetName val="gunaratna resident"/>
      <sheetName val="1.5kW-SP"/>
      <sheetName val="nallur-6 april 2010-pressure"/>
      <sheetName val="LD-2,.3,.75,1.5kW"/>
      <sheetName val="1.4.2010-amila"/>
      <sheetName val="tube well pump-1HP"/>
      <sheetName val="format"/>
      <sheetName val="emperor - grundfos"/>
      <sheetName val="KSB-chaava hotel-beruwala"/>
      <sheetName val="wickramasinghe's residence"/>
      <sheetName val="Mullipottana - 7.5kW"/>
      <sheetName val="dinushika-10 march 2010"/>
      <sheetName val="valible lanka - 8 jan 2010"/>
      <sheetName val="Vallebell Lanka - 9 march 2010"/>
      <sheetName val="sooriyawewa ground 9 march 10"/>
      <sheetName val="Akkaraipattu-Detail"/>
      <sheetName val="Akkaraipattu-Summary"/>
      <sheetName val="thanuja-8 march 2010"/>
      <sheetName val="Dinushika 5 March 10"/>
      <sheetName val="BOI - Katunayaka (Rev-1) "/>
      <sheetName val="mr.nimal"/>
      <sheetName val="thanuja-site@rajagiriya 26 feb "/>
      <sheetName val="Kamburugamuwa -Rev2-26 feb 10 "/>
      <sheetName val="Kamburugamuwa -Rev1-23 feb 10"/>
      <sheetName val="Kamburugamuwa"/>
      <sheetName val="alpha - polgahawela"/>
      <sheetName val="Dinushika - "/>
      <sheetName val="BOI - Katunayaka (Rev-1) (2)"/>
      <sheetName val="BOI - Panels To Venora "/>
      <sheetName val="mr.vajira wanigaraja-Thanuja"/>
      <sheetName val="Hotel@Centre Rd.-Thanuja-LD Pum"/>
      <sheetName val="Hotel @ Centre road - Thanuja"/>
      <sheetName val="5 Feb 10 - Dinushika"/>
      <sheetName val="Kaatsu H.A.M.T.T.C.-7 jan 10"/>
      <sheetName val="Sooriya wewa-Rev 1"/>
      <sheetName val="WADDUWA RESORT-SL ARMY"/>
      <sheetName val="wadduwa beach house-lalani"/>
      <sheetName val="Modern Research - Malabe-kaumad"/>
      <sheetName val="Rosen Safari - Udawalawe-thanuj"/>
      <sheetName val="Dinushika-25 jan 10"/>
      <sheetName val="PLC-power requirement"/>
      <sheetName val="lankem ceylon-pannala-11 jan 10"/>
      <sheetName val="panditharatna 8 jan 10"/>
      <sheetName val="pathirana-7 jan 10"/>
      <sheetName val="pathirana-8 jan 10"/>
      <sheetName val="Kolonnawa-water board 5 jan 10"/>
      <sheetName val="Manning Town, Narahenpita."/>
      <sheetName val="dinushika-23 dec 09"/>
      <sheetName val="cont.panel-booster pmp"/>
      <sheetName val="Maldives-w.house(pathirana)"/>
      <sheetName val="summary - emperor"/>
      <sheetName val="emperor - LD"/>
      <sheetName val="Joe Roche - Wellawatta"/>
      <sheetName val="cinamon grand"/>
      <sheetName val="Chilaw Hospital"/>
      <sheetName val="Composet Project - Kalutara"/>
      <sheetName val="Gower Street (mat.list)"/>
      <sheetName val="Gower Street"/>
      <sheetName val="Gunaratna Residence"/>
      <sheetName val="tuna factory - galle"/>
      <sheetName val="wharehouse - peliyagoda"/>
      <sheetName val="mr.fernandopulle"/>
      <sheetName val="factory-horana-mawgama"/>
      <sheetName val="M200 3 - duty-st.by"/>
      <sheetName val="emperor -fan starter-16 Nov 09"/>
      <sheetName val="Horana-mawugama"/>
      <sheetName val="Horana-Fire (2)"/>
      <sheetName val="Horana-Fire"/>
      <sheetName val="wadduwa-Beach Bunglow"/>
      <sheetName val="Polonnaruwa 6 Nov 09"/>
      <sheetName val="Sethsiripaya"/>
      <sheetName val="Gangeyaya"/>
      <sheetName val="thunkama"/>
      <sheetName val="rajapaksha memorial"/>
      <sheetName val="john keels apt."/>
      <sheetName val="CONDOMINIUM APT.kANDY"/>
      <sheetName val="Seruwila Projects"/>
      <sheetName val="sooriyawewa playgr."/>
      <sheetName val="Peramaduna Samagipura Soriyapur"/>
      <sheetName val="john keels apt.complex (Rev 1)"/>
      <sheetName val="john keels apt.complex"/>
      <sheetName val="peoples bank staff rest"/>
      <sheetName val="Orion"/>
      <sheetName val="Mxd dev - colpty"/>
      <sheetName val="Echo Homes"/>
      <sheetName val="5 hp-3 ph-DM200-3"/>
      <sheetName val="Galle-Wackwella"/>
      <sheetName val="Minuwangoda"/>
      <sheetName val="Meerigama"/>
      <sheetName val="Mrs.Gunaratna 0.34HP-300W-(old)"/>
      <sheetName val="Mrs.Gunaratna 0.34HP-300W- R1"/>
      <sheetName val="5.6kW-3PH (2)"/>
      <sheetName val="Walasmulla"/>
      <sheetName val="Marassana"/>
      <sheetName val="Weeraketiya"/>
      <sheetName val="Negombo - courts"/>
      <sheetName val="maldives 10.09.09"/>
      <sheetName val="Pallekele-2HP"/>
      <sheetName val="Maligakanda"/>
      <sheetName val="N'Eliya"/>
      <sheetName val="Anuradhapura-Thalawa"/>
      <sheetName val="Hanguranketha-old"/>
      <sheetName val="Suncity Property Dev."/>
      <sheetName val=".75 &amp; 4kw"/>
      <sheetName val="Centra Grand Resort-Maldive (2)"/>
      <sheetName val="New medical hospital-1.5kW-3p"/>
      <sheetName val="LD-Maldives"/>
      <sheetName val="kent holdings-alarm panel "/>
      <sheetName val="kandy - water board (15kW)"/>
      <sheetName val="mr.weerasingha-Ward Place"/>
      <sheetName val="BOI - Katunayaka"/>
      <sheetName val="h.sifaa@maldives"/>
      <sheetName val="37kW-3PH (50HP)-Maldives"/>
      <sheetName val="Sheet1"/>
      <sheetName val="Centra Grand Resort-Maldives-1"/>
      <sheetName val="temple trees M140-3 , DM140-3"/>
      <sheetName val="nelung arts-3hp-dol starter"/>
      <sheetName val="INDICATOR PANEL-fair way"/>
      <sheetName val="1.5kW-3phase-duty-standby"/>
      <sheetName val="1.5kW-3phase-01 pump"/>
      <sheetName val="synchronizing panel"/>
      <sheetName val="inline pump - 1.1kw"/>
      <sheetName val="pat cooray"/>
      <sheetName val="DM140-3 (3hp)"/>
      <sheetName val="nawaloka-29 Jan 09 (1.1kW)"/>
      <sheetName val="31kW-3PH"/>
      <sheetName val="45kW"/>
      <sheetName val="Sooriya wewa 11,22,5.5kW"/>
      <sheetName val="10HP-7.5kW-3PH"/>
      <sheetName val="5.6kW-3PH"/>
      <sheetName val="3kW-3PH"/>
      <sheetName val="Adikarigama"/>
      <sheetName val="sp-DOL-brkdwn-12.5.10"/>
      <sheetName val="mr.wickramasinghe's residence"/>
      <sheetName val="cascade-mr.malinda"/>
      <sheetName val=".34HP-300W-"/>
      <sheetName val="lalani-1.7.2010"/>
      <sheetName val="emperor - Dimo-KSB"/>
      <sheetName val="nawaloka-29 Jan 09"/>
      <sheetName val="25HP"/>
      <sheetName val="Sooriya wewa"/>
      <sheetName val="LD Pumps"/>
      <sheetName val="Modern Research - Malabe"/>
      <sheetName val="Rosen Safari - Udawalawe"/>
      <sheetName val="wadduwa"/>
      <sheetName val="320 apartments"/>
      <sheetName val="Botique hotel-irrigation-10.1.1"/>
      <sheetName val="motorized valve 6.11.10"/>
      <sheetName val="cascade - submission - 5 aug 10"/>
      <sheetName val="kandy-28.6.2011"/>
      <sheetName val="mr.nimal-1.5kw -sp-7.6.2011"/>
      <sheetName val="inushika-8.7.2011"/>
      <sheetName val="Ragama"/>
      <sheetName val="Homagama Grounds-9.7.2013"/>
      <sheetName val="Electrical"/>
      <sheetName val="BOI - Katunayaka-9.8.2013"/>
      <sheetName val="d-safe specs"/>
      <sheetName val="Rate Sheet"/>
      <sheetName val="Factor Sheet"/>
      <sheetName val="Parameters"/>
      <sheetName val="Seachells-Pools-25.2.2014"/>
      <sheetName val="2005 - GAAP"/>
      <sheetName val="LET_BAFO"/>
      <sheetName val="Enclo.compar.EMP-RND"/>
      <sheetName val="Histry Price"/>
      <sheetName val="Weather"/>
      <sheetName val="SSuppliers"/>
      <sheetName val="ancillary"/>
      <sheetName val="Factor"/>
      <sheetName val="NonPerp"/>
      <sheetName val="Perp"/>
      <sheetName val="Analysis"/>
      <sheetName val="산근"/>
      <sheetName val="TBLS"/>
      <sheetName val="EV_FC"/>
      <sheetName val="成本多栏明细账"/>
      <sheetName val="EV-FC"/>
      <sheetName val="WPR-IV"/>
      <sheetName val="Zones"/>
      <sheetName val="Factors"/>
      <sheetName val="Bill 5 - Carpark"/>
      <sheetName val="bill02"/>
      <sheetName val="Summary"/>
      <sheetName val="sep_data"/>
      <sheetName val="9-A (SVAT) New"/>
      <sheetName val="Section 2-SCHEDULE OF DAYWORK"/>
      <sheetName val="Bill No. 2 - Carpark"/>
      <sheetName val="Total"/>
      <sheetName val="G"/>
      <sheetName val="D"/>
      <sheetName val="E"/>
      <sheetName val="주식"/>
      <sheetName val="Cost summary"/>
      <sheetName val="CAP"/>
      <sheetName val="SCHEDULE"/>
      <sheetName val="pump panels"/>
      <sheetName val="Words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Set>
  </externalBook>
</externalLink>
</file>

<file path=xl/externalLinks/externalLink213.xml><?xml version="1.0" encoding="utf-8"?>
<externalLink xmlns="http://schemas.openxmlformats.org/spreadsheetml/2006/main">
  <externalBook xmlns:r="http://schemas.openxmlformats.org/officeDocument/2006/relationships" r:id="rId1">
    <sheetNames>
      <sheetName val="基本ﾃﾞｰﾀ"/>
      <sheetName val="MOS"/>
      <sheetName val="Rate Sheet"/>
      <sheetName val="Sheet5"/>
      <sheetName val="Factors"/>
      <sheetName val="Rate analysis 1"/>
      <sheetName val="BOQ Com"/>
      <sheetName val="ID Office-R1 - 23.8.2012"/>
      <sheetName val="Schnieder Price List-July 2012"/>
      <sheetName val="FitOutConfCentre"/>
      <sheetName val="Schedules"/>
      <sheetName val="A"/>
      <sheetName val="Bill 3 - Site Works"/>
      <sheetName val="B-2"/>
      <sheetName val="data"/>
      <sheetName val="Bill 04 - water supply tb "/>
      <sheetName val="Total Operations"/>
      <sheetName val="White Group"/>
      <sheetName val="CASH"/>
      <sheetName val="Cash2"/>
      <sheetName val="Z"/>
      <sheetName val="Electrical"/>
      <sheetName val="FORM5"/>
      <sheetName val="BOQ"/>
      <sheetName val="JOB COSTING SHEET ELEC"/>
      <sheetName val="SPT vs PHI"/>
      <sheetName val="S3 Architectural"/>
      <sheetName val="Ragama"/>
      <sheetName val="Ra  stair"/>
      <sheetName val="Material Prices"/>
      <sheetName val="WB"/>
      <sheetName val="aug_data"/>
      <sheetName val="BN 01"/>
      <sheetName val="CAP"/>
    </sheetNames>
    <definedNames>
      <definedName name="iteration" refersTo="=#NAM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14.xml><?xml version="1.0" encoding="utf-8"?>
<externalLink xmlns="http://schemas.openxmlformats.org/spreadsheetml/2006/main">
  <externalBook xmlns:r="http://schemas.openxmlformats.org/officeDocument/2006/relationships" r:id="rId1">
    <sheetNames>
      <sheetName val="Details"/>
      <sheetName val="SUMMARY"/>
      <sheetName val="Bill Sum"/>
      <sheetName val="B2"/>
      <sheetName val="RB2"/>
      <sheetName val="B3"/>
      <sheetName val="RB3"/>
      <sheetName val="B5"/>
      <sheetName val="RB5"/>
      <sheetName val="Rates"/>
      <sheetName val="Sample"/>
      <sheetName val="QTY Pipe Laying"/>
      <sheetName val="QTY Manhall"/>
      <sheetName val="RBD Manhall"/>
      <sheetName val="Overhead"/>
      <sheetName val="Furniture"/>
      <sheetName val="RBDfor derived Rates"/>
      <sheetName val="3.Labour"/>
      <sheetName val="1.Material"/>
      <sheetName val="MMI"/>
      <sheetName val="2.Machinery"/>
      <sheetName val="BILL 4 NEW multi"/>
      <sheetName val="10.Linkway"/>
      <sheetName val="11.Bus Shelter-Bay"/>
      <sheetName val="Assumptions"/>
      <sheetName val="Sheet5"/>
      <sheetName val="PLT-SUM"/>
      <sheetName val="Material Prices"/>
      <sheetName val="Electrical"/>
      <sheetName val="Database"/>
      <sheetName val="Date Ranges"/>
      <sheetName val="Ragama"/>
      <sheetName val="Homagama Grounds-9.7.2013"/>
      <sheetName val="BOI - Katunayaka-9.8.2013"/>
      <sheetName val="total components with Rates"/>
      <sheetName val="Admin"/>
      <sheetName val="Prior_CM"/>
      <sheetName val="MACHINERY"/>
      <sheetName val="MATERIAL"/>
      <sheetName val="SUBCON OR OTHER"/>
      <sheetName val="13A"/>
      <sheetName val="NonPerp"/>
      <sheetName val="Perp"/>
      <sheetName val="Sheet1"/>
      <sheetName val="Sheet2"/>
      <sheetName val="A"/>
      <sheetName val="Price"/>
      <sheetName val="Rate Sheet"/>
      <sheetName val="Keels-6.2.2014"/>
      <sheetName val="FlowHmgma Grds-9.7.2013-details"/>
      <sheetName val="Schedules"/>
      <sheetName val="SSuppliers"/>
      <sheetName val="Histry Price"/>
      <sheetName val="OpTrack"/>
      <sheetName val="B-2"/>
      <sheetName val="概総括1"/>
      <sheetName val="RW_Option"/>
      <sheetName val="Structural work"/>
      <sheetName val="Electrical Systems"/>
      <sheetName val="Plumbing Systems"/>
      <sheetName val="Air Conditioning"/>
      <sheetName val="External work"/>
      <sheetName val="Lookup"/>
      <sheetName val="NOV fx rates"/>
      <sheetName val="Legend"/>
      <sheetName val="Title"/>
      <sheetName val="1A"/>
      <sheetName val="MAIN"/>
      <sheetName val="data"/>
      <sheetName val="JOB COSTING SHEET ELEC"/>
      <sheetName val="OLD PRICES"/>
      <sheetName val="Distributor Details"/>
      <sheetName val="Fac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215.xml><?xml version="1.0" encoding="utf-8"?>
<externalLink xmlns="http://schemas.openxmlformats.org/spreadsheetml/2006/main">
  <externalBook xmlns:r="http://schemas.openxmlformats.org/officeDocument/2006/relationships" r:id="rId1">
    <sheetNames>
      <sheetName val="BOQ"/>
      <sheetName val="BOQ (2)"/>
      <sheetName val="Summery"/>
      <sheetName val="S-0"/>
      <sheetName val="S1-S"/>
      <sheetName val="S-1"/>
      <sheetName val="S2-S"/>
      <sheetName val="S-2"/>
      <sheetName val="S3-S"/>
      <sheetName val="S-3"/>
      <sheetName val="S4-S"/>
      <sheetName val="S-4"/>
      <sheetName val="S-5S"/>
      <sheetName val="S-5"/>
      <sheetName val="S6-S"/>
      <sheetName val="S-6"/>
      <sheetName val="DWS-S"/>
      <sheetName val="DWS"/>
      <sheetName val="S-7"/>
      <sheetName val="Partition"/>
      <sheetName val="UNITS"/>
      <sheetName val="MATERIAL"/>
      <sheetName val="MACHINERY"/>
      <sheetName val="MANPOWER"/>
      <sheetName val="SUBCON OR OTHER"/>
      <sheetName val="RBD_template"/>
      <sheetName val="Labour Rates"/>
      <sheetName val="Road Work Qty"/>
      <sheetName val="RBD (1)"/>
      <sheetName val="RBD (22)"/>
      <sheetName val="RBD (45)"/>
      <sheetName val="RBD (46)"/>
      <sheetName val="RBD (47)"/>
      <sheetName val="RBD (48)"/>
      <sheetName val="RBD (49)"/>
      <sheetName val="RBD (50)"/>
      <sheetName val="RBD (51)"/>
      <sheetName val="RBD (52)"/>
      <sheetName val="RBD (53)"/>
      <sheetName val="RBD (54)"/>
      <sheetName val="RBD (78)"/>
      <sheetName val="RBD (79)"/>
      <sheetName val="RBD (83)"/>
      <sheetName val="RBD (85)"/>
      <sheetName val="RBD (70)"/>
      <sheetName val="RBD (71)"/>
      <sheetName val="RBD (98)"/>
      <sheetName val="RBD (99)"/>
      <sheetName val="RBD (100)"/>
      <sheetName val="RBD (109)"/>
      <sheetName val="RBD (110)"/>
      <sheetName val="RBD (111)"/>
      <sheetName val="RBD (112)"/>
      <sheetName val="RBD (113)"/>
      <sheetName val="RBD (114)"/>
      <sheetName val="RBD (115)"/>
      <sheetName val="RBD (117)"/>
      <sheetName val="RBD (118)"/>
      <sheetName val="RBD (119)"/>
      <sheetName val="RBD (124)"/>
      <sheetName val="RBD (136)"/>
      <sheetName val="RBD (139)"/>
      <sheetName val="RBD (140)"/>
      <sheetName val="RBD (126)"/>
      <sheetName val="RBD (156)"/>
      <sheetName val="RBD (157)"/>
      <sheetName val="RBD (159)"/>
      <sheetName val="RBD (160)"/>
      <sheetName val="RBD (161)"/>
      <sheetName val="RBD (162)"/>
      <sheetName val="RBD (164)"/>
      <sheetName val="RBD (133)"/>
      <sheetName val="RBD (61)"/>
      <sheetName val="RBD (296)"/>
      <sheetName val="RBD (317)"/>
      <sheetName val="RBD (318)"/>
      <sheetName val="RBD (319)"/>
      <sheetName val="RBD (322)"/>
      <sheetName val="RBD (323)"/>
      <sheetName val="RBD (324)"/>
      <sheetName val="RBD (325)"/>
      <sheetName val="Sheet9"/>
      <sheetName val="Rates"/>
      <sheetName val="QTY Pipe Laying"/>
      <sheetName val="Ragama"/>
      <sheetName val="Assumptions"/>
      <sheetName val="Rate Sheet"/>
      <sheetName val="3.Labour"/>
      <sheetName val="1.Material"/>
      <sheetName val="MMI"/>
      <sheetName val="2.Machinery"/>
      <sheetName val="A"/>
      <sheetName val="Histry Price"/>
      <sheetName val="Enclo.compar.EMP-RND"/>
      <sheetName val="Material Prices"/>
      <sheetName val="Electrical"/>
      <sheetName val="Keels-6.2.2014"/>
      <sheetName val="FlowHmgma Grds-9.7.2013-details"/>
      <sheetName val="Lookup"/>
      <sheetName val="data"/>
      <sheetName val="Summary"/>
      <sheetName val="Sheet2"/>
      <sheetName val="jul_data"/>
      <sheetName val="Factor Sheet"/>
      <sheetName val="4"/>
      <sheetName val="1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Set>
  </externalBook>
</externalLink>
</file>

<file path=xl/externalLinks/externalLink216.xml><?xml version="1.0" encoding="utf-8"?>
<externalLink xmlns="http://schemas.openxmlformats.org/spreadsheetml/2006/main">
  <externalBook xmlns:r="http://schemas.openxmlformats.org/officeDocument/2006/relationships" r:id="rId1">
    <sheetNames>
      <sheetName val="AutoOpen Stub Data"/>
      <sheetName val="Design"/>
      <sheetName val="Guidelines"/>
      <sheetName val="ID Office-R1 - 23.8.2012"/>
      <sheetName val="Schnieder Price List-July 2012"/>
      <sheetName val="Build Up rate"/>
      <sheetName val="SH-A"/>
      <sheetName val="area converter"/>
      <sheetName val="D_Cntnts"/>
      <sheetName val="Factors"/>
      <sheetName val="E_Summary"/>
      <sheetName val="jul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17.xml><?xml version="1.0" encoding="utf-8"?>
<externalLink xmlns="http://schemas.openxmlformats.org/spreadsheetml/2006/main">
  <externalBook xmlns:r="http://schemas.openxmlformats.org/officeDocument/2006/relationships" r:id="rId1">
    <sheetNames>
      <sheetName val="WTRspry"/>
      <sheetName val="STMspry"/>
      <sheetName val="Module1"/>
      <sheetName val="Module2"/>
      <sheetName val="PsychroData"/>
      <sheetName val="Wordsdata"/>
      <sheetName val="jul_data"/>
      <sheetName val="Enclo.compar.EMP-RND"/>
      <sheetName val="Desig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18.xml><?xml version="1.0" encoding="utf-8"?>
<externalLink xmlns="http://schemas.openxmlformats.org/spreadsheetml/2006/main">
  <externalBook xmlns:r="http://schemas.openxmlformats.org/officeDocument/2006/relationships" r:id="rId1">
    <sheetNames>
      <sheetName val="jul_data"/>
      <sheetName val="aug_data"/>
      <sheetName val="sep_data"/>
      <sheetName val="SUMMARY"/>
      <sheetName val="Q4 Ops"/>
      <sheetName val="July Ops"/>
      <sheetName val="Aug Ops"/>
      <sheetName val="Sep Ops"/>
      <sheetName val="LET_BAFO"/>
      <sheetName val="SLS CM"/>
      <sheetName val="sys_System"/>
      <sheetName val="SSuppliers"/>
      <sheetName val="Goodwill Calculation"/>
      <sheetName val="Financial Summary"/>
      <sheetName val=" Factor  "/>
      <sheetName val="Histry Price"/>
      <sheetName val="Dist Controls"/>
      <sheetName val="File Settings"/>
      <sheetName val="Forecast"/>
      <sheetName val="ELE Summary"/>
      <sheetName val="RESOURCES"/>
      <sheetName val="BASIC RATES"/>
      <sheetName val="Material Prices to site"/>
      <sheetName val="AU Zone"/>
      <sheetName val="BOM"/>
      <sheetName val="Sheet1"/>
      <sheetName val="Product Groups"/>
      <sheetName val="total"/>
      <sheetName val="Start"/>
      <sheetName val="Sheet3"/>
      <sheetName val="RATE"/>
      <sheetName val="NEW PRODUCT SALES FORCE"/>
      <sheetName val="Bill 5 - Carpark"/>
      <sheetName val="Calc Inputs"/>
      <sheetName val="RBD"/>
      <sheetName val="Rate Sheet"/>
      <sheetName val="ancillary"/>
      <sheetName val="4"/>
      <sheetName val="Unit Rates-DF VAT (2)"/>
      <sheetName val="MDB-25.8.2014"/>
      <sheetName val="Ragama"/>
      <sheetName val="9-A (SVAT) New"/>
      <sheetName val="Furniture"/>
      <sheetName val="STMspry"/>
      <sheetName val="Psychro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19.xml><?xml version="1.0" encoding="utf-8"?>
<externalLink xmlns="http://schemas.openxmlformats.org/spreadsheetml/2006/main">
  <externalBook xmlns:r="http://schemas.openxmlformats.org/officeDocument/2006/relationships" r:id="rId1">
    <sheetNames>
      <sheetName val="Cooling off pit"/>
      <sheetName val="Store&amp;Toilet"/>
      <sheetName val="Asr-MSSR"/>
      <sheetName val="Publicbuilding"/>
      <sheetName val="STMspry"/>
      <sheetName val="PsychroData"/>
      <sheetName val="Enclo.compar.EMP-RND"/>
      <sheetName val="ancillary"/>
      <sheetName val="Sta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20.xml><?xml version="1.0" encoding="utf-8"?>
<externalLink xmlns="http://schemas.openxmlformats.org/spreadsheetml/2006/main">
  <externalBook xmlns:r="http://schemas.openxmlformats.org/officeDocument/2006/relationships" r:id="rId1">
    <sheetNames>
      <sheetName val="Valesco Paste"/>
      <sheetName val="UPDATE"/>
      <sheetName val="Main sum"/>
      <sheetName val="GEN SUM"/>
      <sheetName val="BILL SUM"/>
      <sheetName val="MOS"/>
      <sheetName val="Prelms"/>
      <sheetName val="Diwan"/>
      <sheetName val="Al Ghail"/>
      <sheetName val="Al Ahlia"/>
      <sheetName val="Provisional"/>
      <sheetName val="DAY WK"/>
      <sheetName val="Titles"/>
      <sheetName val="Title-2"/>
      <sheetName val="Letter"/>
      <sheetName val="CERTIFICATE"/>
      <sheetName val="CS"/>
      <sheetName val="Prices"/>
      <sheetName val="NOV fx rates"/>
      <sheetName val="Services_InitialEst_UtilityServ"/>
      <sheetName val="SPRINKLER"/>
      <sheetName val="SubmitCal"/>
      <sheetName val="Factors"/>
      <sheetName val="FS"/>
      <sheetName val="Det Import"/>
      <sheetName val="Publicbuild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21.xml><?xml version="1.0" encoding="utf-8"?>
<externalLink xmlns="http://schemas.openxmlformats.org/spreadsheetml/2006/main">
  <externalBook xmlns:r="http://schemas.openxmlformats.org/officeDocument/2006/relationships" r:id="rId1">
    <sheetNames>
      <sheetName val="SCHEDULE"/>
      <sheetName val="Shape Codes"/>
      <sheetName val="Database"/>
      <sheetName val="Help"/>
      <sheetName val="Setup"/>
      <sheetName val="About"/>
      <sheetName val="More"/>
      <sheetName val="page"/>
      <sheetName val="Info"/>
      <sheetName val="check"/>
      <sheetName val="schedule nos"/>
      <sheetName val="FitOutConfCentre"/>
      <sheetName val="Competitors"/>
      <sheetName val="AEX_IMPORTS_on 320"/>
      <sheetName val="Architectural works"/>
      <sheetName val="Factors"/>
      <sheetName val="Services_InitialEst_UtilityServ"/>
      <sheetName val="PVC-Prices"/>
      <sheetName val="pipe supports cost"/>
      <sheetName val="BQ"/>
      <sheetName val="w't table"/>
      <sheetName val="SPRINKLER"/>
      <sheetName val="CAP"/>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22.xml><?xml version="1.0" encoding="utf-8"?>
<externalLink xmlns="http://schemas.openxmlformats.org/spreadsheetml/2006/main">
  <externalBook xmlns:r="http://schemas.openxmlformats.org/officeDocument/2006/relationships" r:id="rId1">
    <sheetNames>
      <sheetName val="P1"/>
      <sheetName val="P2"/>
      <sheetName val="P3"/>
      <sheetName val="P4"/>
      <sheetName val="P5"/>
      <sheetName val="P6"/>
      <sheetName val="P7"/>
      <sheetName val="P8"/>
      <sheetName val="P9"/>
      <sheetName val="P10"/>
      <sheetName val="Sheet5"/>
      <sheetName val="Sheet6"/>
      <sheetName val="PI-KBR.WB"/>
      <sheetName val="Schedules"/>
      <sheetName val="Rates"/>
      <sheetName val="QTY Pipe Laying"/>
      <sheetName val="MDB-25.8.2014"/>
      <sheetName val="Rate Sheet"/>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23.xml><?xml version="1.0" encoding="utf-8"?>
<externalLink xmlns="http://schemas.openxmlformats.org/spreadsheetml/2006/main">
  <externalBook xmlns:r="http://schemas.openxmlformats.org/officeDocument/2006/relationships" r:id="rId1">
    <sheetNames>
      <sheetName val="Grand Summary"/>
      <sheetName val="Bill No. 2A.A"/>
      <sheetName val="Bill No. 2A.B"/>
      <sheetName val="Summery 2A"/>
      <sheetName val="2A-A. (2)"/>
      <sheetName val="2A-B. (2)"/>
      <sheetName val="2A.GS. (2)"/>
      <sheetName val=" Bill No. 2B.A "/>
      <sheetName val=" Bill No. 2B.B "/>
      <sheetName val="Summery 2B"/>
      <sheetName val="2B.A"/>
      <sheetName val="2B.B"/>
      <sheetName val="Bill No. 2C.A"/>
      <sheetName val="Bill No. 2C.B"/>
      <sheetName val="Summery 2C"/>
      <sheetName val="2C.A"/>
      <sheetName val="2C.B"/>
      <sheetName val="2C.GS"/>
      <sheetName val="Bill No. 2D.A"/>
      <sheetName val="Bill No. 2D.B"/>
      <sheetName val="Bill No. 2D.C"/>
      <sheetName val="Summery 2D"/>
      <sheetName val="2D.A"/>
      <sheetName val="2D.B"/>
      <sheetName val="2D.C"/>
      <sheetName val="Bill No. 2E"/>
      <sheetName val="BILL 02"/>
      <sheetName val="Bill No. 3A"/>
      <sheetName val="Bill No. 3B"/>
      <sheetName val=" BILL NO. 3C.A "/>
      <sheetName val=" BILL NO. 3C.B "/>
      <sheetName val=" BILL NO. 3C.C "/>
      <sheetName val=" BILL NO. 3C.D "/>
      <sheetName val=" BILL NO. 3C.E "/>
      <sheetName val=" BILL NO. 3C.F "/>
      <sheetName val=" BILL NO. 3C.G "/>
      <sheetName val=" BILL NO. 3C.H "/>
      <sheetName val="Summery 3C"/>
      <sheetName val=" Bill No. 3D "/>
      <sheetName val="Bill No. 3E"/>
      <sheetName val="Bill No. 3F"/>
      <sheetName val="BILL 03"/>
      <sheetName val="Bill No. 4A "/>
      <sheetName val="Bill No. 4B      "/>
      <sheetName val="Bill No. 4C.A "/>
      <sheetName val="Bill No. 4C.B "/>
      <sheetName val="Summary 4C"/>
      <sheetName val="Bill No. 4D.A  "/>
      <sheetName val="Bill No. 4D.B  "/>
      <sheetName val="Bill No. 4D.C  "/>
      <sheetName val="Bill No. 4D.D  "/>
      <sheetName val="Bill No. 4D.E  "/>
      <sheetName val="Bill No. 4D.F"/>
      <sheetName val="Bill No. 4D.G "/>
      <sheetName val="Bill No. 4D.H "/>
      <sheetName val="Bill No. 4D.J "/>
      <sheetName val="Bill No. 4D.K "/>
      <sheetName val="Bill No. 4D.L"/>
      <sheetName val="Bill No. 4D.M "/>
      <sheetName val="Bill No. 4D.N "/>
      <sheetName val="Bill No. 4D.P"/>
      <sheetName val="Bill No. 4D.Q"/>
      <sheetName val="Bill No. 4D.R "/>
      <sheetName val="Bill No. 4D.S  "/>
      <sheetName val="Bill No. 4D.T"/>
      <sheetName val="Bill No. 4D.U "/>
      <sheetName val="Bill No. 4D.V "/>
      <sheetName val="Bill No. 4D.W "/>
      <sheetName val="Bill No. 4D"/>
      <sheetName val="Bill No. 4E.A "/>
      <sheetName val="BILL NO. 4E.B   "/>
      <sheetName val="Sum 4"/>
      <sheetName val="Bill No. 4F "/>
      <sheetName val="BILL NO. 4"/>
      <sheetName val="RBD Budwhin"/>
      <sheetName val="Bill No. 6"/>
      <sheetName val="2A-A."/>
      <sheetName val="2A-B."/>
      <sheetName val="2A.GS."/>
      <sheetName val="RBD"/>
      <sheetName val="RBD -Indika"/>
      <sheetName val="RBD -Indika 2"/>
      <sheetName val="RBD -Indika 3"/>
      <sheetName val="RBD Indika 4"/>
      <sheetName val="Rates"/>
      <sheetName val="Ragama"/>
      <sheetName val="13A"/>
      <sheetName val="Sheet5"/>
      <sheetName val="Furniture"/>
      <sheetName val="Assumptions"/>
      <sheetName val="Rate Sheet"/>
      <sheetName val="pipes"/>
      <sheetName val="JOB COSTING SHEET ELEC"/>
      <sheetName val="Sheet1"/>
      <sheetName val="Weather"/>
      <sheetName val="Factor"/>
      <sheetName val="成本多栏明细账"/>
      <sheetName val="QTY Pipe Laying"/>
      <sheetName val="RSM and Distributors"/>
      <sheetName val="Cash Flow Worksheet"/>
      <sheetName val="MACHINERY"/>
      <sheetName val="MATERIAL"/>
      <sheetName val="SUBCON OR OTHER"/>
      <sheetName val="Material Prices"/>
      <sheetName val="may_data"/>
      <sheetName val="Enclo.compar.EMP-RN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Set>
  </externalBook>
</externalLink>
</file>

<file path=xl/externalLinks/externalLink224.xml><?xml version="1.0" encoding="utf-8"?>
<externalLink xmlns="http://schemas.openxmlformats.org/spreadsheetml/2006/main">
  <externalBook xmlns:r="http://schemas.openxmlformats.org/officeDocument/2006/relationships" r:id="rId1">
    <sheetNames>
      <sheetName val="may_data"/>
      <sheetName val="May"/>
      <sheetName val="jun_data"/>
      <sheetName val="June"/>
      <sheetName val="Sheet1"/>
      <sheetName val="Lookup"/>
      <sheetName val="Rates"/>
      <sheetName val="Assumptions"/>
      <sheetName val="Rate Sheet"/>
      <sheetName val="DDB Depr (Mths)"/>
      <sheetName val="Ragama"/>
      <sheetName val="sys_System"/>
      <sheetName val="Cash Flow Worksheet"/>
      <sheetName val="Calc Inputs"/>
      <sheetName val="Product Groups"/>
      <sheetName val="Schedules"/>
      <sheetName val="total components with Rates"/>
      <sheetName val="Sheet2"/>
      <sheetName val="CQ by Entity"/>
      <sheetName val="FY by Entity"/>
      <sheetName val="INDEX"/>
      <sheetName val="NQ by Entity"/>
      <sheetName val="CQ Bridge"/>
      <sheetName val="CQ Orders"/>
      <sheetName val="Org Growth"/>
      <sheetName val="Monthly Trend Act MOR pv"/>
      <sheetName val="13A"/>
      <sheetName val="B-2"/>
      <sheetName val="Factors"/>
      <sheetName val="Sheet5"/>
      <sheetName val="3.Labour"/>
      <sheetName val="1.Material"/>
      <sheetName val="MMI"/>
      <sheetName val="2.Machinery"/>
      <sheetName val="4"/>
      <sheetName val="Legend"/>
      <sheetName val="jul_data"/>
      <sheetName val="ancillary"/>
      <sheetName val="Keels-6.2.2014"/>
      <sheetName val="FlowHmgma Grds-9.7.2013-details"/>
      <sheetName val="Zones"/>
      <sheetName val="Prices"/>
      <sheetName val="Equip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25.xml><?xml version="1.0" encoding="utf-8"?>
<externalLink xmlns="http://schemas.openxmlformats.org/spreadsheetml/2006/main">
  <externalBook xmlns:r="http://schemas.openxmlformats.org/officeDocument/2006/relationships" r:id="rId1">
    <sheetNames>
      <sheetName val="Summary"/>
      <sheetName val="PILE CAP"/>
      <sheetName val="BEAM"/>
      <sheetName val="SLAB"/>
      <sheetName val="WALL"/>
      <sheetName val="COLUMN"/>
      <sheetName val="General"/>
      <sheetName val="Sheet5"/>
      <sheetName val="Sheet6"/>
      <sheetName val="Sheet7"/>
      <sheetName val="Sheet8"/>
      <sheetName val="Sheet9"/>
      <sheetName val="Sheet10"/>
      <sheetName val="Sheet11"/>
      <sheetName val="Sheet12"/>
      <sheetName val="Sheet13"/>
      <sheetName val="Sheet14"/>
      <sheetName val="Sheet15"/>
      <sheetName val="Sheet16"/>
      <sheetName val="#REF!"/>
      <sheetName val="柱"/>
      <sheetName val="总量统计"/>
      <sheetName val="Setting"/>
      <sheetName val="A翼写字楼"/>
      <sheetName val="sn"/>
      <sheetName val="SR6SUM"/>
      <sheetName val="Data"/>
      <sheetName val="dw list"/>
      <sheetName val="S-Hotel"/>
      <sheetName val="EXRATE"/>
      <sheetName val="RA-markate"/>
      <sheetName val="10"/>
      <sheetName val="节点（12-2立面）"/>
      <sheetName val="附件二"/>
      <sheetName val="GS"/>
      <sheetName val="下拉菜单"/>
      <sheetName val="KDB"/>
      <sheetName val="21"/>
      <sheetName val="第一部分定价"/>
      <sheetName val="Combo"/>
      <sheetName val="Mp-team 1"/>
      <sheetName val="BQMP"/>
      <sheetName val="BQMPALOC"/>
      <sheetName val="改加胶玻璃、室外栏杆"/>
      <sheetName val="基本资料"/>
      <sheetName val="3"/>
      <sheetName val="5"/>
      <sheetName val="投标材料清单 "/>
      <sheetName val="XLR_NoRangeSheet"/>
      <sheetName val="单位库"/>
      <sheetName val="清单汇总"/>
      <sheetName val="取费系数"/>
      <sheetName val="92#"/>
      <sheetName val="基 础"/>
      <sheetName val="开办费"/>
      <sheetName val="土建工程综合单价表"/>
      <sheetName val="土建工程综合单价组价明细表"/>
      <sheetName val="A-summary"/>
      <sheetName val="8.2-EX Summary"/>
      <sheetName val="貨品科目"/>
      <sheetName val="单价分析过程"/>
      <sheetName val="8"/>
      <sheetName val="工程材料"/>
      <sheetName val="Open"/>
      <sheetName val="建筑面积 "/>
      <sheetName val="rebrand"/>
      <sheetName val="7"/>
      <sheetName val="資料庫"/>
      <sheetName val="Main"/>
      <sheetName val="计算稿"/>
      <sheetName val="国产"/>
      <sheetName val="汇总"/>
      <sheetName val="Toolbox"/>
      <sheetName val="II-2 "/>
      <sheetName val="Z8"/>
      <sheetName val="Z2"/>
      <sheetName val="Z1"/>
      <sheetName val="面积指标"/>
      <sheetName val="工程量"/>
      <sheetName val="ANL"/>
      <sheetName val="Bill-2.1（1）"/>
      <sheetName val="地连墙"/>
      <sheetName val="2012-9科目余额表 (6)"/>
      <sheetName val="科目余额表 (5)"/>
      <sheetName val="工料测量师报告"/>
      <sheetName val="7.1APP3"/>
      <sheetName val="1"/>
      <sheetName val="G2TempSheet"/>
      <sheetName val="2.1设计部"/>
      <sheetName val="일반공사"/>
      <sheetName val="常用项目"/>
      <sheetName val="1#非桩基础 "/>
      <sheetName val="投标总结"/>
      <sheetName val="塔楼给排水清单 "/>
      <sheetName val="15#裙楼土建"/>
      <sheetName val="16#裙楼土建"/>
      <sheetName val="一号清单开办费"/>
      <sheetName val="15#塔楼土建"/>
      <sheetName val="裙楼土建成本分析"/>
      <sheetName val="17#非桩基础"/>
      <sheetName val="高层塔楼土建成本分析"/>
      <sheetName val="17#裙楼土建"/>
      <sheetName val="15#非桩基础"/>
      <sheetName val="16#非桩基础"/>
      <sheetName val="地库土建"/>
      <sheetName val="18#裙楼土建 "/>
      <sheetName val="11#塔楼土建"/>
      <sheetName val="18#非桩基础 "/>
      <sheetName val="10#裙楼土建"/>
      <sheetName val="Sheet1"/>
      <sheetName val="暗渠以西人防地库（暂定）"/>
      <sheetName val="应供量清单"/>
      <sheetName val="1 开办费汇总"/>
      <sheetName val="Sheet4"/>
      <sheetName val="合格证 (2)"/>
      <sheetName val="明細表"/>
      <sheetName val="银行账户"/>
      <sheetName val="月报表"/>
      <sheetName val="POWER ASSUMPTIONS"/>
      <sheetName val="材料"/>
      <sheetName val="T(B)Summary"/>
      <sheetName val="Contents"/>
      <sheetName val="1320CT"/>
      <sheetName val="Estimate Details"/>
      <sheetName val="做法表"/>
      <sheetName val="名称"/>
      <sheetName val="2"/>
      <sheetName val="6"/>
      <sheetName val="面积合计（藏）"/>
      <sheetName val="4"/>
      <sheetName val="设置"/>
      <sheetName val="费率及线密度"/>
      <sheetName val="内围地梁钢筋说明"/>
      <sheetName val="4、综合单价分析表"/>
      <sheetName val="材料价格"/>
      <sheetName val="工程量A"/>
      <sheetName val="清单"/>
      <sheetName val="单价报价明细表"/>
      <sheetName val="报价明细表"/>
      <sheetName val="费率表"/>
      <sheetName val="Financ. Overview"/>
      <sheetName val="钢筋费用细目"/>
      <sheetName val="材料表"/>
      <sheetName val="ben"/>
      <sheetName val="核算项目余额表"/>
      <sheetName val="雨棚"/>
      <sheetName val="정부노임단가"/>
      <sheetName val="coa"/>
      <sheetName val="장비당단가 (1)"/>
      <sheetName val="变量单"/>
      <sheetName val="SOR"/>
      <sheetName val="代号(线密度)藏"/>
      <sheetName val="S"/>
      <sheetName val="A"/>
      <sheetName val="ID"/>
      <sheetName val="M&amp;E"/>
      <sheetName val="FS"/>
      <sheetName val="M-Par"/>
      <sheetName val="Col"/>
      <sheetName val="Wall(int)"/>
      <sheetName val="Wall(ext) "/>
      <sheetName val="Reinf"/>
      <sheetName val="Summary of Cost"/>
      <sheetName val="G单价分析"/>
      <sheetName val="H单价分析"/>
      <sheetName val="N单价分析 "/>
      <sheetName val="C单价分析 "/>
      <sheetName val="一层电梯厅单价分析"/>
      <sheetName val="二层电梯厅单价分析"/>
      <sheetName val="参数"/>
      <sheetName val="Data Sheet"/>
      <sheetName val="A3地块围护结构"/>
      <sheetName val="감리을"/>
      <sheetName val="主材价格"/>
      <sheetName val="1."/>
      <sheetName val="计算表2"/>
      <sheetName val="含量表"/>
      <sheetName val="目录"/>
      <sheetName val="西塔项目工程名称 链接"/>
      <sheetName val="MOHKG"/>
      <sheetName val="eqpmad2"/>
      <sheetName val="施工开办费"/>
      <sheetName val="公共应急广播"/>
      <sheetName val="消防"/>
      <sheetName val="HW-SW Support"/>
      <sheetName val="Alcatel Final RFQ"/>
      <sheetName val="Input Item Qties"/>
      <sheetName val="Configuration"/>
      <sheetName val="REIN_HSE"/>
      <sheetName val="8.2施工电梯租赁"/>
      <sheetName val="dm"/>
      <sheetName val="基础项目"/>
      <sheetName val="设计部"/>
      <sheetName val="报价单"/>
      <sheetName val="ZB"/>
      <sheetName val="展示中心通风系统"/>
      <sheetName val="甲"/>
      <sheetName val="点表"/>
      <sheetName val="墙面工程"/>
      <sheetName val="汇总表"/>
      <sheetName val="5期B栋会所装饰精装修"/>
      <sheetName val="铝合金"/>
      <sheetName val="商铺零星计算"/>
      <sheetName val="住户大堂"/>
      <sheetName val="索引用表"/>
      <sheetName val="BA-Pl"/>
      <sheetName val="cashflow-commercial"/>
      <sheetName val="NPV"/>
      <sheetName val="Criteria"/>
      <sheetName val="工程量计算式"/>
      <sheetName val="编制说明"/>
      <sheetName val="预算200326"/>
      <sheetName val="BQ2.10"/>
      <sheetName val="BQ2-住宅部分"/>
      <sheetName val="BQ2-商业街部分"/>
      <sheetName val="Wl. Fin."/>
      <sheetName val="型材表"/>
      <sheetName val="材料单价表"/>
      <sheetName val="配置表"/>
      <sheetName val="BQ3-1"/>
      <sheetName val="BQ5.3-1"/>
      <sheetName val="中海城三期（01A及01E小学）"/>
      <sheetName val="中海城四期（02C）"/>
      <sheetName val="磨具余料庫"/>
      <sheetName val="D1#地库汇总BQ3.1-SUM"/>
      <sheetName val="A6#小高层地上汇总BQ5.1-SUM"/>
      <sheetName val="A7#小高层地上汇总BQ6.1-SUM"/>
      <sheetName val="A11#高层地上汇总BQ7.1-SUM"/>
      <sheetName val="A12#小高层地上汇总BQ8.1-SUM"/>
      <sheetName val="A15#高层汇总BQ9.1-SUM"/>
      <sheetName val="A16#高层汇总BQ10.1-SUM "/>
      <sheetName val="S1#裙楼地上汇总BQ4.1-SUM"/>
      <sheetName val="主要项目单价分析表 "/>
      <sheetName val="电线"/>
      <sheetName val="电缆"/>
      <sheetName val="SW-TEO"/>
      <sheetName val="材料名称标准表"/>
      <sheetName val="面积表"/>
      <sheetName val="二号清单"/>
      <sheetName val="BQ4.1.1至4.1.4"/>
      <sheetName val="G1102地块一区（省一建） "/>
      <sheetName val="计算表"/>
      <sheetName val="03定额库"/>
      <sheetName val="94定额库"/>
      <sheetName val="封面"/>
      <sheetName val="清单库"/>
      <sheetName val="单位"/>
      <sheetName val="单价分析表格式"/>
      <sheetName val="1#"/>
      <sheetName val="S1单价表"/>
      <sheetName val="电视监控"/>
      <sheetName val="Hic_150EOffice"/>
      <sheetName val="投标价目总计"/>
      <sheetName val="BQ2.1~基础工程及土方工程清单"/>
      <sheetName val="BQ2.2~GDG9#网点土方清单"/>
      <sheetName val="BQ3.1.1~地下室1土建清单"/>
      <sheetName val="BQ3.1.2~地下室1机电清单"/>
      <sheetName val="BQ4.1.1~GDG9#土建清单"/>
      <sheetName val="BQ4.1.2~GDG9#机电清单"/>
      <sheetName val="BQ5.1.1~GD6#土建清单"/>
      <sheetName val="BQ5.1.2~GD6#机电清单"/>
      <sheetName val="BQ5.2.1~GD7+GDG8#土建清单"/>
      <sheetName val="BQ5.2.2~GD7+GDG8#机电清单"/>
      <sheetName val="BQ5.3.1~GD8+GDG10#土建清单"/>
      <sheetName val="BQ5.3.2~GD8+GDG10#机电清单"/>
      <sheetName val="BQ5.4.1~GD9#土建清单 "/>
      <sheetName val="BQ5.4.2~GD9#机电清单"/>
      <sheetName val="00000ppy"/>
      <sheetName val="一层·C区"/>
      <sheetName val="CD"/>
      <sheetName val="计算稿-3#楼"/>
      <sheetName val="单价表"/>
      <sheetName val="B1-1清单外装修"/>
      <sheetName val="before"/>
      <sheetName val="数据"/>
      <sheetName val="机房工程B"/>
      <sheetName val="MC"/>
      <sheetName val="7#强电"/>
      <sheetName val="土建地上商业部分"/>
      <sheetName val="XL4Poppy"/>
      <sheetName val="14.桥架"/>
      <sheetName val="三号清单之电气工程综合单价分析"/>
      <sheetName val="三号清单之给排水工程综合单价分析"/>
      <sheetName val="企业格式单价分析表"/>
      <sheetName val="JOA首頁"/>
      <sheetName val="BQ"/>
      <sheetName val="Sheet1 (11)"/>
      <sheetName val="第二章 - 可视对讲系统"/>
      <sheetName val="工程计算书"/>
      <sheetName val="推拉"/>
      <sheetName val="G.1R-Shou COP Gf"/>
      <sheetName val="报价细目表"/>
      <sheetName val="PUR资料库"/>
      <sheetName val="甲指乙供材料报价表"/>
      <sheetName val="HP"/>
      <sheetName val="NE"/>
      <sheetName val="SUN"/>
      <sheetName val="SW"/>
      <sheetName val="Quick Input1"/>
      <sheetName val="开办费表"/>
      <sheetName val="柱计算"/>
      <sheetName val="Construction"/>
      <sheetName val="Modified Store"/>
      <sheetName val="E系列"/>
      <sheetName val="1-销售订单"/>
      <sheetName val="Budget vs Projection (CCL)"/>
      <sheetName val="压缩厂房"/>
      <sheetName val="数据有效性"/>
      <sheetName val="GRSummary"/>
      <sheetName val="含量"/>
      <sheetName val="Sheet2"/>
      <sheetName val="销售"/>
      <sheetName val="预算"/>
      <sheetName val="C楼"/>
      <sheetName val="计算式 -洪涛"/>
      <sheetName val="Arch"/>
      <sheetName val="投保项目"/>
      <sheetName val="计算底稿（土建）"/>
      <sheetName val="301-6"/>
      <sheetName val="GN2-Piping-Material"/>
      <sheetName val="一発シート"/>
      <sheetName val="Headings"/>
      <sheetName val="完成工事"/>
      <sheetName val="未成工事"/>
      <sheetName val="Menu"/>
      <sheetName val="電気設備表"/>
      <sheetName val="1#量统计"/>
      <sheetName val="包干费用表"/>
      <sheetName val="装修材料费"/>
      <sheetName val="华大二期-平板石材"/>
      <sheetName val="华大二期-异形石材）"/>
      <sheetName val="华大二期-安装分析"/>
      <sheetName val="给排水设置"/>
      <sheetName val="给排水计算"/>
      <sheetName val="取费"/>
      <sheetName val="承台(砖模) "/>
      <sheetName val="园林电气汇总"/>
      <sheetName val="专业分包"/>
      <sheetName val="电-79明细"/>
      <sheetName val="电-11明细（无费用，图纸包干）"/>
      <sheetName val="水-01明细"/>
      <sheetName val="电-24明细"/>
      <sheetName val="楼梯钢筋"/>
      <sheetName val="雨水管网"/>
      <sheetName val="污水管网 "/>
      <sheetName val="（7-9-11-5#)A户型涂料"/>
      <sheetName val="5-(1#)楼（B’-1户型）涂料量"/>
      <sheetName val="(2#楼涂料量（A'户型）"/>
      <sheetName val="材料损耗(不打印)"/>
      <sheetName val="理论重量"/>
      <sheetName val="计算式"/>
      <sheetName val="index"/>
      <sheetName val="D0026B3"/>
      <sheetName val="电气设置"/>
      <sheetName val="电气计算"/>
      <sheetName val="KKKKKKKK"/>
      <sheetName val="MOTOR"/>
      <sheetName val="总价"/>
      <sheetName val="表3"/>
      <sheetName val="主要材料价格表 (2)"/>
      <sheetName val="单价汇总"/>
      <sheetName val="Sum"/>
      <sheetName val="Cost Summary"/>
      <sheetName val="cable-data"/>
      <sheetName val="1S"/>
      <sheetName val="2S"/>
      <sheetName val="3.1"/>
      <sheetName val="3.1S"/>
      <sheetName val="3.2"/>
      <sheetName val="3.2S"/>
      <sheetName val="3.3"/>
      <sheetName val="3.3S"/>
      <sheetName val="3.4"/>
      <sheetName val="3.4S"/>
      <sheetName val="3.5"/>
      <sheetName val="3.5S"/>
      <sheetName val="3.6"/>
      <sheetName val="3.6S"/>
      <sheetName val="3S"/>
      <sheetName val="8S"/>
      <sheetName val="JCT80"/>
      <sheetName val="管理费、营业费、财务费"/>
      <sheetName val="Category"/>
      <sheetName val="AC"/>
      <sheetName val="건축내역"/>
      <sheetName val="房屋及建筑物"/>
      <sheetName val="资产负债表(本部原报)"/>
      <sheetName val="企业表一"/>
      <sheetName val="M-5A"/>
      <sheetName val="M-5C"/>
      <sheetName val="主营成本"/>
      <sheetName val="HVAC BoQ"/>
      <sheetName val="混凝土"/>
      <sheetName val="52-56栋标准层"/>
      <sheetName val="54栋住户大堂"/>
      <sheetName val="过渡数据表"/>
      <sheetName val="90门单价"/>
      <sheetName val="十八.门窗表,门框塞缝"/>
      <sheetName val="十六.零星,屋面做法计算表"/>
      <sheetName val="变更估算单 "/>
      <sheetName val="Assumptions"/>
      <sheetName val="外気負荷"/>
      <sheetName val="BS"/>
      <sheetName val="Details(VN)"/>
      <sheetName val="计算明细 "/>
      <sheetName val="2.1 受電設備棟"/>
      <sheetName val="2.2 受・防火水槽"/>
      <sheetName val="2.3 排水処理設備棟"/>
      <sheetName val="2.4 倉庫棟"/>
      <sheetName val="2.5 守衛棟"/>
      <sheetName val="ATS_mat'l_cost"/>
      <sheetName val="Sprial_GS_2001"/>
      <sheetName val="grille"/>
      <sheetName val="GS_duct_unit_cost"/>
      <sheetName val="mei_frp_unit_cost"/>
      <sheetName val="mei_GS_unit_cost "/>
      <sheetName val="pp_unit_cost"/>
      <sheetName val="Teflon"/>
      <sheetName val="Welded GS"/>
      <sheetName val="板房区目标成本"/>
      <sheetName val="按新系统"/>
      <sheetName val="措施费测算"/>
      <sheetName val=""/>
      <sheetName val="工程量计算"/>
      <sheetName val="CFA"/>
      <sheetName val="单价分析"/>
      <sheetName val="工程量清单计价表-塔楼-03"/>
      <sheetName val="辅助表"/>
      <sheetName val="Summary T(A)"/>
      <sheetName val="2006年10月"/>
      <sheetName val="乙供材料设备表"/>
      <sheetName val="单价"/>
      <sheetName val="Fly Sheets"/>
      <sheetName val="Fee Rate Summary"/>
      <sheetName val="P1012001"/>
      <sheetName val="Aging Datasheet"/>
      <sheetName val="ECCS_1 DataSheet"/>
      <sheetName val="KPI Datasheet"/>
      <sheetName val="G2C2"/>
      <sheetName val="一层板"/>
      <sheetName val="底板梁"/>
      <sheetName val="塔楼主体"/>
      <sheetName val="8、主材品牌表 "/>
      <sheetName val="快速代码 "/>
      <sheetName val="五号清单塔楼地上强电工程"/>
      <sheetName val="裙房"/>
      <sheetName val="明细表"/>
      <sheetName val="附表02.管材管件"/>
      <sheetName val="1-2A"/>
      <sheetName val="五金（华建+坚朗）"/>
      <sheetName val="材料表-王瑜"/>
      <sheetName val="架空层绿化回填土计算表"/>
      <sheetName val="架空层消防路回填土计算表"/>
      <sheetName val="门窗表"/>
      <sheetName val="T1T2T3T4门窗表"/>
      <sheetName val="总措施项目"/>
      <sheetName val="工程清单"/>
      <sheetName val="主材表"/>
      <sheetName val="材料库"/>
      <sheetName val="2.1收益测算及指标(均摊)"/>
      <sheetName val="成本多栏明细账"/>
      <sheetName val="5201.2004"/>
      <sheetName val="索引"/>
      <sheetName val="Bill 5 - Carpark"/>
      <sheetName val="10.Linkway"/>
      <sheetName val="11.Bus Shelter-Bay"/>
      <sheetName val="KG-LS"/>
      <sheetName val="C"/>
      <sheetName val="B1.2SUM"/>
      <sheetName val="B1.3SUM"/>
      <sheetName val="B1SUM"/>
      <sheetName val="15-1-A户型"/>
      <sheetName val="单价分析表"/>
      <sheetName val="分部分项清单(模板)"/>
      <sheetName val="材料汇总"/>
      <sheetName val="室内汇总"/>
      <sheetName val="综合单价分析表-详细"/>
      <sheetName val="土建直接费"/>
      <sheetName val="定额"/>
      <sheetName val="配合比"/>
      <sheetName val="封"/>
      <sheetName val="施工参考单价报价表"/>
      <sheetName val="其它工作项目报价清单"/>
      <sheetName val="弱电"/>
      <sheetName val="强电过路砼保护管 "/>
      <sheetName val="开办费项目"/>
      <sheetName val="模板参数"/>
      <sheetName val="送电装材统计"/>
      <sheetName val="BQ2.2"/>
      <sheetName val="BQ2.1"/>
      <sheetName val="125户型样板房"/>
      <sheetName val="BQ9 地下室（城市广场）(2)"/>
      <sheetName val="安装综合单价分析表"/>
      <sheetName val="slipsumpR"/>
      <sheetName val="@cover"/>
      <sheetName val="材料单价"/>
      <sheetName val="开发成本(PUD)"/>
      <sheetName val="开发产品变动表(Compelted units)"/>
      <sheetName val="2008实际(每月)"/>
      <sheetName val="2008实际(截至)"/>
      <sheetName val="2008予算(每月)"/>
      <sheetName val="2008予算(截至)"/>
      <sheetName val="目錄"/>
      <sheetName val="SkLabVariable"/>
      <sheetName val="11"/>
      <sheetName val="Pick List"/>
      <sheetName val="地梁"/>
      <sheetName val="B1.1SUM"/>
      <sheetName val="给排水工程综合单价分析"/>
      <sheetName val="系数516"/>
      <sheetName val="资料库"/>
      <sheetName val="基础工程量估算"/>
      <sheetName val="e"/>
      <sheetName val="Bill 3"/>
      <sheetName val="招标补充说明2017.6.3"/>
      <sheetName val="BQ2"/>
      <sheetName val="成本预测"/>
      <sheetName val="成本结转表"/>
      <sheetName val="uint"/>
      <sheetName val="Cost Plan -2"/>
      <sheetName val="eva"/>
      <sheetName val="1.投标总价排名对比表"/>
      <sheetName val="工程量分析表"/>
      <sheetName val="Validation source"/>
      <sheetName val="含量 "/>
      <sheetName val="一号清单－措施费（高层+叠拼+地下室）"/>
      <sheetName val="二号清单—协调服务费"/>
      <sheetName val="基本参数表"/>
      <sheetName val="Basis"/>
      <sheetName val="6号地给排水"/>
      <sheetName val="土方"/>
      <sheetName val="开关价"/>
      <sheetName val="0707版价格表"/>
      <sheetName val="电气工程综合单价分析"/>
      <sheetName val="综合单价分析表-高层"/>
      <sheetName val="多媒体查询"/>
      <sheetName val="中心机房"/>
      <sheetName val="会议"/>
      <sheetName val="停车场"/>
      <sheetName val="BA"/>
      <sheetName val="物业"/>
      <sheetName val="移动通信"/>
      <sheetName val="防雷接地"/>
      <sheetName val="乙供材料表"/>
      <sheetName val="Content"/>
      <sheetName val="gsde06"/>
      <sheetName val="Ref"/>
      <sheetName val="CHECKLIST"/>
      <sheetName val="WP-Matrix"/>
      <sheetName val="E_Summary"/>
      <sheetName val="D_Cntnts"/>
      <sheetName val="梁"/>
      <sheetName val="合约分判"/>
      <sheetName val="价格表"/>
      <sheetName val="型材线密度表"/>
      <sheetName val="MAT.8.1"/>
      <sheetName val="Elem Cost"/>
      <sheetName val="Parameters"/>
      <sheetName val="2区原方案钢筋网片"/>
      <sheetName val="装饰工程"/>
      <sheetName val="厨厕通用"/>
      <sheetName val="地坪"/>
      <sheetName val="成本单价表"/>
      <sheetName val="东一一层方柱砼"/>
      <sheetName val="测算依据"/>
      <sheetName val="B1材料表"/>
      <sheetName val="COMP"/>
      <sheetName val="付款进度表"/>
      <sheetName val="科目列表"/>
      <sheetName val="   合同台账  "/>
      <sheetName val="无合同工程及销费"/>
      <sheetName val="基本参数"/>
      <sheetName val="成本估算"/>
      <sheetName val="给水及消防水"/>
      <sheetName val="资金计划 "/>
      <sheetName val="费用表"/>
      <sheetName val="PREVCM"/>
      <sheetName val="高级双床房报价清单"/>
      <sheetName val="中区地下室"/>
      <sheetName val="北区上盖"/>
      <sheetName val="土建清单"/>
      <sheetName val="2.2红线内硬景工程 "/>
      <sheetName val="main1"/>
      <sheetName val="2.1红线外硬景工程"/>
      <sheetName val="List price"/>
      <sheetName val="실행예산-변경분"/>
      <sheetName val="钢构"/>
      <sheetName val="take off总包"/>
      <sheetName val="Settings"/>
      <sheetName val="土建计算书"/>
      <sheetName val="综合单价分析表"/>
      <sheetName val="CFS3"/>
      <sheetName val="2002Shipment"/>
      <sheetName val="二层"/>
      <sheetName val="2002"/>
      <sheetName val="Parametres"/>
      <sheetName val="금융비용"/>
      <sheetName val="表3.1增城土建工程综合单价组价明细表"/>
      <sheetName val="CSCCincSKR"/>
      <sheetName val="Assumption"/>
      <sheetName val="Hao Ji Xin"/>
      <sheetName val="T2"/>
      <sheetName val="風管工程"/>
      <sheetName val="4.1.1"/>
      <sheetName val="工程量计算式样表(正版)"/>
      <sheetName val="실행철강하도"/>
      <sheetName val="주식"/>
      <sheetName val="차액보증"/>
      <sheetName val="墙板"/>
      <sheetName val="空调风系统"/>
      <sheetName val="list"/>
      <sheetName val="B3.1"/>
      <sheetName val="B3.4"/>
      <sheetName val="定价标准"/>
      <sheetName val="比重及价格"/>
      <sheetName val="Öù"/>
      <sheetName val="×ÜÁ¿Í³¼Æ"/>
      <sheetName val="½Úµã£¨12-2Á¢Ãæ£©"/>
      <sheetName val="¸½¼þ¶þ"/>
      <sheetName val="ÏÂÀ­²Ëµ¥"/>
      <sheetName val="AÒíÐ´×ÖÂ¥"/>
      <sheetName val="»ù±¾×ÊÁÏ"/>
      <sheetName val="Í¶±ê²ÄÁÏÇåµ¥ "/>
      <sheetName val="µ¥Î»¿â"/>
      <sheetName val="Çåµ¥»ã×Ü"/>
      <sheetName val="µÚÒ»²¿·Ö¶¨¼Û"/>
      <sheetName val="»ù ´¡"/>
      <sheetName val="¿ª°ì·Ñ"/>
      <sheetName val="È¡·ÑÏµÊý"/>
      <sheetName val="ÍÁ½¨¹¤³Ì×ÛºÏµ¥¼Û±í"/>
      <sheetName val="ÍÁ½¨¹¤³Ì×ÛºÏµ¥¼Û×é¼ÛÃ÷Ï¸±í"/>
      <sheetName val="ØÆ·¿ÆÄ¿"/>
      <sheetName val="µ¥¼Û·ÖÎö¹ý³Ì"/>
      <sheetName val="¸Ä¼Ó½º²£Á§¡¢ÊÒÍâÀ¸¸Ë"/>
      <sheetName val="¹¤³Ì²ÄÁÏ"/>
      <sheetName val="½¨ÖþÃæ»ý "/>
      <sheetName val="¹¤³ÌÁ¿"/>
      <sheetName val="ÙYÁÏì"/>
      <sheetName val="¼ÆËã¸å"/>
      <sheetName val="¹ú²ú"/>
      <sheetName val="»ã×Ü"/>
      <sheetName val="Bill-2.1£¨1£©"/>
      <sheetName val="µØÁ¬Ç½"/>
      <sheetName val="2012-9¿ÆÄ¿Óà¶î±í (6)"/>
      <sheetName val="¿ÆÄ¿Óà¶î±í (5)"/>
      <sheetName val="¹¤ÁÏ²âÁ¿Ê¦±¨¸æ"/>
      <sheetName val="2.1Éè¼Æ²¿"/>
      <sheetName val="????"/>
      <sheetName val="³£ÓÃÏîÄ¿"/>
      <sheetName val="1#·Ç×®»ù´¡ "/>
      <sheetName val="Í¶±ê×Ü½á"/>
      <sheetName val="ËþÂ¥¸øÅÅË®Çåµ¥ "/>
      <sheetName val="15#È¹Â¥ÍÁ½¨"/>
      <sheetName val="16#È¹Â¥ÍÁ½¨"/>
      <sheetName val="Ò»ºÅÇåµ¥¿ª°ì·Ñ"/>
      <sheetName val="15#ËþÂ¥ÍÁ½¨"/>
      <sheetName val="È¹Â¥ÍÁ½¨³É±¾·ÖÎö"/>
      <sheetName val="17#·Ç×®»ù´¡"/>
      <sheetName val="Site Formation"/>
      <sheetName val="装饰部分清单"/>
      <sheetName val="安装部分清单"/>
      <sheetName val="evaluate承台"/>
      <sheetName val="下拉"/>
      <sheetName val="一次汇总"/>
      <sheetName val="19#楼(作废)"/>
      <sheetName val="2001取费"/>
      <sheetName val="计算书"/>
      <sheetName val="Proforma"/>
      <sheetName val="12106_SC Paid Status"/>
      <sheetName val="XL4Test5"/>
      <sheetName val="App2A - Staff Schl"/>
      <sheetName val="App5 - MCI"/>
      <sheetName val="计算表-建筑"/>
      <sheetName val="计算表-结构"/>
      <sheetName val="铝板统计"/>
      <sheetName val="sum(Flooring )"/>
      <sheetName val="工程量计算书"/>
      <sheetName val="2.1红线外ꐀ仦鴃垼"/>
      <sheetName val="CJA 2006"/>
      <sheetName val="A13栋清单"/>
      <sheetName val="主材"/>
      <sheetName val="FitOutConfCentre"/>
      <sheetName val="Cost bd-&quot;A&quot;"/>
      <sheetName val="전기"/>
      <sheetName val="내역서"/>
      <sheetName val="____"/>
      <sheetName val="내역"/>
      <sheetName val="JUJS400.XLS"/>
      <sheetName val="6变更工程量"/>
      <sheetName val="土地"/>
      <sheetName val="F8~9承台"/>
      <sheetName val="#REF"/>
      <sheetName val="BOL"/>
      <sheetName val="Oracle Account Master"/>
      <sheetName val="Ragama"/>
      <sheetName val="3.Labour"/>
      <sheetName val="1.Material"/>
      <sheetName val="MMI"/>
      <sheetName val="2.Machine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Set>
  </externalBook>
</externalLink>
</file>

<file path=xl/externalLinks/externalLink226.xml><?xml version="1.0" encoding="utf-8"?>
<externalLink xmlns="http://schemas.openxmlformats.org/spreadsheetml/2006/main">
  <externalBook xmlns:r="http://schemas.openxmlformats.org/officeDocument/2006/relationships" r:id="rId1">
    <sheetNames>
      <sheetName val="SOT"/>
      <sheetName val="M&amp;E"/>
      <sheetName val="PQTY"/>
      <sheetName val="Master BOC"/>
      <sheetName val="Project Info"/>
      <sheetName val="CA SUMMARY"/>
      <sheetName val="Pro-rated item (LTA)"/>
      <sheetName val="Pro-rated item (T1)"/>
      <sheetName val="Pro-rated item (T2)"/>
      <sheetName val="Pro-rated item (T3)"/>
      <sheetName val="1.Widened Road"/>
      <sheetName val="2.New Road"/>
      <sheetName val="3.Widened Flyover"/>
      <sheetName val="4.New Flyover"/>
      <sheetName val="5.Widened Veh Bridge"/>
      <sheetName val="6.New Veh Bridge "/>
      <sheetName val="7.Widened Veh Viaduct"/>
      <sheetName val="8.New Veh Viaduct"/>
      <sheetName val="9.POB"/>
      <sheetName val="10.Linkway"/>
      <sheetName val="11.Bus Shelter-Bay"/>
      <sheetName val="Ped Underpass"/>
      <sheetName val="Veh Underpass"/>
      <sheetName val="Furniture"/>
      <sheetName val="Sheet3"/>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27.xml><?xml version="1.0" encoding="utf-8"?>
<externalLink xmlns="http://schemas.openxmlformats.org/spreadsheetml/2006/main">
  <externalBook xmlns:r="http://schemas.openxmlformats.org/officeDocument/2006/relationships" r:id="rId1">
    <sheetNames>
      <sheetName val="BOQ"/>
      <sheetName val="5"/>
      <sheetName val="3A"/>
      <sheetName val="2"/>
      <sheetName val="2A (2)"/>
      <sheetName val="3"/>
      <sheetName val="2 (2)"/>
      <sheetName val="9"/>
      <sheetName val="2B.C"/>
      <sheetName val="3B.11"/>
      <sheetName val="B-3"/>
      <sheetName val="10.Linkway"/>
      <sheetName val="11.Bus Shelter-Ba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28.xml><?xml version="1.0" encoding="utf-8"?>
<externalLink xmlns="http://schemas.openxmlformats.org/spreadsheetml/2006/main">
  <externalBook xmlns:r="http://schemas.openxmlformats.org/officeDocument/2006/relationships" r:id="rId1">
    <sheetNames>
      <sheetName val="Valve total"/>
      <sheetName val="Weight"/>
      <sheetName val="Valve total(4units)"/>
      <sheetName val="Valve"/>
      <sheetName val="Control valve"/>
      <sheetName val="Specialty"/>
      <sheetName val="S.Cooler"/>
      <sheetName val="Pivot"/>
      <sheetName val="Pivot2"/>
      <sheetName val="Vendor 집계표"/>
      <sheetName val="Project별 집계표"/>
      <sheetName val="Vendor"/>
      <sheetName val="w't table"/>
      <sheetName val="mvac_Offer"/>
      <sheetName val="mvac_BOQ"/>
      <sheetName val="P"/>
      <sheetName val="Summary"/>
      <sheetName val="Factors"/>
      <sheetName val="Import Schedule"/>
      <sheetName val="Fcst Tool"/>
      <sheetName val="Wiring_Firemen"/>
      <sheetName val="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29.xml><?xml version="1.0" encoding="utf-8"?>
<externalLink xmlns="http://schemas.openxmlformats.org/spreadsheetml/2006/main">
  <externalBook xmlns:r="http://schemas.openxmlformats.org/officeDocument/2006/relationships" r:id="rId1">
    <sheetNames>
      <sheetName val="0000"/>
      <sheetName val="JOB COSTING SHEET ELEC"/>
      <sheetName val="Summary"/>
      <sheetName val="A) Equipment(VRV)"/>
      <sheetName val="B) PIPING"/>
      <sheetName val="C) Equipment(Ventilation)"/>
      <sheetName val="D-E"/>
      <sheetName val="Legal Risk Analysis"/>
      <sheetName val="15-01-2018_HVAC_BOQ_127 OFFICE_"/>
      <sheetName val="MixBed"/>
      <sheetName val="Room Type"/>
      <sheetName val="Basement2 DB"/>
      <sheetName val="Financial Analysis"/>
      <sheetName val="may_data"/>
      <sheetName val="Panels (DWG)"/>
      <sheetName val="Material Prices"/>
      <sheetName val="DRUM"/>
      <sheetName val="13A"/>
      <sheetName val="B-3"/>
      <sheetName val="Sheet2"/>
      <sheetName val="Rate Sheet"/>
      <sheetName val="DDB Depr (Mths)"/>
      <sheetName val="Schedules"/>
      <sheetName val="Factors"/>
      <sheetName val="Seachells-Pools-25.2.2014"/>
      <sheetName val="A"/>
      <sheetName val="Rates"/>
      <sheetName val="Product Groups"/>
      <sheetName val="Sheet5"/>
      <sheetName val="TBLS"/>
      <sheetName val="EV_FC"/>
      <sheetName val="INPUT SHEET"/>
      <sheetName val="Assumptions"/>
      <sheetName val="PLT-SUM"/>
      <sheetName val="Manpower"/>
      <sheetName val="General"/>
      <sheetName val="Furniture"/>
      <sheetName val="Material Prices to site"/>
      <sheetName val="BK Unit Rate"/>
      <sheetName val="Sheet1"/>
      <sheetName val="Lookup"/>
      <sheetName val="APPT"/>
      <sheetName val="APPT_SGL"/>
      <sheetName val="Phone_Sale"/>
      <sheetName val="apr_data"/>
      <sheetName val="QTY Pipe Laying"/>
      <sheetName val="Oracle Account Master"/>
      <sheetName val="G"/>
      <sheetName val="D"/>
      <sheetName val="E"/>
      <sheetName val="Wiring_Firem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230.xml><?xml version="1.0" encoding="utf-8"?>
<externalLink xmlns="http://schemas.openxmlformats.org/spreadsheetml/2006/main">
  <externalBook xmlns:r="http://schemas.openxmlformats.org/officeDocument/2006/relationships" r:id="rId1">
    <sheetNames>
      <sheetName val="13A"/>
      <sheetName val="13B"/>
      <sheetName val="13C"/>
      <sheetName val="13D"/>
      <sheetName val="13E"/>
      <sheetName val="13F"/>
      <sheetName val="13G"/>
      <sheetName val="GS "/>
      <sheetName val="Material Prices"/>
      <sheetName val="PLT-SUM"/>
      <sheetName val="Schedules"/>
      <sheetName val="Rate Sheet"/>
      <sheetName val="Rates"/>
      <sheetName val="QTY Pipe Laying"/>
      <sheetName val="Load Sch, Cable Sel &amp; Qty"/>
      <sheetName val="Cost Factor Sheet"/>
      <sheetName val="Seachells-Pools-25.2.2014"/>
      <sheetName val="Cost summary"/>
      <sheetName val="BOM"/>
      <sheetName val="A"/>
      <sheetName val="total components with Rates"/>
      <sheetName val="Sheet1"/>
      <sheetName val="3.Labour"/>
      <sheetName val="1.Material"/>
      <sheetName val="MMI"/>
      <sheetName val="2.Machinery"/>
      <sheetName val="NEW PRODUCT SALES FORCE"/>
      <sheetName val="AU Zone"/>
      <sheetName val="JOB COSTING SHEET ELEC"/>
      <sheetName val="MACHINERY"/>
      <sheetName val="MATERIAL"/>
      <sheetName val="SUBCON OR OTHER"/>
      <sheetName val="Ragama"/>
      <sheetName val="Fcst Tool"/>
      <sheetName val="Lookup"/>
      <sheetName val="NATION"/>
      <sheetName val="aug_data"/>
      <sheetName val="covere"/>
      <sheetName val="Sheet5"/>
      <sheetName val="BOQ ACMV-MU"/>
      <sheetName val="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231.xml><?xml version="1.0" encoding="utf-8"?>
<externalLink xmlns="http://schemas.openxmlformats.org/spreadsheetml/2006/main">
  <externalBook xmlns:r="http://schemas.openxmlformats.org/officeDocument/2006/relationships" r:id="rId1">
    <sheetNames>
      <sheetName val="Ragama"/>
      <sheetName val="Tangalle hos"/>
      <sheetName val="13A"/>
      <sheetName val="PLT-SUM"/>
      <sheetName val="Manpower"/>
      <sheetName val="Sheet1"/>
      <sheetName val="Material"/>
      <sheetName val="covere"/>
      <sheetName val="Factor Sheet"/>
      <sheetName val="Cost Factor Sheet"/>
      <sheetName val="Valible One BOQ"/>
      <sheetName val="MACHINERY"/>
      <sheetName val="SUBCON OR OTHER"/>
      <sheetName val="Rate Sheet"/>
      <sheetName val="Start"/>
      <sheetName val="G"/>
      <sheetName val="D"/>
      <sheetName val="E"/>
      <sheetName val="Assumptions"/>
      <sheetName val="Look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32.xml><?xml version="1.0" encoding="utf-8"?>
<externalLink xmlns="http://schemas.openxmlformats.org/spreadsheetml/2006/main">
  <externalBook xmlns:r="http://schemas.openxmlformats.org/officeDocument/2006/relationships" r:id="rId1">
    <sheetNames>
      <sheetName val="details"/>
      <sheetName val="Sheet1"/>
      <sheetName val="may_data"/>
      <sheetName val="Assumptions"/>
      <sheetName val="Material Prices"/>
      <sheetName val="MACHINERY"/>
      <sheetName val="MATERIAL"/>
      <sheetName val="SUBCON OR OTHER"/>
      <sheetName val="INPUT"/>
      <sheetName val="Schedules"/>
      <sheetName val="sep_data"/>
      <sheetName val="APPT"/>
      <sheetName val="APPT_SGL"/>
      <sheetName val="Phone_Sale"/>
      <sheetName val="SSuppliers"/>
      <sheetName val="SLS CM"/>
      <sheetName val="Calc Inputs"/>
      <sheetName val="costing sheet"/>
      <sheetName val="BOM"/>
      <sheetName val="Exchange Rates(rounded)"/>
      <sheetName val="Ragama"/>
      <sheetName val="covere"/>
      <sheetName val="Enclo.compar.EMP-RND"/>
      <sheetName val="Lookup"/>
      <sheetName val="JOB COSTING SHEET ELEC"/>
      <sheetName val="ICAM_Prices_Raw"/>
      <sheetName val="Rates"/>
      <sheetName val="概総括1"/>
      <sheetName val="DDB Depr (Mths)"/>
      <sheetName val="Manpower"/>
      <sheetName val="Factors"/>
      <sheetName val="Furniture"/>
      <sheetName val="Wiring_Firemen"/>
      <sheetName val="Bill 5 - Carpark"/>
      <sheetName val="13A"/>
      <sheetName val="Goodwill Calculation"/>
      <sheetName val="QTY Pipe Laying"/>
      <sheetName val="B-3"/>
      <sheetName val="Zon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33.xml><?xml version="1.0" encoding="utf-8"?>
<externalLink xmlns="http://schemas.openxmlformats.org/spreadsheetml/2006/main">
  <externalBook xmlns:r="http://schemas.openxmlformats.org/officeDocument/2006/relationships" r:id="rId1">
    <sheetNames>
      <sheetName val="Cover"/>
      <sheetName val="Summary"/>
      <sheetName val="CurMo"/>
      <sheetName val="Bal Total"/>
      <sheetName val="Bal North Ops"/>
      <sheetName val="Bal South Ops"/>
      <sheetName val="Inv vs Target"/>
      <sheetName val="Excess Rankings"/>
      <sheetName val="Total"/>
      <sheetName val="Perp"/>
      <sheetName val="NonPerp"/>
      <sheetName val="Net Inv Balance"/>
      <sheetName val="Sheet1"/>
      <sheetName val="Sheet5"/>
      <sheetName val="Title"/>
      <sheetName val="Parameters"/>
      <sheetName val="apr_data"/>
      <sheetName val="RBD"/>
      <sheetName val="sys_System"/>
      <sheetName val="SLS CM"/>
      <sheetName val="SSuppliers"/>
      <sheetName val="costing sheet"/>
      <sheetName val="Rates"/>
      <sheetName val="QTY Pipe Laying"/>
      <sheetName val="Database"/>
      <sheetName val="Date Ranges"/>
      <sheetName val="Material Prices"/>
      <sheetName val="Ragama"/>
      <sheetName val="Factor"/>
      <sheetName val="Variables"/>
      <sheetName val="MACHINERY"/>
      <sheetName val="MATERIAL"/>
      <sheetName val="SUBCON OR OTHER"/>
      <sheetName val="Input"/>
      <sheetName val="Lookup"/>
      <sheetName val="Assumptions"/>
      <sheetName val="13A"/>
      <sheetName val="cove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234.xml><?xml version="1.0" encoding="utf-8"?>
<externalLink xmlns="http://schemas.openxmlformats.org/spreadsheetml/2006/main">
  <externalBook xmlns:r="http://schemas.openxmlformats.org/officeDocument/2006/relationships" r:id="rId1">
    <sheetNames>
      <sheetName val="TakeOff"/>
      <sheetName val="Schedules"/>
      <sheetName val="Sheet3"/>
      <sheetName val="Option"/>
      <sheetName val="Details"/>
      <sheetName val=" GULF"/>
      <sheetName val="BOQ"/>
      <sheetName val="CCS summary "/>
      <sheetName val="16 Consum's"/>
      <sheetName val="24 B'up"/>
      <sheetName val="SuStructure Conc Take off"/>
      <sheetName val="Det_Des"/>
      <sheetName val="Ra  stair"/>
      <sheetName val="9600-T1"/>
      <sheetName val="C&amp;IEVA"/>
      <sheetName val="EC(Rev)"/>
      <sheetName val="#REF"/>
      <sheetName val="Bill 1"/>
      <sheetName val="Bill 2"/>
      <sheetName val="Bill 3"/>
      <sheetName val="Bill 4"/>
      <sheetName val="Bill 5"/>
      <sheetName val="Bill 6"/>
      <sheetName val="Bill 7"/>
      <sheetName val="Summary"/>
      <sheetName val="#3E1_GCR"/>
      <sheetName val="B-3"/>
      <sheetName val="total components with Rates"/>
      <sheetName val="Calculation"/>
      <sheetName val="_GULF"/>
      <sheetName val="CCS_summary_"/>
      <sheetName val="16_Consum's"/>
      <sheetName val="24_B'up"/>
      <sheetName val="SuStructure_Conc_Take_off"/>
      <sheetName val="Ra__stair"/>
      <sheetName val="Bill_1"/>
      <sheetName val="Bill_2"/>
      <sheetName val="Bill_3"/>
      <sheetName val="Bill_4"/>
      <sheetName val="Bill_5"/>
      <sheetName val="Bill_6"/>
      <sheetName val="Bill_7"/>
      <sheetName val="설계서"/>
      <sheetName val="기준액"/>
      <sheetName val="Factors"/>
      <sheetName val="COVER"/>
      <sheetName val="Contract BOQ"/>
      <sheetName val="bill02"/>
      <sheetName val="Definitions"/>
      <sheetName val="RA-markate"/>
      <sheetName val="Material Prices"/>
      <sheetName val="BOI - Katunayaka-9.8.2013"/>
      <sheetName val="_GULF1"/>
      <sheetName val="CCS_summary_1"/>
      <sheetName val="16_Consum's1"/>
      <sheetName val="24_B'up1"/>
      <sheetName val="SuStructure_Conc_Take_off1"/>
      <sheetName val="Ra__stair1"/>
      <sheetName val="Bill_11"/>
      <sheetName val="Bill_21"/>
      <sheetName val="Bill_31"/>
      <sheetName val="Bill_41"/>
      <sheetName val="Bill_51"/>
      <sheetName val="Bill_61"/>
      <sheetName val="Bill_71"/>
      <sheetName val="total_components_with_Rates"/>
      <sheetName val="Contract_BOQ"/>
      <sheetName val="Layout"/>
      <sheetName val="Panel"/>
      <sheetName val="Cost Factor Sheet"/>
      <sheetName val="Factor"/>
      <sheetName val="Bill 5 - Carpark"/>
      <sheetName val="Sheet2"/>
      <sheetName val="Ragama"/>
      <sheetName val="3.Labour"/>
      <sheetName val="1.Material"/>
      <sheetName val="MMI"/>
      <sheetName val="2.Machinery"/>
      <sheetName val="B-2"/>
      <sheetName val="Seachells-Pools-25.2.2014"/>
      <sheetName val="costing sheet"/>
      <sheetName val="Rates"/>
      <sheetName val="PLT-SUM"/>
      <sheetName val="Factor Sheet"/>
      <sheetName val="RBD"/>
      <sheetName val="BOM"/>
      <sheetName val="OLD PRICES"/>
      <sheetName val="RSM and Distributors"/>
      <sheetName val="SSuppliers"/>
      <sheetName val="Enclo.compar.EMP-RND"/>
      <sheetName val="Calc Inputs"/>
      <sheetName val="may_data"/>
      <sheetName val="JOB COSTING SHEET ELEC"/>
      <sheetName val="Sheet1"/>
      <sheetName val="breakdown"/>
      <sheetName val="Load Sch, Cable Sel &amp; Qty"/>
      <sheetName val="Price sheet"/>
      <sheetName val="Sheet5"/>
      <sheetName val="RATE"/>
      <sheetName val="Total"/>
      <sheetName val="Material"/>
      <sheetName val="covere"/>
      <sheetName val="Keels-6.2.2014"/>
      <sheetName val="FlowHmgma Grds-9.7.2013-details"/>
      <sheetName val="BILL 4 NEW multi"/>
      <sheetName val="1A"/>
      <sheetName val="Scatter"/>
      <sheetName val="TO SHEET"/>
      <sheetName val="BAR SCHEDULE"/>
      <sheetName val="Est - H03"/>
      <sheetName val="Cash2"/>
      <sheetName val="Z"/>
      <sheetName val="MEP Matls"/>
      <sheetName val="Lstsub"/>
      <sheetName val="Raw Data"/>
      <sheetName val="SubmitCal"/>
      <sheetName val="C9901"/>
      <sheetName val="new ext"/>
      <sheetName val="Siteworks"/>
      <sheetName val="Criteria"/>
      <sheetName val="Uniliever"/>
      <sheetName val="Project Brief"/>
      <sheetName val="QMCT"/>
      <sheetName val="Chiet tinh dz22"/>
      <sheetName val="LEGEND"/>
      <sheetName val="PROJECT BRIEF(EX.NEW)"/>
      <sheetName val="MEP_Matls"/>
      <sheetName val="Raw_Data"/>
      <sheetName val="new_ext"/>
      <sheetName val="MEP_Matls1"/>
      <sheetName val="Raw_Data1"/>
      <sheetName val="new_ext1"/>
      <sheetName val="_GULF2"/>
      <sheetName val="CCS_summary_2"/>
      <sheetName val="16_Consum's2"/>
      <sheetName val="24_B'up2"/>
      <sheetName val="SuStructure_Conc_Take_off2"/>
      <sheetName val="Ra__stair2"/>
      <sheetName val="MEP_Matls2"/>
      <sheetName val="Raw_Data2"/>
      <sheetName val="Bill_12"/>
      <sheetName val="Bill_22"/>
      <sheetName val="Bill_32"/>
      <sheetName val="Bill_42"/>
      <sheetName val="Bill_52"/>
      <sheetName val="Bill_62"/>
      <sheetName val="Bill_72"/>
      <sheetName val="new_ext2"/>
      <sheetName val="marble"/>
      <sheetName val="boq for variation"/>
      <sheetName val="FitOutConfCentre"/>
      <sheetName val="Data"/>
      <sheetName val="Bill"/>
      <sheetName val="1-Excavation"/>
      <sheetName val="2-Substructure"/>
      <sheetName val="3-Concrete"/>
      <sheetName val="4-Masonry"/>
      <sheetName val="5-Thermal &amp; Moisture"/>
      <sheetName val="Plumbing FROM bILL"/>
      <sheetName val="QTY Pipe Laying"/>
      <sheetName val="San nen"/>
      <sheetName val="LS Price List"/>
      <sheetName val="LTG-STG"/>
      <sheetName val="Kaatsu H.A.M.T.T.C.-7 jan 10"/>
      <sheetName val="ELE Summary"/>
      <sheetName val="tables"/>
      <sheetName val="Electrical"/>
      <sheetName val="Super"/>
      <sheetName val="주식"/>
      <sheetName val="Americas"/>
      <sheetName val="MAIN"/>
      <sheetName val="Manpower"/>
      <sheetName val="NonPerp"/>
      <sheetName val="Perp"/>
      <sheetName val="Furniture"/>
      <sheetName val="Rate Sheet"/>
      <sheetName val="Zones"/>
      <sheetName val="MACHINERY"/>
      <sheetName val="SUBCON OR OTH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Set>
  </externalBook>
</externalLink>
</file>

<file path=xl/externalLinks/externalLink235.xml><?xml version="1.0" encoding="utf-8"?>
<externalLink xmlns="http://schemas.openxmlformats.org/spreadsheetml/2006/main">
  <externalBook xmlns:r="http://schemas.openxmlformats.org/officeDocument/2006/relationships" r:id="rId1">
    <sheetNames>
      <sheetName val="Seachells-Pools-actual cost"/>
      <sheetName val="Summary"/>
      <sheetName val="Order No.2 -LS"/>
      <sheetName val="LS"/>
      <sheetName val="3 phase-calculations"/>
      <sheetName val="ACL price list"/>
      <sheetName val="on 320 - cost calculation"/>
      <sheetName val="Seychelles-10.10.2013"/>
      <sheetName val="Seachells-Pools-25.2.2014"/>
      <sheetName val="Jaffna University-13.5.2014"/>
      <sheetName val="Maldives-10 storey-12.5.2014"/>
      <sheetName val="Central Bank-10.5.2014"/>
      <sheetName val="Apartment-Borella-Fire-8.5.14"/>
      <sheetName val="Apartment-Borella-8.5.2014"/>
      <sheetName val="Kent Holdings -  8.5.2014"/>
      <sheetName val="K.Butani-8.5.2014"/>
      <sheetName val="K.Butani-3.4.2014"/>
      <sheetName val="Mandara-Mirissa-8.5.2014"/>
      <sheetName val="transfer pump-8.5.2014"/>
      <sheetName val="Epelypsy Hospital-11.10.2012"/>
      <sheetName val="Univ.Hostal-Rajagiriya-7.5.2014"/>
      <sheetName val="Keels City - 7.5.2014"/>
      <sheetName val="Mattala Airport-7.5.2014"/>
      <sheetName val="jetwing-ward place-6.5.2014"/>
      <sheetName val="Lalith Kahatapitiya-6.5.14"/>
      <sheetName val="DBs-50 Nos. - 3.5.2014"/>
      <sheetName val="Avani-Ambalangoda-2.5..2014"/>
      <sheetName val="MIT  -  30.04.2014"/>
      <sheetName val="Suncity-Rev-30.4.2014"/>
      <sheetName val="Suncity-8.4.2014"/>
      <sheetName val="Flow Tec-30.42014"/>
      <sheetName val="Shangrilla-Colombo-30.4.2014"/>
      <sheetName val="28.4.2014 - Booster"/>
      <sheetName val="De Fonseka Road-28.2.2014"/>
      <sheetName val="office@hokandara-26.4.2014"/>
      <sheetName val="Mldives-Resort-25.4.2014"/>
      <sheetName val="Viraj -Booster- 25.4.2014"/>
      <sheetName val="Linea Aqua-25.4.2014"/>
      <sheetName val="Flow Tech-24.4.2014"/>
      <sheetName val="Ananda Fernando-24.4.2014"/>
      <sheetName val="holiday bungl-goldn corals-23.4"/>
      <sheetName val="matara-23.4.2014"/>
      <sheetName val="Brandix Intimate-22.4.2014"/>
      <sheetName val="Automobile pvt.ltd-"/>
      <sheetName val="21.4.2014"/>
      <sheetName val="Wikramaratne office-10.4.14"/>
      <sheetName val="Ambani-Revised-9.4.2014"/>
      <sheetName val="Nipolac-nawala-Fire-5.3.13"/>
      <sheetName val="Flow tech-8.4.2014"/>
      <sheetName val="Flow Tech-Details - 31.1.2014"/>
      <sheetName val="Nipolac-nawala-4.3.13 (2)"/>
      <sheetName val="Dedigama Jewellers-3.4.2014"/>
      <sheetName val="Ocean Edge Hotel-2.4.2014"/>
      <sheetName val="Dutch Hospital - 1.4.2014"/>
      <sheetName val="Dial Tex-14.3.2014 (2)"/>
      <sheetName val="passikuda-Rev-14.3.2014 (2)"/>
      <sheetName val="Chalets@Marawila-12.3.2014"/>
      <sheetName val="KKS Navy-12.3.2014"/>
      <sheetName val="City Hotel - 24.3.2014"/>
      <sheetName val="Labour Dept-19.3.2014"/>
      <sheetName val="Flow Tech-17.3.2014 (2)"/>
      <sheetName val="Palmyra-12.3.2014"/>
      <sheetName val="Pool Pumps-Udaya-11.3.2014"/>
      <sheetName val="BOC Beliatta-11.3.2014"/>
      <sheetName val="Design office-kandy-10.3.20"/>
      <sheetName val="Ambani-6.3.2014"/>
      <sheetName val="PC office comp-batmulla-4.3.14"/>
      <sheetName val="Milagiriya-8.3.014"/>
      <sheetName val="PC office comp-batmulla-3.3.14"/>
      <sheetName val="Hotel@Kandy-4.3.2014"/>
      <sheetName val="Yarl Hotel-Jaffna-3.3.2014"/>
      <sheetName val="Univ.Jaffna-3.3.2014"/>
      <sheetName val="Bluewaters-2.4.2014"/>
      <sheetName val="factory@katunayaka-1.4.2014"/>
      <sheetName val="Irrigation System-Ragama1.4.14"/>
      <sheetName val="Flow Tech-1.4.2014(phone)"/>
      <sheetName val="mandara-25.10.2013"/>
      <sheetName val="Epilipsy VSD-5.8.2013 (final)"/>
      <sheetName val="Ocean Edge-28.3.2014"/>
      <sheetName val="Weerawila Pwr Req.-28.3.2014"/>
      <sheetName val="Blue Waters-pool pmps-27.3.2014"/>
      <sheetName val="Seychelles-25.3.2014"/>
      <sheetName val="seven sence-25.3.2014"/>
      <sheetName val="Fonseka Place-25.3.2014"/>
      <sheetName val="palmyra palm-19.3.2014"/>
      <sheetName val="warehouse-kotikawatta-18.3.2014"/>
      <sheetName val="Karo Villa -18.3.2014"/>
      <sheetName val="Kognoscentic-Rekawa-18.3.2014"/>
      <sheetName val="Gamini Residence-18.3.2014"/>
      <sheetName val="60 Rooms-pool lgts-Rev1-17.3.14"/>
      <sheetName val="Flow Tech-17.3.2014"/>
      <sheetName val="CIPLC Office-Batticaloa-15.3.14"/>
      <sheetName val="500 bays-Riverina-14.3.2014"/>
      <sheetName val="Dial Tex-14.3.2014"/>
      <sheetName val="passikuda-Rev-14.3.2014"/>
      <sheetName val="Sheet1"/>
      <sheetName val="Sheet2"/>
      <sheetName val="Sheet3"/>
      <sheetName val="Seachells-25.2.2014"/>
      <sheetName val="total components with Rates"/>
      <sheetName val="DEP"/>
      <sheetName val="GEN"/>
      <sheetName val="MTC"/>
      <sheetName val="Ragama"/>
      <sheetName val="TFR"/>
      <sheetName val="Seachells-Pools-actual_cost"/>
      <sheetName val="Order_No_2_-LS"/>
      <sheetName val="3_phase-calculations"/>
      <sheetName val="ACL_price_list"/>
      <sheetName val="on_320_-_cost_calculation"/>
      <sheetName val="Seychelles-10_10_2013"/>
      <sheetName val="Seachells-Pools-25_2_2014"/>
      <sheetName val="Jaffna_University-13_5_2014"/>
      <sheetName val="Maldives-10_storey-12_5_2014"/>
      <sheetName val="Central_Bank-10_5_2014"/>
      <sheetName val="Apartment-Borella-Fire-8_5_14"/>
      <sheetName val="Apartment-Borella-8_5_2014"/>
      <sheetName val="Kent_Holdings_-__8_5_2014"/>
      <sheetName val="K_Butani-8_5_2014"/>
      <sheetName val="K_Butani-3_4_2014"/>
      <sheetName val="Mandara-Mirissa-8_5_2014"/>
      <sheetName val="transfer_pump-8_5_2014"/>
      <sheetName val="Epelypsy_Hospital-11_10_2012"/>
      <sheetName val="Univ_Hostal-Rajagiriya-7_5_2014"/>
      <sheetName val="Keels_City_-_7_5_2014"/>
      <sheetName val="Mattala_Airport-7_5_2014"/>
      <sheetName val="jetwing-ward_place-6_5_2014"/>
      <sheetName val="Lalith_Kahatapitiya-6_5_14"/>
      <sheetName val="DBs-50_Nos__-_3_5_2014"/>
      <sheetName val="Avani-Ambalangoda-2_5__2014"/>
      <sheetName val="MIT__-__30_04_2014"/>
      <sheetName val="Suncity-Rev-30_4_2014"/>
      <sheetName val="Suncity-8_4_2014"/>
      <sheetName val="Flow_Tec-30_42014"/>
      <sheetName val="Shangrilla-Colombo-30_4_2014"/>
      <sheetName val="28_4_2014_-_Booster"/>
      <sheetName val="De_Fonseka_Road-28_2_2014"/>
      <sheetName val="office@hokandara-26_4_2014"/>
      <sheetName val="Mldives-Resort-25_4_2014"/>
      <sheetName val="Viraj_-Booster-_25_4_2014"/>
      <sheetName val="Linea_Aqua-25_4_2014"/>
      <sheetName val="Flow_Tech-24_4_2014"/>
      <sheetName val="Ananda_Fernando-24_4_2014"/>
      <sheetName val="holiday_bungl-goldn_corals-23_4"/>
      <sheetName val="matara-23_4_2014"/>
      <sheetName val="Brandix_Intimate-22_4_2014"/>
      <sheetName val="Automobile_pvt_ltd-"/>
      <sheetName val="21_4_2014"/>
      <sheetName val="Wikramaratne_office-10_4_14"/>
      <sheetName val="Ambani-Revised-9_4_2014"/>
      <sheetName val="Nipolac-nawala-Fire-5_3_13"/>
      <sheetName val="Flow_tech-8_4_2014"/>
      <sheetName val="Flow_Tech-Details_-_31_1_2014"/>
      <sheetName val="Nipolac-nawala-4_3_13_(2)"/>
      <sheetName val="Dedigama_Jewellers-3_4_2014"/>
      <sheetName val="Ocean_Edge_Hotel-2_4_2014"/>
      <sheetName val="Dutch_Hospital_-_1_4_2014"/>
      <sheetName val="Dial_Tex-14_3_2014_(2)"/>
      <sheetName val="passikuda-Rev-14_3_2014_(2)"/>
      <sheetName val="Chalets@Marawila-12_3_2014"/>
      <sheetName val="KKS_Navy-12_3_2014"/>
      <sheetName val="City_Hotel_-_24_3_2014"/>
      <sheetName val="Labour_Dept-19_3_2014"/>
      <sheetName val="Flow_Tech-17_3_2014_(2)"/>
      <sheetName val="Palmyra-12_3_2014"/>
      <sheetName val="Pool_Pumps-Udaya-11_3_2014"/>
      <sheetName val="BOC_Beliatta-11_3_2014"/>
      <sheetName val="Design_office-kandy-10_3_20"/>
      <sheetName val="Ambani-6_3_2014"/>
      <sheetName val="PC_office_comp-batmulla-4_3_14"/>
      <sheetName val="Milagiriya-8_3_014"/>
      <sheetName val="PC_office_comp-batmulla-3_3_14"/>
      <sheetName val="Hotel@Kandy-4_3_2014"/>
      <sheetName val="Yarl_Hotel-Jaffna-3_3_2014"/>
      <sheetName val="Univ_Jaffna-3_3_2014"/>
      <sheetName val="Bluewaters-2_4_2014"/>
      <sheetName val="factory@katunayaka-1_4_2014"/>
      <sheetName val="Irrigation_System-Ragama1_4_14"/>
      <sheetName val="Flow_Tech-1_4_2014(phone)"/>
      <sheetName val="mandara-25_10_2013"/>
      <sheetName val="Epilipsy_VSD-5_8_2013_(final)"/>
      <sheetName val="Ocean_Edge-28_3_2014"/>
      <sheetName val="Weerawila_Pwr_Req_-28_3_2014"/>
      <sheetName val="Blue_Waters-pool_pmps-27_3_2014"/>
      <sheetName val="Seychelles-25_3_2014"/>
      <sheetName val="seven_sence-25_3_2014"/>
      <sheetName val="Fonseka_Place-25_3_2014"/>
      <sheetName val="palmyra_palm-19_3_2014"/>
      <sheetName val="warehouse-kotikawatta-18_3_2014"/>
      <sheetName val="Karo_Villa_-18_3_2014"/>
      <sheetName val="Kognoscentic-Rekawa-18_3_2014"/>
      <sheetName val="Gamini_Residence-18_3_2014"/>
      <sheetName val="60_Rooms-pool_lgts-Rev1-17_3_14"/>
      <sheetName val="Flow_Tech-17_3_2014"/>
      <sheetName val="CIPLC_Office-Batticaloa-15_3_14"/>
      <sheetName val="500_bays-Riverina-14_3_2014"/>
      <sheetName val="Dial_Tex-14_3_2014"/>
      <sheetName val="passikuda-Rev-14_3_2014"/>
      <sheetName val="Seachells-25_2_2014"/>
      <sheetName val="Product Groups"/>
      <sheetName val="B-3"/>
      <sheetName val="LS Price List"/>
      <sheetName val="Schedules"/>
      <sheetName val="Material Prices"/>
      <sheetName val="Rates"/>
      <sheetName val="Cash Flow"/>
      <sheetName val="Start"/>
      <sheetName val="jul_data"/>
      <sheetName val="Lookup"/>
      <sheetName val="NonPerp"/>
      <sheetName val="Perp"/>
      <sheetName val="BOI - Katunayaka-9.8.2013"/>
      <sheetName val="SSuppliers"/>
      <sheetName val="OLD PRICES"/>
      <sheetName val="Enclo.compar.EMP-RND"/>
      <sheetName val="FACTORS"/>
      <sheetName val="Mix Design"/>
      <sheetName val="San nen"/>
      <sheetName val="INPUT SHEET"/>
      <sheetName val="Sheet5"/>
      <sheetName val="PVC-Prices"/>
      <sheetName val="pipe supports cost"/>
      <sheetName val="Histry Price"/>
      <sheetName val="CAL. - DATA"/>
      <sheetName val="Keels-6.2.2014"/>
      <sheetName val="FlowHmgma Grds-9.7.2013-details"/>
      <sheetName val="1A"/>
      <sheetName val="bill02"/>
      <sheetName val="Factor Sheet"/>
      <sheetName val="Kaatsu H.A.M.T.T.C.-7 jan 10"/>
      <sheetName val="PLUMBING WORK ADDITIONS"/>
      <sheetName val="Admin"/>
      <sheetName val="ID Office-R1 - 23.8.2012"/>
      <sheetName val="Schnieder Price List-July 2012"/>
      <sheetName val="BOQ"/>
      <sheetName val="Manpow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36.xml><?xml version="1.0" encoding="utf-8"?>
<externalLink xmlns="http://schemas.openxmlformats.org/spreadsheetml/2006/main">
  <externalBook xmlns:r="http://schemas.openxmlformats.org/officeDocument/2006/relationships" r:id="rId1">
    <sheetNames>
      <sheetName val="Account Translation"/>
      <sheetName val="Entity list"/>
      <sheetName val="Entity_Translation"/>
      <sheetName val="Oracle Account Master"/>
      <sheetName val="Intragroup-IntraDiv-InterDiv"/>
      <sheetName val="Oracle Company Master"/>
      <sheetName val="NonPerp"/>
      <sheetName val="Perp"/>
      <sheetName val="Sheet1"/>
      <sheetName val="may_data"/>
      <sheetName val="Distributor Details"/>
      <sheetName val="d-safe specs"/>
      <sheetName val="B-3"/>
      <sheetName val="AU Zone"/>
      <sheetName val="NATION"/>
      <sheetName val="Histry Price"/>
      <sheetName val="sep_data"/>
      <sheetName val="sys_System"/>
      <sheetName val="RBD"/>
      <sheetName val="Sheet5"/>
      <sheetName val="Legend"/>
      <sheetName val="Material Prices"/>
      <sheetName val="Fcst Tool"/>
      <sheetName val="4"/>
      <sheetName val="Assumptions"/>
      <sheetName val="JOB COSTING SHEET ELEC"/>
      <sheetName val="ICAM_Prices_Raw"/>
      <sheetName val="Factors"/>
      <sheetName val="Material"/>
      <sheetName val="13A"/>
      <sheetName val="covere"/>
      <sheetName val="Product Groups"/>
      <sheetName val="Electrical"/>
      <sheetName val="OLD PRICES"/>
      <sheetName val="INPUT SHEET"/>
      <sheetName val="BO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37.xml><?xml version="1.0" encoding="utf-8"?>
<externalLink xmlns="http://schemas.openxmlformats.org/spreadsheetml/2006/main">
  <externalBook xmlns:r="http://schemas.openxmlformats.org/officeDocument/2006/relationships" r:id="rId1">
    <sheetNames>
      <sheetName val="LETTER"/>
      <sheetName val="BOM"/>
      <sheetName val="FAB"/>
      <sheetName val="PS"/>
      <sheetName val="make"/>
      <sheetName val="con_dev"/>
      <sheetName val="SWG"/>
      <sheetName val="Schedules"/>
      <sheetName val="Cost Factor Sheet"/>
      <sheetName val="Rate Sheet"/>
      <sheetName val="SSuppliers"/>
      <sheetName val="Enclo.compar.EMP-RND"/>
      <sheetName val="Ragama"/>
      <sheetName val="B-3"/>
      <sheetName val="Factor Sheet"/>
      <sheetName val="Sheet3"/>
      <sheetName val="Histry Price"/>
      <sheetName val="3A"/>
      <sheetName val="Price"/>
      <sheetName val="NATION"/>
      <sheetName val="50000"/>
      <sheetName val="sep_data"/>
      <sheetName val="sys_System"/>
      <sheetName val="Material Prices"/>
      <sheetName val="PLT-SUM"/>
      <sheetName val="CQ by Entity"/>
      <sheetName val="FY by Entity"/>
      <sheetName val="INDEX"/>
      <sheetName val="NQ by Entity"/>
      <sheetName val="CQ Bridge"/>
      <sheetName val="CQ Orders"/>
      <sheetName val="Org Growth"/>
      <sheetName val="Monthly Trend Act MOR pv"/>
      <sheetName val="ELE Summary"/>
      <sheetName val="costing sheet"/>
      <sheetName val="Sheet1"/>
      <sheetName val="Seachells-Pools-25.2.2014"/>
      <sheetName val="4"/>
      <sheetName val="total components with Rates"/>
      <sheetName val="Oracle Account Master"/>
      <sheetName val="NonPerp"/>
      <sheetName val="Perp"/>
      <sheetName val="Total"/>
      <sheetName val="Rates"/>
      <sheetName val="Admin"/>
      <sheetName val="Drainage"/>
      <sheetName val="Calc Inputs"/>
      <sheetName val="Assumptions"/>
      <sheetName val="BOQ ACMV-MU"/>
      <sheetName val="Keels-6.2.2014"/>
      <sheetName val="FlowHmgma Grds-9.7.2013-details"/>
      <sheetName val="Sheet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238.xml><?xml version="1.0" encoding="utf-8"?>
<externalLink xmlns="http://schemas.openxmlformats.org/spreadsheetml/2006/main">
  <externalBook xmlns:r="http://schemas.openxmlformats.org/officeDocument/2006/relationships" r:id="rId1">
    <sheetNames>
      <sheetName val="SUMM"/>
      <sheetName val="A2"/>
      <sheetName val="A3"/>
      <sheetName val="A6"/>
      <sheetName val="AA"/>
      <sheetName val="AB"/>
      <sheetName val="AC"/>
      <sheetName val="AF"/>
      <sheetName val="R1"/>
      <sheetName val="R2"/>
      <sheetName val="R3"/>
      <sheetName val="R5"/>
      <sheetName val="R6"/>
      <sheetName val="R7"/>
      <sheetName val="R8"/>
      <sheetName val="R9"/>
      <sheetName val="RL"/>
      <sheetName val="RZ"/>
      <sheetName val="T2"/>
      <sheetName val="T4"/>
      <sheetName val="T5"/>
      <sheetName val="T6"/>
      <sheetName val="PLT-SUM"/>
      <sheetName val="TYP-CAP"/>
      <sheetName val="Reserved"/>
      <sheetName val="ALL-SUMMARY"/>
      <sheetName val="MI-ASCI"/>
      <sheetName val="Non Productive"/>
      <sheetName val="PlantSch1All"/>
      <sheetName val="Panels (DWG)"/>
      <sheetName val="Detail EVA-October"/>
      <sheetName val="Cum-October"/>
      <sheetName val="JULY"/>
      <sheetName val="Road Maintenance"/>
      <sheetName val="Materials Saving"/>
      <sheetName val="JUNE"/>
      <sheetName val="Cumulative"/>
      <sheetName val="AUGUST"/>
      <sheetName val="Cum-August"/>
      <sheetName val="Cumulative EVA-sep"/>
      <sheetName val="Sheet2"/>
      <sheetName val="Main items"/>
      <sheetName val="Sheet3"/>
      <sheetName val="Sheet4"/>
      <sheetName val="Sheet1"/>
      <sheetName val="Joseph Record"/>
      <sheetName val="FitOutConfCentre"/>
      <sheetName val="기계내역서"/>
      <sheetName val="Raw Data"/>
      <sheetName val="Grass Sodding-Team"/>
      <sheetName val="RESOURCES"/>
      <sheetName val="BASIC RATES"/>
      <sheetName val="SUMMARY"/>
      <sheetName val="BOQ"/>
      <sheetName val="B-2"/>
      <sheetName val="Schedules"/>
      <sheetName val="450 x 350"/>
      <sheetName val="Section 2-SCHEDULE OF DAYWORK"/>
      <sheetName val="Ragama"/>
      <sheetName val="Unit cost- Drain-Protection-1 "/>
      <sheetName val="Pl"/>
      <sheetName val="JOB COSTING SHEET ELEC"/>
      <sheetName val="beam-reinft"/>
      <sheetName val="残数量確認用"/>
      <sheetName val="Non_Productive"/>
      <sheetName val="Detail_EVA-October"/>
      <sheetName val="Road_Maintenance"/>
      <sheetName val="Materials_Saving"/>
      <sheetName val="Cumulative_EVA-sep"/>
      <sheetName val="Main_items"/>
      <sheetName val="Joseph_Record"/>
      <sheetName val="Grass_Sodding-Team"/>
      <sheetName val="BASIC_RATES"/>
      <sheetName val="Raw_Data"/>
      <sheetName val="450_x_350"/>
      <sheetName val="Panels_(DWG)"/>
      <sheetName val="Section_2-SCHEDULE_OF_DAYWORK"/>
      <sheetName val="Unit_cost-_Drain-Protection-1_"/>
      <sheetName val="Bar.Sched"/>
      <sheetName val="Cost Factor Sheet"/>
      <sheetName val="Load Sch, Cable Sel &amp; Qty"/>
      <sheetName val="Factor Sheet"/>
      <sheetName val="Price Sheet"/>
      <sheetName val="total components with Rates"/>
      <sheetName val="Rate Sheet"/>
      <sheetName val="3.Labour"/>
      <sheetName val="1.Material"/>
      <sheetName val="MMI"/>
      <sheetName val="2.Machinery"/>
      <sheetName val="INPUT"/>
      <sheetName val="WB"/>
      <sheetName val="B-3"/>
      <sheetName val="Product Groups"/>
      <sheetName val="Room Type"/>
      <sheetName val="Basement2 DB"/>
      <sheetName val="Kaatsu H.A.M.T.T.C.-7 jan 10"/>
      <sheetName val="may_data"/>
      <sheetName val="Rates"/>
      <sheetName val="QTY Pipe Laying"/>
      <sheetName val="banilad"/>
      <sheetName val="Mactan"/>
      <sheetName val="Mandaue"/>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Bill 3 - Site Works"/>
      <sheetName val="Lead (Final)"/>
      <sheetName val="HOC"/>
      <sheetName val="BOQ2"/>
      <sheetName val="Furniture"/>
      <sheetName val="10.Linkway"/>
      <sheetName val="11.Bus Shelter-Bay"/>
      <sheetName val="HVAC"/>
      <sheetName val="Sheet5"/>
      <sheetName val="BOM"/>
      <sheetName val="LET_BAFO"/>
      <sheetName val="Factor"/>
      <sheetName val="Keels-6.2.2014"/>
      <sheetName val="FlowHmgma Grds-9.7.2013-details"/>
      <sheetName val="13A"/>
      <sheetName val="Materials"/>
      <sheetName val="Code List"/>
      <sheetName val="RBDfor derived Rates"/>
      <sheetName val="BILL SUMMARY"/>
      <sheetName val="WD-8 Main pkg PRT2"/>
      <sheetName val="Mes-Excavation"/>
      <sheetName val="Mes-Con. work_07"/>
      <sheetName val="Mes.Struc. steel_07"/>
      <sheetName val="Mes-RF"/>
      <sheetName val="F9A"/>
      <sheetName val="F10"/>
      <sheetName val="F19"/>
      <sheetName val="F11C"/>
      <sheetName val="F6A"/>
      <sheetName val="F5A"/>
      <sheetName val="BBS_132"/>
      <sheetName val="F2A"/>
      <sheetName val="F1 &amp; F2"/>
      <sheetName val="F3"/>
      <sheetName val="F3A"/>
      <sheetName val="F3B"/>
      <sheetName val="F4"/>
      <sheetName val="F5"/>
      <sheetName val="F6"/>
      <sheetName val="F13"/>
      <sheetName val="F14"/>
      <sheetName val="F9 old"/>
      <sheetName val="F7"/>
      <sheetName val="F8"/>
      <sheetName val="F8A"/>
      <sheetName val="F12"/>
      <sheetName val="F11"/>
      <sheetName val="F11A"/>
      <sheetName val="F15"/>
      <sheetName val="F16"/>
      <sheetName val="F17"/>
      <sheetName val="BOT"/>
      <sheetName val="CODE_LIST"/>
      <sheetName val="OLD PRICES"/>
      <sheetName val="HeavyData"/>
      <sheetName val="Prilimns"/>
      <sheetName val="General"/>
      <sheetName val="Cost bd-&quot;A&quot;"/>
      <sheetName val="Services_InitialEst_UtilityServ"/>
      <sheetName val="概総括1"/>
      <sheetName val="P-Sum-Cab"/>
      <sheetName val="Lookups"/>
      <sheetName val="5A"/>
      <sheetName val="Basic Data"/>
      <sheetName val="apr_data"/>
      <sheetName val="NATION"/>
      <sheetName val="Factors"/>
      <sheetName val="LS Price List"/>
      <sheetName val="Assumptions"/>
      <sheetName val="d-safe DELUXE"/>
      <sheetName val="MACHINERY"/>
      <sheetName val="MATERIAL"/>
      <sheetName val="SUBCON OR OTHER"/>
      <sheetName val="ICAM_Prices_Raw"/>
      <sheetName val="Equipment"/>
      <sheetName val="Drainag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Set>
  </externalBook>
</externalLink>
</file>

<file path=xl/externalLinks/externalLink239.xml><?xml version="1.0" encoding="utf-8"?>
<externalLink xmlns="http://schemas.openxmlformats.org/spreadsheetml/2006/main">
  <externalBook xmlns:r="http://schemas.openxmlformats.org/officeDocument/2006/relationships" r:id="rId1">
    <sheetNames>
      <sheetName val="costing sheet"/>
      <sheetName val="SOP"/>
      <sheetName val="COMMERCIAL"/>
      <sheetName val="PRICES"/>
      <sheetName val="BOM"/>
      <sheetName val="Covering"/>
      <sheetName val="Tech Comments"/>
      <sheetName val="Gen. Spec."/>
      <sheetName val="Letter"/>
      <sheetName val="Sheet2"/>
      <sheetName val="Ragama"/>
      <sheetName val="Seachells-Pools-25.2.2014"/>
      <sheetName val="OLD PRICES"/>
      <sheetName val="Rates"/>
      <sheetName val="QTY Pipe Laying"/>
      <sheetName val="RBD"/>
      <sheetName val="50000"/>
      <sheetName val="Material Prices"/>
      <sheetName val="total components with Rates"/>
      <sheetName val="B-3"/>
      <sheetName val="Enclo.compar.EMP-RND"/>
      <sheetName val="aug_data"/>
      <sheetName val="Sheet3"/>
      <sheetName val="Chiller"/>
      <sheetName val="sep_data"/>
      <sheetName val="Sheet1"/>
      <sheetName val="13A"/>
      <sheetName val="Exchange Rates(rounded)"/>
      <sheetName val="GS1"/>
      <sheetName val="NonPerp"/>
      <sheetName val="Perp"/>
      <sheetName val="BOI - Katunayaka-9.8.2013"/>
      <sheetName val="Oracle Account Master"/>
      <sheetName val="NOV fx rates"/>
      <sheetName val="JOB COSTING SHEET ELEC"/>
      <sheetName val="Backlog Consol"/>
      <sheetName val="Dist Controls"/>
      <sheetName val="File Settings"/>
      <sheetName val="Forecast"/>
      <sheetName val="BOQ"/>
      <sheetName val="jul_data"/>
      <sheetName val="Drainage"/>
      <sheetName val="Factors"/>
      <sheetName val="Rate Sheet"/>
      <sheetName val="Materi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40.xml><?xml version="1.0" encoding="utf-8"?>
<externalLink xmlns="http://schemas.openxmlformats.org/spreadsheetml/2006/main">
  <externalBook xmlns:r="http://schemas.openxmlformats.org/officeDocument/2006/relationships" r:id="rId1">
    <sheetNames>
      <sheetName val="IS_First (2)"/>
      <sheetName val="IS_Last (2)"/>
      <sheetName val="IS_First (3)"/>
      <sheetName val="IS_Last (3)"/>
      <sheetName val="IS_First (4)"/>
      <sheetName val="IS_Last (4)"/>
      <sheetName val="Title"/>
      <sheetName val="IS"/>
      <sheetName val="BS"/>
      <sheetName val="CF"/>
      <sheetName val="IS_First"/>
      <sheetName val="IS_Flow Control"/>
      <sheetName val="IS_Infrastructure Services"/>
      <sheetName val="IS_Electrical-Metal Products"/>
      <sheetName val="IS_Thermal Controls"/>
      <sheetName val="IS_TEPS Headquarters"/>
      <sheetName val="IS_Last"/>
      <sheetName val="BS_First"/>
      <sheetName val="BS_Flow Control"/>
      <sheetName val="BS_Infrastructure Services"/>
      <sheetName val="BS_Electrical-Metal Products"/>
      <sheetName val="BS_Thermal Controls"/>
      <sheetName val="BS_TEPS Headquarters"/>
      <sheetName val="BS_Last"/>
      <sheetName val="CF_First"/>
      <sheetName val="CF_Flow Control"/>
      <sheetName val="CF_Infrastructure Services"/>
      <sheetName val="IS_Fire-Building Products"/>
      <sheetName val="BS_Fire-Building Products"/>
      <sheetName val="CF_Fire-Building Products"/>
      <sheetName val="CF_Electrical-Metal Products"/>
      <sheetName val="CF_Thermal Controls"/>
      <sheetName val="CF_TEPS Headquarters"/>
      <sheetName val="CF_Last"/>
      <sheetName val="INPUT"/>
      <sheetName val="DDB Depr (Mths)"/>
      <sheetName val="NEW PRODUCT SALES FORCE"/>
      <sheetName val="View"/>
      <sheetName val="General Instructions"/>
      <sheetName val="x_namedfield_CTX"/>
      <sheetName val="Dropdown lists"/>
      <sheetName val="Officers' Life Insurance"/>
      <sheetName val="Sale of Business or Investment"/>
      <sheetName val="Entertainment Expenses"/>
      <sheetName val="Dividends Received"/>
      <sheetName val="Fines and Penalties"/>
      <sheetName val="Lobbying Expenses"/>
      <sheetName val="Equity Rollforward"/>
      <sheetName val="Tax Exempt Interest"/>
      <sheetName val="Legend"/>
      <sheetName val="Distributor Details"/>
      <sheetName val="Sheet2"/>
      <sheetName val="costing sheet"/>
      <sheetName val="Goodwill Calculation"/>
      <sheetName val="概総括1"/>
      <sheetName val="LS Price List"/>
      <sheetName val="Fcst Tool"/>
      <sheetName val="Homagama Grounds-9.7.2013"/>
      <sheetName val="BOI - Katunayaka-9.8.2013"/>
      <sheetName val="Factor"/>
      <sheetName val="CQ by Entity"/>
      <sheetName val="FY by Entity"/>
      <sheetName val="INDEX"/>
      <sheetName val="NQ by Entity"/>
      <sheetName val="CQ Bridge"/>
      <sheetName val="CQ Orders"/>
      <sheetName val="Org Growth"/>
      <sheetName val="Monthly Trend Act MOR pv"/>
      <sheetName val="Cash Flow Worksheet"/>
      <sheetName val="Electrical"/>
      <sheetName val="Factor Sheet"/>
      <sheetName val="Valible One BOQ"/>
      <sheetName val="Cost Factor Sheet"/>
      <sheetName val="Factors"/>
      <sheetName val="total components with Rates"/>
      <sheetName val="Start"/>
      <sheetName val="ancillary"/>
      <sheetName val="Material Prices"/>
      <sheetName val="PLT-SUM"/>
      <sheetName val="Americas"/>
      <sheetName val="SLS CM"/>
      <sheetName val="NATION"/>
      <sheetName val="Database"/>
      <sheetName val="Date Ranges"/>
      <sheetName val="Exchange Rates(rounded)"/>
      <sheetName val="may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241.xml><?xml version="1.0" encoding="utf-8"?>
<externalLink xmlns="http://schemas.openxmlformats.org/spreadsheetml/2006/main">
  <externalBook xmlns:r="http://schemas.openxmlformats.org/officeDocument/2006/relationships" r:id="rId1">
    <sheetNames>
      <sheetName val="Imports"/>
      <sheetName val="Cost Summary"/>
      <sheetName val="Valesco Paste"/>
      <sheetName val="Total"/>
      <sheetName val="③赤紙(日文)"/>
      <sheetName val="PVC-Prices"/>
      <sheetName val="pipe supports cost"/>
      <sheetName val="BQ"/>
      <sheetName val="Wiring_Firemen"/>
      <sheetName val="Factors"/>
      <sheetName val="Services_InitialEst_UtilityServ"/>
      <sheetName val="SubmitCal"/>
      <sheetName val="Staff Acco."/>
      <sheetName val="JOB COSTING SHEET ELEC"/>
      <sheetName val="BO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42.xml><?xml version="1.0" encoding="utf-8"?>
<externalLink xmlns="http://schemas.openxmlformats.org/spreadsheetml/2006/main">
  <externalBook xmlns:r="http://schemas.openxmlformats.org/officeDocument/2006/relationships" r:id="rId1">
    <sheetNames>
      <sheetName val="Data"/>
      <sheetName val="BUDGET"/>
      <sheetName val="Grand Summary"/>
      <sheetName val="B1.1"/>
      <sheetName val="B1.2"/>
      <sheetName val="B2.1"/>
      <sheetName val="B2.2"/>
      <sheetName val="B2.3"/>
      <sheetName val="B2.4"/>
      <sheetName val="B2.5"/>
      <sheetName val="B3"/>
      <sheetName val="B4"/>
      <sheetName val="Day-L"/>
      <sheetName val="RBD-L"/>
      <sheetName val="Day-M"/>
      <sheetName val="RBD-M"/>
      <sheetName val="Day-P"/>
      <sheetName val="RBD-P"/>
      <sheetName val="Rates"/>
      <sheetName val="OH"/>
      <sheetName val="RBD"/>
      <sheetName val="QTY Sum"/>
      <sheetName val="QTY"/>
      <sheetName val="Sample"/>
      <sheetName val="SSuppliers"/>
      <sheetName val="costing sheet"/>
      <sheetName val="B-3"/>
      <sheetName val="total components with Rates"/>
      <sheetName val="Rate Sheet"/>
      <sheetName val="BILL 4 NEW multi"/>
      <sheetName val="Dist Controls"/>
      <sheetName val="File Settings"/>
      <sheetName val="Forecast"/>
      <sheetName val="HyperionEnt"/>
      <sheetName val="Price List"/>
      <sheetName val="Chiller"/>
      <sheetName val="BOM"/>
      <sheetName val="RATE"/>
      <sheetName val="NEW PRODUCT SALES FORCE"/>
      <sheetName val="13A"/>
      <sheetName val="PLT-S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243.xml><?xml version="1.0" encoding="utf-8"?>
<externalLink xmlns="http://schemas.openxmlformats.org/spreadsheetml/2006/main">
  <externalBook xmlns:r="http://schemas.openxmlformats.org/officeDocument/2006/relationships" r:id="rId1">
    <sheetNames>
      <sheetName val="Master List"/>
      <sheetName val="Divest Summ"/>
      <sheetName val="Calc Inputs"/>
      <sheetName val="SSuppliers"/>
      <sheetName val="Seachells-Pools-25.2.2014"/>
      <sheetName val="Histry Price"/>
      <sheetName val="Product Groups"/>
      <sheetName val="Oracle Account Master"/>
      <sheetName val="Sheet1"/>
      <sheetName val="AU Zone"/>
      <sheetName val="Americas"/>
      <sheetName val="Chiller"/>
      <sheetName val="Financial Summary"/>
      <sheetName val="Ragama"/>
      <sheetName val="Price"/>
      <sheetName val="total components with Rates"/>
      <sheetName val="INPUT"/>
      <sheetName val="Start"/>
      <sheetName val="costing sheet"/>
      <sheetName val="Total"/>
      <sheetName val="Bill 5 - Carpark"/>
      <sheetName val="Goodwill Calculation"/>
      <sheetName val="NonPerp"/>
      <sheetName val="Perp"/>
      <sheetName val="Factor Sheet"/>
      <sheetName val="Lookup"/>
      <sheetName val="Factors"/>
      <sheetName val="③赤紙(日文)"/>
      <sheetName val="PVC-Prices"/>
      <sheetName val="pipe supports co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44.xml><?xml version="1.0" encoding="utf-8"?>
<externalLink xmlns="http://schemas.openxmlformats.org/spreadsheetml/2006/main">
  <externalBook xmlns:r="http://schemas.openxmlformats.org/officeDocument/2006/relationships" r:id="rId1">
    <sheetNames>
      <sheetName val="FOL - Bar"/>
      <sheetName val="Cctmst"/>
      <sheetName val="13A"/>
    </sheetNames>
    <sheetDataSet>
      <sheetData sheetId="0" refreshError="1"/>
      <sheetData sheetId="1" refreshError="1"/>
      <sheetData sheetId="2" refreshError="1"/>
    </sheetDataSet>
  </externalBook>
</externalLink>
</file>

<file path=xl/externalLinks/externalLink245.xml><?xml version="1.0" encoding="utf-8"?>
<externalLink xmlns="http://schemas.openxmlformats.org/spreadsheetml/2006/main">
  <externalBook xmlns:r="http://schemas.openxmlformats.org/officeDocument/2006/relationships" r:id="rId1">
    <sheetNames>
      <sheetName val="Build Info"/>
      <sheetName val="Query"/>
      <sheetName val="BQ"/>
      <sheetName val="ECP "/>
      <sheetName val="ECP  (2)"/>
      <sheetName val="ECP(CR)"/>
      <sheetName val="ECP(PMC)"/>
      <sheetName val="ECP(Rate Qty)"/>
      <sheetName val="Structural "/>
      <sheetName val="Struc Analy2 "/>
      <sheetName val="BQ (3)"/>
      <sheetName val="BQ (2)"/>
      <sheetName val="DATA"/>
      <sheetName val="Form"/>
      <sheetName val="Structure"/>
      <sheetName val="PLT-SUM"/>
      <sheetName val="Manpower"/>
      <sheetName val="Cashflow"/>
      <sheetName val="Adimi bldg"/>
      <sheetName val="Pump House"/>
      <sheetName val="Fuel Regu Station"/>
      <sheetName val="Lookups"/>
      <sheetName val="NonPerp"/>
      <sheetName val="Perp"/>
      <sheetName val="Kaatsu H.A.M.T.T.C.-7 jan 10"/>
      <sheetName val="Ragam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46.xml><?xml version="1.0" encoding="utf-8"?>
<externalLink xmlns="http://schemas.openxmlformats.org/spreadsheetml/2006/main">
  <externalBook xmlns:r="http://schemas.openxmlformats.org/officeDocument/2006/relationships" r:id="rId1">
    <sheetNames>
      <sheetName val="NKC6"/>
      <sheetName val="THUCHI"/>
      <sheetName val="CONGNO"/>
      <sheetName val="TONGCN"/>
      <sheetName val="VATTUMUA"/>
      <sheetName val="Sheet7"/>
      <sheetName val="Sheet3"/>
      <sheetName val="DATA"/>
      <sheetName val="BQ"/>
      <sheetName val="SSuppliers"/>
      <sheetName val="Factor"/>
      <sheetName val="FOL - B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47.xml><?xml version="1.0" encoding="utf-8"?>
<externalLink xmlns="http://schemas.openxmlformats.org/spreadsheetml/2006/main">
  <externalBook xmlns:r="http://schemas.openxmlformats.org/officeDocument/2006/relationships" r:id="rId1">
    <sheetNames>
      <sheetName val="PRELIM"/>
      <sheetName val="B-2"/>
      <sheetName val="S M B-2"/>
      <sheetName val="B-3 "/>
      <sheetName val="S M B-3"/>
      <sheetName val="B-4"/>
      <sheetName val="S M B-4"/>
      <sheetName val="B-5"/>
      <sheetName val="B-6"/>
      <sheetName val="DWS"/>
      <sheetName val="Main summary"/>
      <sheetName val="S_M_B-2"/>
      <sheetName val="B-3_"/>
      <sheetName val="S_M_B-3"/>
      <sheetName val="S_M_B-4"/>
      <sheetName val="Main_summary"/>
      <sheetName val="Summery"/>
      <sheetName val="Cabinet &amp; L.Valve (N)"/>
      <sheetName val="Fire Pumps"/>
      <sheetName val="Fire Sp-Electrical Panel"/>
      <sheetName val="Fire Hy-Electrical Panel"/>
      <sheetName val="Valves"/>
      <sheetName val="Suction"/>
      <sheetName val="Delivery"/>
      <sheetName val="GI Pipes"/>
      <sheetName val="Fire Components-XXXXXX"/>
      <sheetName val="Super"/>
      <sheetName val="1-G1"/>
      <sheetName val=" Factor  "/>
      <sheetName val="Histry Price"/>
      <sheetName val="Cost Factor Sheet"/>
      <sheetName val="Load Sch, Cable Sel &amp; Qty"/>
      <sheetName val="Factor Sheet"/>
      <sheetName val="Price Sheet"/>
      <sheetName val="LS Price List"/>
      <sheetName val="BN 01"/>
      <sheetName val="Factors"/>
      <sheetName val="BOQ Com"/>
      <sheetName val="FORM5"/>
      <sheetName val="RSM and Distributors"/>
      <sheetName val="Factor F Data"/>
      <sheetName val="RESOURCES"/>
      <sheetName val="BASIC RATES"/>
      <sheetName val="Cabinet_&amp;_L_Valve_(N)"/>
      <sheetName val="Fire_Pumps"/>
      <sheetName val="Fire_Sp-Electrical_Panel"/>
      <sheetName val="Fire_Hy-Electrical_Panel"/>
      <sheetName val="GI_Pipes"/>
      <sheetName val="Fire_Components-XXXXXX"/>
      <sheetName val="Room Type"/>
      <sheetName val="Basement2 DB"/>
      <sheetName val="概総括1"/>
      <sheetName val="BOQ"/>
      <sheetName val="bill02"/>
      <sheetName val="B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48.xml><?xml version="1.0" encoding="utf-8"?>
<externalLink xmlns="http://schemas.openxmlformats.org/spreadsheetml/2006/main">
  <externalBook xmlns:r="http://schemas.openxmlformats.org/officeDocument/2006/relationships" r:id="rId1">
    <sheetNames>
      <sheetName val="BQLIST"/>
      <sheetName val="conc-foot-gradeslab"/>
      <sheetName val="Wordsdata"/>
      <sheetName val="item"/>
      <sheetName val="water prop."/>
      <sheetName val="NKC6"/>
      <sheetName val="Histry Price"/>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49.xml><?xml version="1.0" encoding="utf-8"?>
<externalLink xmlns="http://schemas.openxmlformats.org/spreadsheetml/2006/main">
  <externalBook xmlns:r="http://schemas.openxmlformats.org/officeDocument/2006/relationships" r:id="rId1">
    <sheetNames>
      <sheetName val="成本多栏明细账"/>
      <sheetName val="Contents"/>
      <sheetName val="Weather"/>
      <sheetName val="Ragama"/>
      <sheetName val="Factor"/>
      <sheetName val="d-safe DELUXE"/>
      <sheetName val="sys_System"/>
      <sheetName val="LET_BAFO"/>
      <sheetName val="Sheet3"/>
      <sheetName val="Material Prices"/>
      <sheetName val="BOM"/>
      <sheetName val="sep_data"/>
      <sheetName val="9-A (SVAT) New"/>
      <sheetName val="Sheet1"/>
      <sheetName val="Seachells-Pools-25.2.2014"/>
      <sheetName val="Calc Inputs"/>
      <sheetName val="Goodwill Calculation"/>
      <sheetName val="jul_data"/>
      <sheetName val="NonPerp"/>
      <sheetName val="Perp"/>
      <sheetName val="Parameters"/>
      <sheetName val="Rate Sheet"/>
      <sheetName val="bill0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50.xml><?xml version="1.0" encoding="utf-8"?>
<externalLink xmlns="http://schemas.openxmlformats.org/spreadsheetml/2006/main">
  <externalBook xmlns:r="http://schemas.openxmlformats.org/officeDocument/2006/relationships" r:id="rId1">
    <sheetNames>
      <sheetName val="\\May4\D\Documents and Settings"/>
      <sheetName val="THOP95.XLS"/>
      <sheetName val="THOP95"/>
      <sheetName val="BQLIST"/>
      <sheetName val="[THOP95.XLS]\\May4\D\Documents "/>
      <sheetName val="B-3.2 EB"/>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51.xml><?xml version="1.0" encoding="utf-8"?>
<externalLink xmlns="http://schemas.openxmlformats.org/spreadsheetml/2006/main">
  <externalBook xmlns:r="http://schemas.openxmlformats.org/officeDocument/2006/relationships" r:id="rId1">
    <sheetNames>
      <sheetName val="RI"/>
      <sheetName val="MA2"/>
      <sheetName val="p"/>
      <sheetName val="elec."/>
      <sheetName val="W11"/>
      <sheetName val="civ."/>
      <sheetName val="BOQ"/>
      <sheetName val="BOQ1"/>
      <sheetName val="BCT"/>
      <sheetName val="PD"/>
      <sheetName val="Sheet1"/>
      <sheetName val="RIW"/>
      <sheetName val="AP"/>
      <sheetName val="EngDept"/>
      <sheetName val="WO"/>
      <sheetName val="Pur"/>
      <sheetName val="WS"/>
      <sheetName val="Sheet2"/>
      <sheetName val="SOS"/>
      <sheetName val="RT"/>
      <sheetName val="ORG.C"/>
      <sheetName val="ELECTRICAL"/>
      <sheetName val="HVAC"/>
      <sheetName val="SANITARY"/>
      <sheetName val="CIVIL"/>
      <sheetName val="SUMMARY"/>
      <sheetName val="FIRE FIGHTING"/>
      <sheetName val="conc-foot-gradeslab"/>
      <sheetName val="99G"/>
      <sheetName val="BQLIST"/>
      <sheetName val="NonPerp"/>
      <sheetName val="Per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52.xml><?xml version="1.0" encoding="utf-8"?>
<externalLink xmlns="http://schemas.openxmlformats.org/spreadsheetml/2006/main">
  <externalBook xmlns:r="http://schemas.openxmlformats.org/officeDocument/2006/relationships" r:id="rId1">
    <sheetNames>
      <sheetName val="DRIVER WBS COSTS"/>
      <sheetName val="Labor &amp; cryostat Inputs"/>
      <sheetName val="Cavity Inputs"/>
      <sheetName val="Cavity Summary"/>
      <sheetName val=".021 FORK"/>
      <sheetName val=".03 FORK"/>
      <sheetName val="QWR"/>
      <sheetName val="175MHz"/>
      <sheetName val="345MHz "/>
      <sheetName val="Box cryostat costs (Ken &amp; Joel)"/>
      <sheetName val="STMspry"/>
      <sheetName val="PsychroData"/>
      <sheetName val="노임"/>
      <sheetName val="RIA Driver Cost (Update #1) Rev"/>
      <sheetName val="일반공사"/>
      <sheetName val="IN"/>
      <sheetName val="BOQ"/>
      <sheetName val="SUM-AIR-Submit"/>
      <sheetName val="DETAIL "/>
      <sheetName val="ค่าวัสดุ"/>
      <sheetName val="Material"/>
      <sheetName val="Furniture"/>
      <sheetName val="Invoice"/>
      <sheetName val="splinkler"/>
      <sheetName val="PGM_2LEVYTD"/>
      <sheetName val="Sheet1"/>
      <sheetName val="Equipment"/>
      <sheetName val="Take-off stru"/>
      <sheetName val="e4rev"/>
      <sheetName val="Prod-1"/>
      <sheetName val="Purchase Order"/>
      <sheetName val="Customize Your Purchase Order"/>
      <sheetName val="E-4"/>
      <sheetName val="งานประปา"/>
      <sheetName val="DRIVER_WBS_COSTS"/>
      <sheetName val="Labor_&amp;_cryostat_Inputs"/>
      <sheetName val="Cavity_Inputs"/>
      <sheetName val="Cavity_Summary"/>
      <sheetName val="_021_FORK"/>
      <sheetName val="_03_FORK"/>
      <sheetName val="345MHz_"/>
      <sheetName val="Box_cryostat_costs_(Ken_&amp;_Joel)"/>
      <sheetName val="RIA_Driver_Cost_(Update_#1)_Rev"/>
      <sheetName val="DETAIL_"/>
      <sheetName val="summary1-3"/>
      <sheetName val="DRIVER WBS C"/>
      <sheetName val="Labor &amp; cryo"/>
      <sheetName val="Cavity Input"/>
      <sheetName val="Cavity Summa"/>
      <sheetName val="Box cryostat"/>
      <sheetName val="RIA Driver C"/>
      <sheetName val="Main Sum (Hotel &amp; Residences)"/>
      <sheetName val="Name-list"/>
      <sheetName val="BOX Cryostat Details"/>
      <sheetName val="Driver Linac Layout"/>
      <sheetName val="Inputs"/>
      <sheetName val="Magnet Details"/>
      <sheetName val="Worksheet"/>
      <sheetName val="liste"/>
      <sheetName val="Manpower"/>
      <sheetName val="Factors"/>
    </sheetNames>
    <definedNames>
      <definedName name="NToS" refersTo="=#NAM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253.xml><?xml version="1.0" encoding="utf-8"?>
<externalLink xmlns="http://schemas.openxmlformats.org/spreadsheetml/2006/main">
  <externalBook xmlns:r="http://schemas.openxmlformats.org/officeDocument/2006/relationships" r:id="rId1">
    <sheetNames>
      <sheetName val="summary"/>
      <sheetName val="COR"/>
      <sheetName val="(43)"/>
      <sheetName val="(42)"/>
      <sheetName val="(33)"/>
      <sheetName val="(32)"/>
      <sheetName val="(28)"/>
      <sheetName val="(26) cont'd"/>
      <sheetName val="(26)"/>
      <sheetName val="(25)"/>
      <sheetName val="(23)"/>
      <sheetName val="(022)"/>
      <sheetName val="021"/>
      <sheetName val="018 (cont)"/>
      <sheetName val="018"/>
      <sheetName val="017"/>
      <sheetName val="015"/>
      <sheetName val="11"/>
      <sheetName val="10"/>
      <sheetName val="09"/>
      <sheetName val="08"/>
      <sheetName val="07"/>
      <sheetName val="06"/>
      <sheetName val="02(cont)"/>
      <sheetName val="02"/>
      <sheetName val="01"/>
      <sheetName val="Number"/>
      <sheetName val="CO"/>
      <sheetName val="Ragama"/>
      <sheetName val="BO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54.xml><?xml version="1.0" encoding="utf-8"?>
<externalLink xmlns="http://schemas.openxmlformats.org/spreadsheetml/2006/main">
  <externalBook xmlns:r="http://schemas.openxmlformats.org/officeDocument/2006/relationships" r:id="rId1">
    <sheetNames>
      <sheetName val="概総括1"/>
      <sheetName val="MSS "/>
      <sheetName val="Cavity Inputs"/>
    </sheetNames>
    <sheetDataSet>
      <sheetData sheetId="0" refreshError="1"/>
      <sheetData sheetId="1" refreshError="1"/>
      <sheetData sheetId="2" refreshError="1"/>
    </sheetDataSet>
  </externalBook>
</externalLink>
</file>

<file path=xl/externalLinks/externalLink255.xml><?xml version="1.0" encoding="utf-8"?>
<externalLink xmlns="http://schemas.openxmlformats.org/spreadsheetml/2006/main">
  <externalBook xmlns:r="http://schemas.openxmlformats.org/officeDocument/2006/relationships" r:id="rId1">
    <sheetNames>
      <sheetName val="sys_System"/>
      <sheetName val="IS"/>
      <sheetName val="BS"/>
      <sheetName val="CF"/>
      <sheetName val="MEMOs"/>
      <sheetName val="Sheet3"/>
      <sheetName val="Enclo.compar.EMP-RND"/>
      <sheetName val="total"/>
      <sheetName val="costing sheet"/>
      <sheetName val="Fcst Tool"/>
      <sheetName val="Factor"/>
      <sheetName val="ID Office-R1 - 23.8.2012"/>
      <sheetName val="Schnieder Price List-July 2012"/>
      <sheetName val="Admin"/>
      <sheetName val="ELE Summary"/>
      <sheetName val="2005 - GAAP"/>
      <sheetName val="AU Zone"/>
      <sheetName val="Kaatsu H.A.M.T.T.C.-7 jan 10"/>
      <sheetName val="Rate Sheet"/>
      <sheetName val="Distributor Details"/>
      <sheetName val="Schedules"/>
      <sheetName val="Start"/>
      <sheetName val="LET_BAFO"/>
      <sheetName val="Material Prices"/>
      <sheetName val="Product Groups"/>
      <sheetName val="SLS CM"/>
      <sheetName val="Oracle Account Master"/>
      <sheetName val="Prices"/>
      <sheetName val="NOV fx rates"/>
      <sheetName val="D"/>
      <sheetName val="G"/>
      <sheetName val="E"/>
      <sheetName val="Legend"/>
      <sheetName val="SSuppliers"/>
      <sheetName val="Histry Price"/>
      <sheetName val="Ragama"/>
      <sheetName val="3.Labour"/>
      <sheetName val="1.Material"/>
      <sheetName val="MMI"/>
      <sheetName val="2.Machinery"/>
      <sheetName val="Sheet5"/>
      <sheetName val="주식"/>
      <sheetName val="General"/>
      <sheetName val="Numb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256.xml><?xml version="1.0" encoding="utf-8"?>
<externalLink xmlns="http://schemas.openxmlformats.org/spreadsheetml/2006/main">
  <externalBook xmlns:r="http://schemas.openxmlformats.org/officeDocument/2006/relationships" r:id="rId1">
    <sheetNames>
      <sheetName val="000000"/>
      <sheetName val="laroux"/>
      <sheetName val="XXXXXXXX"/>
      <sheetName val="Histry Price"/>
      <sheetName val="Norms"/>
      <sheetName val=" Factor  "/>
      <sheetName val="Summary"/>
      <sheetName val="Factor Sheet"/>
      <sheetName val="Kaatsu H.A.M.T.T.C.-7 jan 10"/>
      <sheetName val="RBD"/>
      <sheetName val="General"/>
      <sheetName val="A"/>
      <sheetName val="Sheet2"/>
      <sheetName val="total components with Rates"/>
      <sheetName val="Oracle Account Master"/>
      <sheetName val="MSS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57.xml><?xml version="1.0" encoding="utf-8"?>
<externalLink xmlns="http://schemas.openxmlformats.org/spreadsheetml/2006/main">
  <externalBook xmlns:r="http://schemas.openxmlformats.org/officeDocument/2006/relationships" r:id="rId1">
    <sheetNames>
      <sheetName val="conc-foot-gradeslab"/>
      <sheetName val="shuttering-footing"/>
      <sheetName val="conc-shear-lift-retaingwall"/>
      <sheetName val="shutt-shear-lift-retaingwall"/>
      <sheetName val="reinft-footing-gradeslab"/>
      <sheetName val="reinft-shear-lift"/>
      <sheetName val="Indices-old"/>
      <sheetName val="Indices-final"/>
      <sheetName val="Data"/>
      <sheetName val="Publicbuilding"/>
      <sheetName val="Break up Sheet"/>
      <sheetName val="Notes"/>
      <sheetName val="beam-reinft"/>
      <sheetName val="concrete"/>
      <sheetName val="Indices"/>
      <sheetName val="BQ"/>
      <sheetName val="NKC6"/>
      <sheetName val="Furniture"/>
      <sheetName val="DetEst"/>
      <sheetName val="labour"/>
      <sheetName val="budget"/>
      <sheetName val="Design"/>
      <sheetName val="Loads"/>
      <sheetName val="Load Details-220kV"/>
      <sheetName val="Legal Risk Analysis"/>
      <sheetName val="BOQ T4B"/>
      <sheetName val="Sheet3 (2)"/>
      <sheetName val="office"/>
      <sheetName val="Lab"/>
      <sheetName val="Material&amp;equipment"/>
      <sheetName val="Wordsdata"/>
      <sheetName val="item"/>
      <sheetName val="Lead"/>
      <sheetName val="PS1"/>
      <sheetName val="Project Budget Worksheet"/>
      <sheetName val="#REF!"/>
      <sheetName val="BOQ- Parcel 3"/>
      <sheetName val="BOQ- Parcel 3- working"/>
      <sheetName val="STILT"/>
      <sheetName val="COM.AREA"/>
      <sheetName val="3 BHK-type 1-ff"/>
      <sheetName val="3 BHK-type 2-ff"/>
      <sheetName val="3 BHK-type 1"/>
      <sheetName val="3 BHK-type 2"/>
      <sheetName val="JOINERY -basement"/>
      <sheetName val="EXT.PAINTING  (2)"/>
      <sheetName val="ELEVATION A"/>
      <sheetName val="SUMMARY "/>
      <sheetName val="ASSUMPTION"/>
      <sheetName val="Formulas"/>
      <sheetName val="conc_foot_gradeslab"/>
      <sheetName val="Builtup Area"/>
      <sheetName val="Aditya- BOQ-workings-23.08"/>
      <sheetName val="Detail"/>
      <sheetName val="BOQ-STEEL"/>
      <sheetName val="BOQ-Part1"/>
      <sheetName val="LOCAL RATES"/>
      <sheetName val="Abstract Sheet"/>
      <sheetName val="Birla Sruya"/>
      <sheetName val="Substation"/>
      <sheetName val="LANGUAGE"/>
      <sheetName val="Break_up_Sheet"/>
      <sheetName val="Load_Details-220kV"/>
      <sheetName val="Legal_Risk_Analysis"/>
      <sheetName val="BOQ_T4B"/>
      <sheetName val="Sheet3_(2)"/>
      <sheetName val="Project_Budget_Worksheet"/>
      <sheetName val="Basement Budget"/>
      <sheetName val="Invoice List"/>
      <sheetName val="Pay_Sep06"/>
      <sheetName val="Liste"/>
      <sheetName val="MECHANICAL"/>
      <sheetName val="Approved MTD Proj #'s"/>
      <sheetName val="data3"/>
      <sheetName val="B-2"/>
      <sheetName val="RA-markate"/>
      <sheetName val="주식"/>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258.xml><?xml version="1.0" encoding="utf-8"?>
<externalLink xmlns="http://schemas.openxmlformats.org/spreadsheetml/2006/main">
  <externalBook xmlns:r="http://schemas.openxmlformats.org/officeDocument/2006/relationships" r:id="rId1">
    <sheetNames>
      <sheetName val="Definitions"/>
      <sheetName val="UR2-Calculation"/>
      <sheetName val="Totals"/>
      <sheetName val="RPP"/>
      <sheetName val="RPP_Opt"/>
      <sheetName val="Project"/>
      <sheetName val="Project_Options"/>
      <sheetName val="Project_add_struct"/>
      <sheetName val="alternat_structures"/>
      <sheetName val="BOQ_Outlying_Facilities"/>
      <sheetName val="calculation"/>
      <sheetName val="W723 FA-h"/>
      <sheetName val="Kostenverfolgung"/>
      <sheetName val="Deltabegründung"/>
      <sheetName val="BOQ"/>
      <sheetName val="Einzelblatt_1"/>
      <sheetName val="SPEL_6032"/>
      <sheetName val="RA-markate"/>
      <sheetName val="concrete"/>
      <sheetName val="RCC,Ret. Wall"/>
      <sheetName val="PPA Summary"/>
      <sheetName val="strand"/>
      <sheetName val="DetEst"/>
      <sheetName val="labour"/>
      <sheetName val="Codes"/>
      <sheetName val="RCC_Ret_ Wall"/>
      <sheetName val="RA_markate"/>
      <sheetName val="P&amp;L-BDMC"/>
      <sheetName val="目录"/>
      <sheetName val="Fill this out first..."/>
      <sheetName val="grid"/>
      <sheetName val="Timesheet"/>
      <sheetName val="Material"/>
      <sheetName val="9. Package split - Cost "/>
      <sheetName val="MASTER"/>
      <sheetName val="Intro."/>
      <sheetName val="W723_FA-h"/>
      <sheetName val="RCC,Ret__Wall"/>
      <sheetName val="PPA_Summary"/>
      <sheetName val="RCC_Ret__Wall"/>
      <sheetName val="Parameter"/>
      <sheetName val="ZGK025_int_calc03_Preisanfrage"/>
      <sheetName val="W723_FA-h2"/>
      <sheetName val="RCC,Ret__Wall2"/>
      <sheetName val="PPA_Summary2"/>
      <sheetName val="RCC_Ret__Wall2"/>
      <sheetName val="W723_FA-h1"/>
      <sheetName val="RCC,Ret__Wall1"/>
      <sheetName val="PPA_Summary1"/>
      <sheetName val="RCC_Ret__Wall1"/>
      <sheetName val="W723_FA-h3"/>
      <sheetName val="RCC,Ret__Wall3"/>
      <sheetName val="PPA_Summary3"/>
      <sheetName val="RCC_Ret__Wall3"/>
      <sheetName val="W723_FA-h4"/>
      <sheetName val="RCC,Ret__Wall4"/>
      <sheetName val="PPA_Summary4"/>
      <sheetName val="RCC_Ret__Wall4"/>
      <sheetName val="W723_FA-h5"/>
      <sheetName val="RCC,Ret__Wall5"/>
      <sheetName val="PPA_Summary5"/>
      <sheetName val="RCC_Ret__Wall5"/>
      <sheetName val="W723_FA-h6"/>
      <sheetName val="RCC,Ret__Wall6"/>
      <sheetName val="PPA_Summary6"/>
      <sheetName val="RCC_Ret__Wall6"/>
      <sheetName val="W723_FA-h7"/>
      <sheetName val="RCC,Ret__Wall7"/>
      <sheetName val="PPA_Summary7"/>
      <sheetName val="RCC_Ret__Wall7"/>
      <sheetName val="W723_FA-h8"/>
      <sheetName val="RCC,Ret__Wall8"/>
      <sheetName val="PPA_Summary8"/>
      <sheetName val="RCC_Ret__Wall8"/>
      <sheetName val="DETAILED__BOQ"/>
      <sheetName val="W723_FA-h14"/>
      <sheetName val="RCC,Ret__Wall14"/>
      <sheetName val="PPA_Summary14"/>
      <sheetName val="RCC_Ret__Wall14"/>
      <sheetName val="W723_FA-h10"/>
      <sheetName val="RCC,Ret__Wall10"/>
      <sheetName val="PPA_Summary10"/>
      <sheetName val="RCC_Ret__Wall10"/>
      <sheetName val="W723_FA-h9"/>
      <sheetName val="RCC,Ret__Wall9"/>
      <sheetName val="PPA_Summary9"/>
      <sheetName val="RCC_Ret__Wall9"/>
      <sheetName val="W723_FA-h11"/>
      <sheetName val="RCC,Ret__Wall11"/>
      <sheetName val="PPA_Summary11"/>
      <sheetName val="RCC_Ret__Wall11"/>
      <sheetName val="W723_FA-h12"/>
      <sheetName val="RCC,Ret__Wall12"/>
      <sheetName val="PPA_Summary12"/>
      <sheetName val="RCC_Ret__Wall12"/>
      <sheetName val="W723_FA-h13"/>
      <sheetName val="RCC,Ret__Wall13"/>
      <sheetName val="PPA_Summary13"/>
      <sheetName val="RCC_Ret__Wall13"/>
      <sheetName val="W723_FA-h20"/>
      <sheetName val="RCC,Ret__Wall20"/>
      <sheetName val="PPA_Summary20"/>
      <sheetName val="RCC_Ret__Wall20"/>
      <sheetName val="W723_FA-h15"/>
      <sheetName val="RCC,Ret__Wall15"/>
      <sheetName val="PPA_Summary15"/>
      <sheetName val="RCC_Ret__Wall15"/>
      <sheetName val="W723_FA-h16"/>
      <sheetName val="RCC,Ret__Wall16"/>
      <sheetName val="PPA_Summary16"/>
      <sheetName val="RCC_Ret__Wall16"/>
      <sheetName val="Fill_this_out_first___3"/>
      <sheetName val="9__Package_split_-_Cost_3"/>
      <sheetName val="W723_FA-h17"/>
      <sheetName val="RCC,Ret__Wall17"/>
      <sheetName val="PPA_Summary17"/>
      <sheetName val="RCC_Ret__Wall17"/>
      <sheetName val="Fill_this_out_first___"/>
      <sheetName val="9__Package_split_-_Cost_"/>
      <sheetName val="W723_FA-h18"/>
      <sheetName val="RCC,Ret__Wall18"/>
      <sheetName val="PPA_Summary18"/>
      <sheetName val="RCC_Ret__Wall18"/>
      <sheetName val="Fill_this_out_first___1"/>
      <sheetName val="9__Package_split_-_Cost_1"/>
      <sheetName val="W723_FA-h19"/>
      <sheetName val="RCC,Ret__Wall19"/>
      <sheetName val="PPA_Summary19"/>
      <sheetName val="RCC_Ret__Wall19"/>
      <sheetName val="Fill_this_out_first___2"/>
      <sheetName val="9__Package_split_-_Cost_2"/>
      <sheetName val="W723_FA-h21"/>
      <sheetName val="RCC,Ret__Wall21"/>
      <sheetName val="PPA_Summary21"/>
      <sheetName val="RCC_Ret__Wall21"/>
      <sheetName val="Fill_this_out_first___4"/>
      <sheetName val="9__Package_split_-_Cost_4"/>
      <sheetName val="W723_FA-h22"/>
      <sheetName val="RCC,Ret__Wall22"/>
      <sheetName val="PPA_Summary22"/>
      <sheetName val="RCC_Ret__Wall22"/>
      <sheetName val="Fill_this_out_first___5"/>
      <sheetName val="9__Package_split_-_Cost_5"/>
      <sheetName val="W723_FA-h23"/>
      <sheetName val="RCC,Ret__Wall23"/>
      <sheetName val="PPA_Summary23"/>
      <sheetName val="RCC_Ret__Wall23"/>
      <sheetName val="Fill_this_out_first___6"/>
      <sheetName val="9__Package_split_-_Cost_6"/>
      <sheetName val="W723_FA-h24"/>
      <sheetName val="RCC,Ret__Wall24"/>
      <sheetName val="PPA_Summary24"/>
      <sheetName val="RCC_Ret__Wall24"/>
      <sheetName val="Fill_this_out_first___7"/>
      <sheetName val="9__Package_split_-_Cost_7"/>
      <sheetName val="Intro_"/>
      <sheetName val="Approved MTD Proj #'s"/>
      <sheetName val="10. &amp; 11. Rate Code &amp; BQ"/>
      <sheetName val="Voucher"/>
      <sheetName val="COLUMN"/>
      <sheetName val="7 Other Costs"/>
      <sheetName val="Summary"/>
      <sheetName val="1st flr"/>
      <sheetName val="Detail"/>
      <sheetName val="Factors "/>
      <sheetName val="REL"/>
      <sheetName val="wordsdata"/>
      <sheetName val="Load Details(B1)"/>
      <sheetName val="Sheet1"/>
      <sheetName val="Sheet3 (2)"/>
      <sheetName val="Lead"/>
      <sheetName val="Design"/>
      <sheetName val="Vehicles"/>
      <sheetName val="Basement Budget"/>
      <sheetName val="INPUT SHEET"/>
      <sheetName val="Field Values"/>
      <sheetName val="TBAL9697 -group wise  sdpl"/>
      <sheetName val="shn"/>
      <sheetName val="PROG_DATA"/>
      <sheetName val="budget"/>
      <sheetName val="Material "/>
      <sheetName val=""/>
      <sheetName val="PLAN_FEB97"/>
      <sheetName val="Ref_Sheet"/>
      <sheetName val="1. Acquisition"/>
      <sheetName val="Labour &amp; Plant"/>
      <sheetName val="S4"/>
      <sheetName val="estimate"/>
      <sheetName val="Improvements"/>
      <sheetName val="released-S4(04-05)"/>
      <sheetName val="Abutment "/>
      <sheetName val="REVENUES &amp; BS"/>
      <sheetName val="Cash Flow"/>
      <sheetName val="Notes"/>
      <sheetName val="conc-foot-gradeslab"/>
      <sheetName val="Total Operations"/>
      <sheetName val="White Group"/>
      <sheetName val="Oracle Account Mas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Set>
  </externalBook>
</externalLink>
</file>

<file path=xl/externalLinks/externalLink259.xml><?xml version="1.0" encoding="utf-8"?>
<externalLink xmlns="http://schemas.openxmlformats.org/spreadsheetml/2006/main">
  <externalBook xmlns:r="http://schemas.openxmlformats.org/officeDocument/2006/relationships" r:id="rId1">
    <sheetNames>
      <sheetName val="Tax Impact"/>
      <sheetName val="Fuel Fluctuation"/>
      <sheetName val="Fuel  Initial Calculation"/>
      <sheetName val="Staff Transport"/>
      <sheetName val="INPUT SHEET"/>
      <sheetName val="Definitions"/>
      <sheetName val="RA-markate"/>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60.xml><?xml version="1.0" encoding="utf-8"?>
<externalLink xmlns="http://schemas.openxmlformats.org/spreadsheetml/2006/main">
  <externalBook xmlns:r="http://schemas.openxmlformats.org/officeDocument/2006/relationships" r:id="rId1">
    <sheetNames>
      <sheetName val="ELE Summary"/>
      <sheetName val="Grand Summary"/>
      <sheetName val="GS1"/>
      <sheetName val="1A"/>
      <sheetName val="Any Other Works"/>
      <sheetName val="1B"/>
      <sheetName val="1C"/>
      <sheetName val="1D "/>
      <sheetName val="GS2"/>
      <sheetName val="2A"/>
      <sheetName val="2B "/>
      <sheetName val="2C"/>
      <sheetName val="2D"/>
      <sheetName val="2E"/>
      <sheetName val="GS3"/>
      <sheetName val="3A"/>
      <sheetName val="3B"/>
      <sheetName val="GS4"/>
      <sheetName val="4A"/>
      <sheetName val="4B"/>
      <sheetName val="4C"/>
      <sheetName val="4D"/>
      <sheetName val="4E"/>
      <sheetName val="GS5"/>
      <sheetName val="5A"/>
      <sheetName val="5B"/>
      <sheetName val="5C"/>
      <sheetName val="Elect Cost Saving Proposal"/>
      <sheetName val="PH3-FS-Alter"/>
      <sheetName val="PH2-FS-Alter"/>
      <sheetName val="2A (2)"/>
      <sheetName val="5D"/>
      <sheetName val="calculations"/>
      <sheetName val="NEW PRODUCT SALES FORCE"/>
      <sheetName val="CQ by Entity"/>
      <sheetName val="FY by Entity"/>
      <sheetName val="INDEX"/>
      <sheetName val="NQ by Entity"/>
      <sheetName val="CQ Bridge"/>
      <sheetName val="CQ Orders"/>
      <sheetName val="Org Growth"/>
      <sheetName val="Monthly Trend Act MOR pv"/>
      <sheetName val="Price"/>
      <sheetName val="d-safe DELUXE"/>
      <sheetName val="Summary"/>
      <sheetName val="Sheet3"/>
      <sheetName val="산근"/>
      <sheetName val="Material Prices to site"/>
      <sheetName val="Sheet5"/>
      <sheetName val="Product Groups"/>
      <sheetName val="sys_System"/>
      <sheetName val="INPUT SHEET"/>
      <sheetName val="conc-foot-gradesla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261.xml><?xml version="1.0" encoding="utf-8"?>
<externalLink xmlns="http://schemas.openxmlformats.org/spreadsheetml/2006/main">
  <externalBook xmlns:r="http://schemas.openxmlformats.org/officeDocument/2006/relationships" r:id="rId1">
    <sheetNames>
      <sheetName val="Ragama"/>
      <sheetName val="Tangalle hos"/>
      <sheetName val="Enclo.compar.EMP-RND"/>
      <sheetName val="Histry Price"/>
      <sheetName val="SSuppliers"/>
      <sheetName val="Sheet1"/>
      <sheetName val="Calc Inputs"/>
      <sheetName val="RATE"/>
      <sheetName val="Tangalle_hos"/>
      <sheetName val="Enclo_compar_EMP-RND"/>
      <sheetName val="Main-Material"/>
      <sheetName val="Oracle Account Master"/>
      <sheetName val="Factor Sheet"/>
      <sheetName val="Sheet2"/>
      <sheetName val="Seachells-Pools-25.2.2014"/>
      <sheetName val="costing sheet"/>
      <sheetName val="COVER"/>
      <sheetName val="Contract BOQ"/>
      <sheetName val="RBD"/>
      <sheetName val="Cost Factor Sheet"/>
      <sheetName val="TBLS"/>
      <sheetName val="EV_FC"/>
      <sheetName val="Sheet3"/>
      <sheetName val=" Factor  "/>
      <sheetName val="Earthing CT"/>
      <sheetName val="Rates"/>
      <sheetName val="bill04"/>
      <sheetName val="JOB COSTING SHEET HVAC"/>
      <sheetName val="SubmitCal"/>
      <sheetName val="Lookup"/>
      <sheetName val="③赤紙(日文)"/>
      <sheetName val="may_data"/>
      <sheetName val="Room Type"/>
      <sheetName val="Database"/>
      <sheetName val="Date Ranges"/>
      <sheetName val="Basement2 DB"/>
      <sheetName val="HyperionEnt"/>
      <sheetName val="ancillary"/>
      <sheetName val="Material Prices"/>
      <sheetName val="Assumptions"/>
      <sheetName val="Product Groups"/>
      <sheetName val="sys_System"/>
      <sheetName val="Defini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62.xml><?xml version="1.0" encoding="utf-8"?>
<externalLink xmlns="http://schemas.openxmlformats.org/spreadsheetml/2006/main">
  <externalBook xmlns:r="http://schemas.openxmlformats.org/officeDocument/2006/relationships" r:id="rId1">
    <sheetNames>
      <sheetName val="Capital cost (Sep16) (2)"/>
      <sheetName val="Chiller"/>
      <sheetName val="Capital cost (Aug16)"/>
      <sheetName val="BMS"/>
      <sheetName val="Tab2-Qualifications"/>
      <sheetName val="Sheet1"/>
      <sheetName val="Capital cost"/>
      <sheetName val="Sheet2"/>
      <sheetName val="Sheet3"/>
      <sheetName val="Capital cost (Sep16)"/>
      <sheetName val="tax"/>
      <sheetName val="Calc Inputs"/>
      <sheetName val="sep_data"/>
      <sheetName val="RBD"/>
      <sheetName val="Seachells-Pools-25.2.2014"/>
      <sheetName val="Ragama"/>
      <sheetName val="costing sheet"/>
      <sheetName val="SSuppliers"/>
      <sheetName val="HyperionEnt"/>
      <sheetName val="Input"/>
      <sheetName val="BOM"/>
      <sheetName val="Rate Sheet"/>
      <sheetName val="Price List"/>
      <sheetName val="ELE Summary"/>
      <sheetName val="sys_System"/>
      <sheetName val="Product Groups"/>
      <sheetName val="3.Labour"/>
      <sheetName val="1.Material"/>
      <sheetName val="MMI"/>
      <sheetName val="2.Machinery"/>
      <sheetName val="RANGE"/>
      <sheetName val="INPUT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63.xml><?xml version="1.0" encoding="utf-8"?>
<externalLink xmlns="http://schemas.openxmlformats.org/spreadsheetml/2006/main">
  <externalBook xmlns:r="http://schemas.openxmlformats.org/officeDocument/2006/relationships" r:id="rId1">
    <sheetNames>
      <sheetName val="Parameters"/>
      <sheetName val="Conso_TVCEMEA"/>
      <sheetName val="Monthly"/>
      <sheetName val="TFC"/>
      <sheetName val="TTC"/>
      <sheetName val="NORTH AMERICA"/>
      <sheetName val="LATIN AMERICA"/>
      <sheetName val="EUROPE"/>
      <sheetName val="ASIA"/>
      <sheetName val="PACIFIC"/>
      <sheetName val="HYP CODE Structure"/>
      <sheetName val="total"/>
      <sheetName val="Sheet3"/>
      <sheetName val="Chiller"/>
      <sheetName val="sep_data"/>
      <sheetName val="Histry Price"/>
      <sheetName val="Variables"/>
      <sheetName val="calculations"/>
      <sheetName val="1A"/>
      <sheetName val="HyperionEnt"/>
      <sheetName val="V3100 Prices_Raw"/>
      <sheetName val="ID Office-R1 - 23.8.2012"/>
      <sheetName val="Schnieder Price List-July 2012"/>
      <sheetName val="RESOURCES"/>
      <sheetName val="BASIC RATES"/>
      <sheetName val="Financial Summary"/>
      <sheetName val="Factor"/>
      <sheetName val="SSuppliers"/>
      <sheetName val="Input"/>
      <sheetName val="Sheet1"/>
      <sheetName val="sys_System"/>
      <sheetName val="Product Groups"/>
      <sheetName val="LET_BAFO"/>
      <sheetName val="tables"/>
      <sheetName val="SLS CM"/>
      <sheetName val="Calc Inputs"/>
      <sheetName val="Main-Material"/>
      <sheetName val="Ragama"/>
      <sheetName val="Sheet5"/>
      <sheetName val="JOB COSTING SHEET ELEC"/>
      <sheetName val="Summary"/>
      <sheetName val="OLD PRICES"/>
      <sheetName val="Lookup"/>
      <sheetName val="costing sheet"/>
      <sheetName val="NonPerp"/>
      <sheetName val="Perp"/>
      <sheetName val="Material"/>
      <sheetName val="covere"/>
      <sheetName val="BO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64.xml><?xml version="1.0" encoding="utf-8"?>
<externalLink xmlns="http://schemas.openxmlformats.org/spreadsheetml/2006/main">
  <externalBook xmlns:r="http://schemas.openxmlformats.org/officeDocument/2006/relationships" r:id="rId1">
    <sheetNames>
      <sheetName val="chandra kumara"/>
      <sheetName val="paint nissanka"/>
      <sheetName val="extra work"/>
      <sheetName val="Rate brake down"/>
      <sheetName val="Sheet1"/>
      <sheetName val="B.O.Q"/>
      <sheetName val="Summary"/>
      <sheetName val="Sheet2"/>
      <sheetName val="Priced (2)"/>
      <sheetName val="GroundFlr."/>
      <sheetName val="Schedules"/>
      <sheetName val="Factor Sheet"/>
      <sheetName val="Bill 5 - Carpark"/>
      <sheetName val="Homagama Grounds-9.7.2013"/>
      <sheetName val="Parameters"/>
      <sheetName val="B-3.2 EB"/>
      <sheetName val="SSuppliers"/>
      <sheetName val="ELE Summary"/>
      <sheetName val="Ragama"/>
      <sheetName val="3.Labour"/>
      <sheetName val="1.Material"/>
      <sheetName val="MMI"/>
      <sheetName val="2.Machinery"/>
      <sheetName val="Sheet3"/>
      <sheetName val="Material Prices"/>
      <sheetName val="A"/>
      <sheetName val="금융비용"/>
      <sheetName val="Input"/>
      <sheetName val="RBD"/>
      <sheetName val="sep_data"/>
      <sheetName val="Chiller"/>
      <sheetName val="costing sheet"/>
      <sheetName val="Main-Material"/>
      <sheetName val="RANG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65.xml><?xml version="1.0" encoding="utf-8"?>
<externalLink xmlns="http://schemas.openxmlformats.org/spreadsheetml/2006/main">
  <externalBook xmlns:r="http://schemas.openxmlformats.org/officeDocument/2006/relationships" r:id="rId1">
    <sheetNames>
      <sheetName val="Summary"/>
      <sheetName val="Unit Price"/>
      <sheetName val="Administrative Prices"/>
      <sheetName val="RANGE"/>
      <sheetName val="SSuppliers"/>
      <sheetName val="FAB별"/>
      <sheetName val="MOS"/>
      <sheetName val="RBD"/>
      <sheetName val="BO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66.xml><?xml version="1.0" encoding="utf-8"?>
<externalLink xmlns="http://schemas.openxmlformats.org/spreadsheetml/2006/main">
  <externalBook xmlns:r="http://schemas.openxmlformats.org/officeDocument/2006/relationships" r:id="rId1">
    <sheetNames>
      <sheetName val="STEEL-SLAB1)"/>
      <sheetName val="column-part"/>
      <sheetName val="Indices"/>
      <sheetName val="COLUMN"/>
      <sheetName val="Rate analysis"/>
      <sheetName val="Break up Sheet"/>
      <sheetName val="Sheet1"/>
      <sheetName val="conc-foot-gradeslab"/>
      <sheetName val="concrete"/>
      <sheetName val="Summary"/>
      <sheetName val="SSuppliers"/>
      <sheetName val="Definitions"/>
      <sheetName val="STAFFSCHED "/>
      <sheetName val="RANGE"/>
      <sheetName val="ETC Plant Cost"/>
      <sheetName val="Data"/>
      <sheetName val="Civil Boq"/>
      <sheetName val="Staff Acco."/>
      <sheetName val="item"/>
      <sheetName val="Wordsdata"/>
      <sheetName val="water prop."/>
      <sheetName val="horizontal"/>
      <sheetName val="V.O.4 - PCC Qty"/>
      <sheetName val="Boq"/>
      <sheetName val="Abstract Sheet"/>
      <sheetName val="F8 "/>
      <sheetName val="Design"/>
      <sheetName val="site fab&amp;ernstr"/>
      <sheetName val="RA_markate"/>
      <sheetName val="RA-markate"/>
      <sheetName val="beam-reinft-IIInd floor"/>
      <sheetName val="Sheet1 (2)"/>
      <sheetName val="Basement Budget"/>
      <sheetName val="P&amp;L-BDMC"/>
      <sheetName val="Tender Summary"/>
      <sheetName val="Loads"/>
      <sheetName val="10. &amp; 11. Rate Code &amp; BQ"/>
      <sheetName val="Sheet2"/>
      <sheetName val="P_L_BDMC"/>
      <sheetName val="RCC,Ret. Wall"/>
      <sheetName val="BOQ_Direct_selling cost"/>
      <sheetName val="Lead"/>
      <sheetName val="PRECAST lightconc-II"/>
      <sheetName val="beam-reinft"/>
      <sheetName val="CABLE DATA"/>
      <sheetName val="beam-reinft-machine rm"/>
      <sheetName val="analysis"/>
      <sheetName val="Material "/>
      <sheetName val="Labour &amp; Plant"/>
      <sheetName val="grid"/>
      <sheetName val="GR.slab-reinft"/>
      <sheetName val="dBase"/>
      <sheetName val="환율"/>
      <sheetName val="Publicbuilding"/>
      <sheetName val="Costing"/>
      <sheetName val="gen"/>
      <sheetName val="Main-Material"/>
      <sheetName val="Field Values"/>
      <sheetName val="1"/>
      <sheetName val="STAFFSCHED_"/>
      <sheetName val="ETC_Plant_Cost"/>
      <sheetName val="Civil_Boq"/>
      <sheetName val="Staff_Acco_"/>
      <sheetName val="water_prop_"/>
      <sheetName val="Legal Risk Analysis"/>
      <sheetName val="Rates_PVC"/>
      <sheetName val="STG"/>
      <sheetName val="LOCAL RATES"/>
      <sheetName val="O2120-C-HP-01-BOQ-WORKINGS"/>
      <sheetName val="Project Budget Worksheet"/>
      <sheetName val="Pile cap"/>
      <sheetName val="Approved MTD Proj #'s"/>
      <sheetName val="Load Details-220kV"/>
      <sheetName val="IO LIST"/>
      <sheetName val="#REF"/>
      <sheetName val="E1"/>
      <sheetName val="Teor"/>
      <sheetName val="Schedules"/>
      <sheetName val="A-General"/>
      <sheetName val="4"/>
      <sheetName val="Structure"/>
      <sheetName val="FACTORS"/>
      <sheetName val="costing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267.xml><?xml version="1.0" encoding="utf-8"?>
<externalLink xmlns="http://schemas.openxmlformats.org/spreadsheetml/2006/main">
  <externalBook xmlns:r="http://schemas.openxmlformats.org/officeDocument/2006/relationships" r:id="rId1">
    <sheetNames>
      <sheetName val="AC REDUCED 1"/>
      <sheetName val="SAN REDUCED 1"/>
      <sheetName val="Sheet1"/>
      <sheetName val="Sheet2"/>
      <sheetName val="Sheet3"/>
      <sheetName val="General"/>
      <sheetName val="splinkler"/>
      <sheetName val="covere"/>
      <sheetName val="AC_REDUCED_1"/>
      <sheetName val="SAN_REDUCED_1"/>
      <sheetName val="SAN-CC"/>
      <sheetName val="(B)Direct"/>
      <sheetName val="BASE"/>
      <sheetName val="รวมราคาทั้งสิ้น"/>
      <sheetName val="Manpower"/>
      <sheetName val="Item 1-13"/>
      <sheetName val="Bill No. 2 - Carpark"/>
      <sheetName val="ELEC "/>
      <sheetName val="STMspry"/>
      <sheetName val="PsychroData"/>
      <sheetName val="RC.footing"/>
      <sheetName val="Quotation"/>
      <sheetName val="สรุปราคาค่าก่อสร้าง"/>
      <sheetName val="AC_REDUCED_12"/>
      <sheetName val="SAN_REDUCED_12"/>
      <sheetName val="AC_REDUCED_11"/>
      <sheetName val="SAN_REDUCED_11"/>
      <sheetName val="Book 1 Summary"/>
      <sheetName val=" SST72~Shelter"/>
      <sheetName val="เหล็ก RB, DB"/>
      <sheetName val="โครงสร้าง"/>
      <sheetName val="Unit rate Architecture"/>
      <sheetName val="Shc"/>
      <sheetName val="A"/>
      <sheetName val="B"/>
      <sheetName val="C"/>
      <sheetName val="F"/>
      <sheetName val="K"/>
      <sheetName val="J"/>
      <sheetName val="BG (R10)"/>
      <sheetName val="Kentokai Code C From"/>
      <sheetName val="Sum"/>
      <sheetName val="sum BG1"/>
      <sheetName val="CHW(1)"/>
      <sheetName val="CHW (2)"/>
      <sheetName val="CA(1)"/>
      <sheetName val="CA(2)"/>
      <sheetName val="F (1)"/>
      <sheetName val="F (2)"/>
      <sheetName val="Toilet-D (1)"/>
      <sheetName val="Toilet-D (2)"/>
      <sheetName val="Ref.(1)"/>
      <sheetName val="Ref.(2)"/>
      <sheetName val="D AC-(1)"/>
      <sheetName val="RO (1)"/>
      <sheetName val="RO (2)"/>
      <sheetName val="Recycle (1)"/>
      <sheetName val="Recycle (2)"/>
      <sheetName val="PCW(1)"/>
      <sheetName val="Sa(1)"/>
      <sheetName val="Sa(2)"/>
      <sheetName val="SC Duct (1)"/>
      <sheetName val="SC Duct (2)"/>
      <sheetName val="PCW (2)"/>
      <sheetName val="Process D(1)"/>
      <sheetName val="Process D(2)"/>
      <sheetName val="CW (1)"/>
      <sheetName val="CW (2)"/>
      <sheetName val="Total"/>
      <sheetName val="Mat"/>
      <sheetName val="Concourse-C"/>
      <sheetName val=""/>
      <sheetName val="SUMMARY"/>
      <sheetName val="summary1-3"/>
      <sheetName val="summary1-2"/>
      <sheetName val="S0"/>
      <sheetName val="Footing Work"/>
      <sheetName val="Cost Planing (R) (2)"/>
      <sheetName val="1 (2)"/>
      <sheetName val="大学A"/>
      <sheetName val="大学B"/>
      <sheetName val="短大"/>
      <sheetName val="副部長以下管理職"/>
      <sheetName val="部長以上"/>
      <sheetName val="高校"/>
      <sheetName val="Data"/>
      <sheetName val="เหล็ก_RB,_DB"/>
      <sheetName val="Material"/>
      <sheetName val="Item_1-13"/>
      <sheetName val="Bill_No__2_-_Carpark"/>
      <sheetName val="ELEC_"/>
      <sheetName val="RC_footing"/>
      <sheetName val="_SST72~Shelter"/>
      <sheetName val="BG_(R10)"/>
      <sheetName val="Kentokai_Code_C_From"/>
      <sheetName val="sum_BG1"/>
      <sheetName val="CHW_(2)"/>
      <sheetName val="F_(1)"/>
      <sheetName val="F_(2)"/>
      <sheetName val="Toilet-D_(1)"/>
      <sheetName val="Toilet-D_(2)"/>
      <sheetName val="Ref_(1)"/>
      <sheetName val="Ref_(2)"/>
      <sheetName val="D_AC-(1)"/>
      <sheetName val="RO_(1)"/>
      <sheetName val="RO_(2)"/>
      <sheetName val="Recycle_(1)"/>
      <sheetName val="Recycle_(2)"/>
      <sheetName val="SC_Duct_(1)"/>
      <sheetName val="SC_Duct_(2)"/>
      <sheetName val="PCW_(2)"/>
      <sheetName val="Process_D(1)"/>
      <sheetName val="Process_D(2)"/>
      <sheetName val="CW_(1)"/>
      <sheetName val="CW_(2)"/>
      <sheetName val="Purchase Order"/>
      <sheetName val="Customize Your Purchase Order"/>
      <sheetName val="Quotation for Mechanical System"/>
      <sheetName val="Detail Rank Assy 1(4 Oct'07)"/>
      <sheetName val="Detail_Rank_Assy_1(4_Oct'07)"/>
      <sheetName val="Detail"/>
      <sheetName val="諸経費"/>
      <sheetName val="清水計算営業税率関連"/>
      <sheetName val="(Input Data)"/>
      <sheetName val="Cover"/>
      <sheetName val="AC_REDUCED_18"/>
      <sheetName val="SAN_REDUCED_18"/>
      <sheetName val="Item_1-135"/>
      <sheetName val="Bill_No__2_-_Carpark5"/>
      <sheetName val="RC_footing5"/>
      <sheetName val="เหล็ก_RB,_DB5"/>
      <sheetName val="Unit_rate_Architecture5"/>
      <sheetName val="ELEC_5"/>
      <sheetName val="BG_(R10)5"/>
      <sheetName val="Kentokai_Code_C_From5"/>
      <sheetName val="sum_BG15"/>
      <sheetName val="CHW_(2)5"/>
      <sheetName val="F_(1)5"/>
      <sheetName val="F_(2)5"/>
      <sheetName val="Toilet-D_(1)5"/>
      <sheetName val="Toilet-D_(2)5"/>
      <sheetName val="Ref_(1)5"/>
      <sheetName val="Ref_(2)5"/>
      <sheetName val="D_AC-(1)5"/>
      <sheetName val="RO_(1)5"/>
      <sheetName val="RO_(2)5"/>
      <sheetName val="Recycle_(1)5"/>
      <sheetName val="Recycle_(2)5"/>
      <sheetName val="SC_Duct_(1)5"/>
      <sheetName val="SC_Duct_(2)5"/>
      <sheetName val="PCW_(2)5"/>
      <sheetName val="Process_D(1)5"/>
      <sheetName val="Process_D(2)5"/>
      <sheetName val="CW_(1)5"/>
      <sheetName val="CW_(2)5"/>
      <sheetName val="_SST72~Shelter5"/>
      <sheetName val="Book_1_Summary5"/>
      <sheetName val="Footing_Work5"/>
      <sheetName val="Cost_Planing_(R)_(2)5"/>
      <sheetName val="1_(2)5"/>
      <sheetName val="AC_REDUCED_13"/>
      <sheetName val="SAN_REDUCED_13"/>
      <sheetName val="Unit_rate_Architecture"/>
      <sheetName val="Book_1_Summary"/>
      <sheetName val="Footing_Work"/>
      <sheetName val="Cost_Planing_(R)_(2)"/>
      <sheetName val="1_(2)"/>
      <sheetName val="AC_REDUCED_14"/>
      <sheetName val="SAN_REDUCED_14"/>
      <sheetName val="Item_1-131"/>
      <sheetName val="Bill_No__2_-_Carpark1"/>
      <sheetName val="RC_footing1"/>
      <sheetName val="เหล็ก_RB,_DB1"/>
      <sheetName val="Unit_rate_Architecture1"/>
      <sheetName val="ELEC_1"/>
      <sheetName val="BG_(R10)1"/>
      <sheetName val="Kentokai_Code_C_From1"/>
      <sheetName val="sum_BG11"/>
      <sheetName val="CHW_(2)1"/>
      <sheetName val="F_(1)1"/>
      <sheetName val="F_(2)1"/>
      <sheetName val="Toilet-D_(1)1"/>
      <sheetName val="Toilet-D_(2)1"/>
      <sheetName val="Ref_(1)1"/>
      <sheetName val="Ref_(2)1"/>
      <sheetName val="D_AC-(1)1"/>
      <sheetName val="RO_(1)1"/>
      <sheetName val="RO_(2)1"/>
      <sheetName val="Recycle_(1)1"/>
      <sheetName val="Recycle_(2)1"/>
      <sheetName val="SC_Duct_(1)1"/>
      <sheetName val="SC_Duct_(2)1"/>
      <sheetName val="PCW_(2)1"/>
      <sheetName val="Process_D(1)1"/>
      <sheetName val="Process_D(2)1"/>
      <sheetName val="CW_(1)1"/>
      <sheetName val="CW_(2)1"/>
      <sheetName val="_SST72~Shelter1"/>
      <sheetName val="Book_1_Summary1"/>
      <sheetName val="Footing_Work1"/>
      <sheetName val="Cost_Planing_(R)_(2)1"/>
      <sheetName val="1_(2)1"/>
      <sheetName val="AC_REDUCED_15"/>
      <sheetName val="SAN_REDUCED_15"/>
      <sheetName val="Item_1-132"/>
      <sheetName val="Bill_No__2_-_Carpark2"/>
      <sheetName val="RC_footing2"/>
      <sheetName val="เหล็ก_RB,_DB2"/>
      <sheetName val="Unit_rate_Architecture2"/>
      <sheetName val="ELEC_2"/>
      <sheetName val="BG_(R10)2"/>
      <sheetName val="Kentokai_Code_C_From2"/>
      <sheetName val="sum_BG12"/>
      <sheetName val="CHW_(2)2"/>
      <sheetName val="F_(1)2"/>
      <sheetName val="F_(2)2"/>
      <sheetName val="Toilet-D_(1)2"/>
      <sheetName val="Toilet-D_(2)2"/>
      <sheetName val="Ref_(1)2"/>
      <sheetName val="Ref_(2)2"/>
      <sheetName val="D_AC-(1)2"/>
      <sheetName val="RO_(1)2"/>
      <sheetName val="RO_(2)2"/>
      <sheetName val="Recycle_(1)2"/>
      <sheetName val="Recycle_(2)2"/>
      <sheetName val="SC_Duct_(1)2"/>
      <sheetName val="SC_Duct_(2)2"/>
      <sheetName val="PCW_(2)2"/>
      <sheetName val="Process_D(1)2"/>
      <sheetName val="Process_D(2)2"/>
      <sheetName val="CW_(1)2"/>
      <sheetName val="CW_(2)2"/>
      <sheetName val="_SST72~Shelter2"/>
      <sheetName val="Book_1_Summary2"/>
      <sheetName val="Footing_Work2"/>
      <sheetName val="Cost_Planing_(R)_(2)2"/>
      <sheetName val="1_(2)2"/>
      <sheetName val="AC_REDUCED_16"/>
      <sheetName val="SAN_REDUCED_16"/>
      <sheetName val="Item_1-133"/>
      <sheetName val="Bill_No__2_-_Carpark3"/>
      <sheetName val="RC_footing3"/>
      <sheetName val="เหล็ก_RB,_DB3"/>
      <sheetName val="Unit_rate_Architecture3"/>
      <sheetName val="ELEC_3"/>
      <sheetName val="BG_(R10)3"/>
      <sheetName val="Kentokai_Code_C_From3"/>
      <sheetName val="sum_BG13"/>
      <sheetName val="CHW_(2)3"/>
      <sheetName val="F_(1)3"/>
      <sheetName val="F_(2)3"/>
      <sheetName val="Toilet-D_(1)3"/>
      <sheetName val="Toilet-D_(2)3"/>
      <sheetName val="Ref_(1)3"/>
      <sheetName val="Ref_(2)3"/>
      <sheetName val="D_AC-(1)3"/>
      <sheetName val="RO_(1)3"/>
      <sheetName val="RO_(2)3"/>
      <sheetName val="Recycle_(1)3"/>
      <sheetName val="Recycle_(2)3"/>
      <sheetName val="SC_Duct_(1)3"/>
      <sheetName val="SC_Duct_(2)3"/>
      <sheetName val="PCW_(2)3"/>
      <sheetName val="Process_D(1)3"/>
      <sheetName val="Process_D(2)3"/>
      <sheetName val="CW_(1)3"/>
      <sheetName val="CW_(2)3"/>
      <sheetName val="_SST72~Shelter3"/>
      <sheetName val="Book_1_Summary3"/>
      <sheetName val="Footing_Work3"/>
      <sheetName val="Cost_Planing_(R)_(2)3"/>
      <sheetName val="1_(2)3"/>
      <sheetName val="AC_REDUCED_17"/>
      <sheetName val="SAN_REDUCED_17"/>
      <sheetName val="Item_1-134"/>
      <sheetName val="Bill_No__2_-_Carpark4"/>
      <sheetName val="RC_footing4"/>
      <sheetName val="เหล็ก_RB,_DB4"/>
      <sheetName val="Unit_rate_Architecture4"/>
      <sheetName val="ELEC_4"/>
      <sheetName val="BG_(R10)4"/>
      <sheetName val="Kentokai_Code_C_From4"/>
      <sheetName val="sum_BG14"/>
      <sheetName val="CHW_(2)4"/>
      <sheetName val="F_(1)4"/>
      <sheetName val="F_(2)4"/>
      <sheetName val="Toilet-D_(1)4"/>
      <sheetName val="Toilet-D_(2)4"/>
      <sheetName val="Ref_(1)4"/>
      <sheetName val="Ref_(2)4"/>
      <sheetName val="D_AC-(1)4"/>
      <sheetName val="RO_(1)4"/>
      <sheetName val="RO_(2)4"/>
      <sheetName val="Recycle_(1)4"/>
      <sheetName val="Recycle_(2)4"/>
      <sheetName val="SC_Duct_(1)4"/>
      <sheetName val="SC_Duct_(2)4"/>
      <sheetName val="PCW_(2)4"/>
      <sheetName val="Process_D(1)4"/>
      <sheetName val="Process_D(2)4"/>
      <sheetName val="CW_(1)4"/>
      <sheetName val="CW_(2)4"/>
      <sheetName val="_SST72~Shelter4"/>
      <sheetName val="Book_1_Summary4"/>
      <sheetName val="Footing_Work4"/>
      <sheetName val="Cost_Planing_(R)_(2)4"/>
      <sheetName val="1_(2)4"/>
      <sheetName val="AC_REDUCED_19"/>
      <sheetName val="SAN_REDUCED_19"/>
      <sheetName val="Item_1-136"/>
      <sheetName val="Bill_No__2_-_Carpark6"/>
      <sheetName val="RC_footing6"/>
      <sheetName val="เหล็ก_RB,_DB6"/>
      <sheetName val="Unit_rate_Architecture6"/>
      <sheetName val="_SST72~Shelter6"/>
      <sheetName val="ELEC_6"/>
      <sheetName val="BG_(R10)6"/>
      <sheetName val="Kentokai_Code_C_From6"/>
      <sheetName val="sum_BG16"/>
      <sheetName val="CHW_(2)6"/>
      <sheetName val="F_(1)6"/>
      <sheetName val="F_(2)6"/>
      <sheetName val="Toilet-D_(1)6"/>
      <sheetName val="Toilet-D_(2)6"/>
      <sheetName val="Ref_(1)6"/>
      <sheetName val="Ref_(2)6"/>
      <sheetName val="D_AC-(1)6"/>
      <sheetName val="RO_(1)6"/>
      <sheetName val="RO_(2)6"/>
      <sheetName val="Recycle_(1)6"/>
      <sheetName val="Recycle_(2)6"/>
      <sheetName val="SC_Duct_(1)6"/>
      <sheetName val="SC_Duct_(2)6"/>
      <sheetName val="PCW_(2)6"/>
      <sheetName val="Process_D(1)6"/>
      <sheetName val="Process_D(2)6"/>
      <sheetName val="CW_(1)6"/>
      <sheetName val="CW_(2)6"/>
      <sheetName val="Book_1_Summary6"/>
      <sheetName val="Footing_Work6"/>
      <sheetName val="Cost_Planing_(R)_(2)6"/>
      <sheetName val="1_(2)6"/>
      <sheetName val="Detail_Rank_Assy_1(4_Oct'07)1"/>
      <sheetName val="AC_REDUCED_110"/>
      <sheetName val="SAN_REDUCED_110"/>
      <sheetName val="Item_1-137"/>
      <sheetName val="Bill_No__2_-_Carpark7"/>
      <sheetName val="RC_footing7"/>
      <sheetName val="เหล็ก_RB,_DB7"/>
      <sheetName val="Unit_rate_Architecture7"/>
      <sheetName val="_SST72~Shelter7"/>
      <sheetName val="ELEC_7"/>
      <sheetName val="BG_(R10)7"/>
      <sheetName val="Kentokai_Code_C_From7"/>
      <sheetName val="sum_BG17"/>
      <sheetName val="CHW_(2)7"/>
      <sheetName val="F_(1)7"/>
      <sheetName val="F_(2)7"/>
      <sheetName val="Toilet-D_(1)7"/>
      <sheetName val="Toilet-D_(2)7"/>
      <sheetName val="Ref_(1)7"/>
      <sheetName val="Ref_(2)7"/>
      <sheetName val="D_AC-(1)7"/>
      <sheetName val="RO_(1)7"/>
      <sheetName val="RO_(2)7"/>
      <sheetName val="Recycle_(1)7"/>
      <sheetName val="Recycle_(2)7"/>
      <sheetName val="SC_Duct_(1)7"/>
      <sheetName val="SC_Duct_(2)7"/>
      <sheetName val="PCW_(2)7"/>
      <sheetName val="Process_D(1)7"/>
      <sheetName val="Process_D(2)7"/>
      <sheetName val="CW_(1)7"/>
      <sheetName val="CW_(2)7"/>
      <sheetName val="Book_1_Summary7"/>
      <sheetName val="Footing_Work7"/>
      <sheetName val="Cost_Planing_(R)_(2)7"/>
      <sheetName val="1_(2)7"/>
      <sheetName val="Detail_Rank_Assy_1(4_Oct'07)2"/>
      <sheetName val="AC_REDUCED_111"/>
      <sheetName val="SAN_REDUCED_111"/>
      <sheetName val="Item_1-138"/>
      <sheetName val="Bill_No__2_-_Carpark8"/>
      <sheetName val="RC_footing8"/>
      <sheetName val="เหล็ก_RB,_DB8"/>
      <sheetName val="Unit_rate_Architecture8"/>
      <sheetName val="_SST72~Shelter8"/>
      <sheetName val="ELEC_8"/>
      <sheetName val="BG_(R10)8"/>
      <sheetName val="Kentokai_Code_C_From8"/>
      <sheetName val="sum_BG18"/>
      <sheetName val="CHW_(2)8"/>
      <sheetName val="F_(1)8"/>
      <sheetName val="F_(2)8"/>
      <sheetName val="Toilet-D_(1)8"/>
      <sheetName val="Toilet-D_(2)8"/>
      <sheetName val="Ref_(1)8"/>
      <sheetName val="Ref_(2)8"/>
      <sheetName val="D_AC-(1)8"/>
      <sheetName val="RO_(1)8"/>
      <sheetName val="RO_(2)8"/>
      <sheetName val="Recycle_(1)8"/>
      <sheetName val="Recycle_(2)8"/>
      <sheetName val="SC_Duct_(1)8"/>
      <sheetName val="SC_Duct_(2)8"/>
      <sheetName val="PCW_(2)8"/>
      <sheetName val="Process_D(1)8"/>
      <sheetName val="Process_D(2)8"/>
      <sheetName val="CW_(1)8"/>
      <sheetName val="CW_(2)8"/>
      <sheetName val="Book_1_Summary8"/>
      <sheetName val="Footing_Work8"/>
      <sheetName val="Cost_Planing_(R)_(2)8"/>
      <sheetName val="1_(2)8"/>
      <sheetName val="Detail_Rank_Assy_1(4_Oct'07)3"/>
      <sheetName val="AC_REDUCED_112"/>
      <sheetName val="SAN_REDUCED_112"/>
      <sheetName val="Item_1-139"/>
      <sheetName val="Bill_No__2_-_Carpark9"/>
      <sheetName val="RC_footing9"/>
      <sheetName val="เหล็ก_RB,_DB9"/>
      <sheetName val="Unit_rate_Architecture9"/>
      <sheetName val="_SST72~Shelter9"/>
      <sheetName val="ELEC_9"/>
      <sheetName val="BG_(R10)9"/>
      <sheetName val="Kentokai_Code_C_From9"/>
      <sheetName val="sum_BG19"/>
      <sheetName val="CHW_(2)9"/>
      <sheetName val="F_(1)9"/>
      <sheetName val="F_(2)9"/>
      <sheetName val="Toilet-D_(1)9"/>
      <sheetName val="Toilet-D_(2)9"/>
      <sheetName val="Ref_(1)9"/>
      <sheetName val="Ref_(2)9"/>
      <sheetName val="D_AC-(1)9"/>
      <sheetName val="RO_(1)9"/>
      <sheetName val="RO_(2)9"/>
      <sheetName val="Recycle_(1)9"/>
      <sheetName val="Recycle_(2)9"/>
      <sheetName val="SC_Duct_(1)9"/>
      <sheetName val="SC_Duct_(2)9"/>
      <sheetName val="PCW_(2)9"/>
      <sheetName val="Process_D(1)9"/>
      <sheetName val="Process_D(2)9"/>
      <sheetName val="CW_(1)9"/>
      <sheetName val="CW_(2)9"/>
      <sheetName val="Book_1_Summary9"/>
      <sheetName val="Footing_Work9"/>
      <sheetName val="Cost_Planing_(R)_(2)9"/>
      <sheetName val="1_(2)9"/>
      <sheetName val="Detail_Rank_Assy_1(4_Oct'07)4"/>
      <sheetName val="AC_REDUCED_113"/>
      <sheetName val="SAN_REDUCED_113"/>
      <sheetName val="Item_1-1310"/>
      <sheetName val="Bill_No__2_-_Carpark10"/>
      <sheetName val="RC_footing10"/>
      <sheetName val="เหล็ก_RB,_DB10"/>
      <sheetName val="Unit_rate_Architecture10"/>
      <sheetName val="_SST72~Shelter10"/>
      <sheetName val="ELEC_10"/>
      <sheetName val="BG_(R10)10"/>
      <sheetName val="Kentokai_Code_C_From10"/>
      <sheetName val="sum_BG110"/>
      <sheetName val="CHW_(2)10"/>
      <sheetName val="F_(1)10"/>
      <sheetName val="F_(2)10"/>
      <sheetName val="Toilet-D_(1)10"/>
      <sheetName val="Toilet-D_(2)10"/>
      <sheetName val="Ref_(1)10"/>
      <sheetName val="Ref_(2)10"/>
      <sheetName val="D_AC-(1)10"/>
      <sheetName val="RO_(1)10"/>
      <sheetName val="RO_(2)10"/>
      <sheetName val="Recycle_(1)10"/>
      <sheetName val="Recycle_(2)10"/>
      <sheetName val="SC_Duct_(1)10"/>
      <sheetName val="SC_Duct_(2)10"/>
      <sheetName val="PCW_(2)10"/>
      <sheetName val="Process_D(1)10"/>
      <sheetName val="Process_D(2)10"/>
      <sheetName val="CW_(1)10"/>
      <sheetName val="CW_(2)10"/>
      <sheetName val="Book_1_Summary10"/>
      <sheetName val="Footing_Work10"/>
      <sheetName val="Cost_Planing_(R)_(2)10"/>
      <sheetName val="1_(2)10"/>
      <sheetName val="Detail_Rank_Assy_1(4_Oct'07)5"/>
      <sheetName val="AC_REDUCED_114"/>
      <sheetName val="SAN_REDUCED_114"/>
      <sheetName val="Item_1-1311"/>
      <sheetName val="Bill_No__2_-_Carpark11"/>
      <sheetName val="RC_footing11"/>
      <sheetName val="เหล็ก_RB,_DB11"/>
      <sheetName val="Unit_rate_Architecture11"/>
      <sheetName val="_SST72~Shelter11"/>
      <sheetName val="ELEC_11"/>
      <sheetName val="BG_(R10)11"/>
      <sheetName val="Kentokai_Code_C_From11"/>
      <sheetName val="sum_BG111"/>
      <sheetName val="CHW_(2)11"/>
      <sheetName val="F_(1)11"/>
      <sheetName val="F_(2)11"/>
      <sheetName val="Toilet-D_(1)11"/>
      <sheetName val="Toilet-D_(2)11"/>
      <sheetName val="Ref_(1)11"/>
      <sheetName val="Ref_(2)11"/>
      <sheetName val="D_AC-(1)11"/>
      <sheetName val="RO_(1)11"/>
      <sheetName val="RO_(2)11"/>
      <sheetName val="Recycle_(1)11"/>
      <sheetName val="Recycle_(2)11"/>
      <sheetName val="SC_Duct_(1)11"/>
      <sheetName val="SC_Duct_(2)11"/>
      <sheetName val="PCW_(2)11"/>
      <sheetName val="Process_D(1)11"/>
      <sheetName val="Process_D(2)11"/>
      <sheetName val="CW_(1)11"/>
      <sheetName val="CW_(2)11"/>
      <sheetName val="Book_1_Summary11"/>
      <sheetName val="Footing_Work11"/>
      <sheetName val="Cost_Planing_(R)_(2)11"/>
      <sheetName val="1_(2)11"/>
      <sheetName val="Detail_Rank_Assy_1(4_Oct'07)6"/>
      <sheetName val="AC_REDUCED_115"/>
      <sheetName val="SAN_REDUCED_115"/>
      <sheetName val="Item_1-1312"/>
      <sheetName val="Bill_No__2_-_Carpark12"/>
      <sheetName val="RC_footing12"/>
      <sheetName val="เหล็ก_RB,_DB12"/>
      <sheetName val="Unit_rate_Architecture12"/>
      <sheetName val="_SST72~Shelter12"/>
      <sheetName val="ELEC_12"/>
      <sheetName val="BG_(R10)12"/>
      <sheetName val="Kentokai_Code_C_From12"/>
      <sheetName val="sum_BG112"/>
      <sheetName val="CHW_(2)12"/>
      <sheetName val="F_(1)12"/>
      <sheetName val="F_(2)12"/>
      <sheetName val="Toilet-D_(1)12"/>
      <sheetName val="Toilet-D_(2)12"/>
      <sheetName val="Ref_(1)12"/>
      <sheetName val="Ref_(2)12"/>
      <sheetName val="D_AC-(1)12"/>
      <sheetName val="RO_(1)12"/>
      <sheetName val="RO_(2)12"/>
      <sheetName val="Recycle_(1)12"/>
      <sheetName val="Recycle_(2)12"/>
      <sheetName val="SC_Duct_(1)12"/>
      <sheetName val="SC_Duct_(2)12"/>
      <sheetName val="PCW_(2)12"/>
      <sheetName val="Process_D(1)12"/>
      <sheetName val="Process_D(2)12"/>
      <sheetName val="CW_(1)12"/>
      <sheetName val="CW_(2)12"/>
      <sheetName val="Book_1_Summary12"/>
      <sheetName val="Footing_Work12"/>
      <sheetName val="Cost_Planing_(R)_(2)12"/>
      <sheetName val="1_(2)12"/>
      <sheetName val="Detail_Rank_Assy_1(4_Oct'07)7"/>
      <sheetName val="COLUMN"/>
      <sheetName val="Support"/>
      <sheetName val="ProjInfo"/>
      <sheetName val="Lookup Formula"/>
      <sheetName val="บัญชีวัสดุ-ราคา"/>
      <sheetName val="96期(川崎)"/>
      <sheetName val="ข้อมูลขนส่ง"/>
      <sheetName val="boq"/>
      <sheetName val="สรุป"/>
      <sheetName val="CAL"/>
      <sheetName val="Summary All"/>
      <sheetName val="A.1.STR_VIP Casino"/>
      <sheetName val="A.2 Arch_VIP Casino"/>
      <sheetName val="B.1.STR_EZ building"/>
      <sheetName val="B.2.Arch_EZ Building"/>
      <sheetName val="C.1.STR_Utility Building"/>
      <sheetName val="C.2.Arch_Utility"/>
      <sheetName val="E.Preliminary"/>
      <sheetName val="AIR"/>
      <sheetName val="EXF"/>
      <sheetName val="Purchase_Order"/>
      <sheetName val="Customize_Your_Purchase_Order"/>
      <sheetName val="Quotation_for_Mechanical_System"/>
      <sheetName val="Purchase_Order1"/>
      <sheetName val="Customize_Your_Purchase_Order1"/>
      <sheetName val="Quotation_for_Mechanical_Syste1"/>
      <sheetName val="Purchase_Order5"/>
      <sheetName val="Customize_Your_Purchase_Order5"/>
      <sheetName val="Quotation_for_Mechanical_Syste5"/>
      <sheetName val="Purchase_Order2"/>
      <sheetName val="Customize_Your_Purchase_Order2"/>
      <sheetName val="Quotation_for_Mechanical_Syste2"/>
      <sheetName val="Purchase_Order3"/>
      <sheetName val="Customize_Your_Purchase_Order3"/>
      <sheetName val="Quotation_for_Mechanical_Syste3"/>
      <sheetName val="Purchase_Order4"/>
      <sheetName val="Customize_Your_Purchase_Order4"/>
      <sheetName val="Quotation_for_Mechanical_Syste4"/>
      <sheetName val="Detail_Rank_Assy_1(4_Oct'07)11"/>
      <sheetName val="Purchase_Order10"/>
      <sheetName val="Customize_Your_Purchase_Order10"/>
      <sheetName val="Quotation_for_Mechanical_Syst10"/>
      <sheetName val="Purchase_Order6"/>
      <sheetName val="Customize_Your_Purchase_Order6"/>
      <sheetName val="Quotation_for_Mechanical_Syste6"/>
      <sheetName val="Detail_Rank_Assy_1(4_Oct'07)8"/>
      <sheetName val="Purchase_Order7"/>
      <sheetName val="Customize_Your_Purchase_Order7"/>
      <sheetName val="Quotation_for_Mechanical_Syste7"/>
      <sheetName val="Detail_Rank_Assy_1(4_Oct'07)9"/>
      <sheetName val="Purchase_Order8"/>
      <sheetName val="Customize_Your_Purchase_Order8"/>
      <sheetName val="Quotation_for_Mechanical_Syste8"/>
      <sheetName val="Detail_Rank_Assy_1(4_Oct'07)10"/>
      <sheetName val="M&amp;E Summary"/>
      <sheetName val="Landscape 1"/>
      <sheetName val="SH-B"/>
      <sheetName val="Cost_Data"/>
      <sheetName val="SH-D"/>
      <sheetName val="DETAIL_"/>
      <sheetName val="SH-G"/>
      <sheetName val="Factor_Sheet"/>
      <sheetName val="name"/>
      <sheetName val="DETAIL "/>
      <sheetName val="LB020A(月)"/>
      <sheetName val="Evaluation"/>
      <sheetName val="Equipment"/>
      <sheetName val="SANITARY"/>
      <sheetName val="Form"/>
      <sheetName val="Structure"/>
      <sheetName val="2002Shipment"/>
      <sheetName val="rate"/>
      <sheetName val="AG原単位"/>
      <sheetName val="RANGE"/>
      <sheetName val="data3"/>
      <sheetName val="화재 탐지 설비"/>
      <sheetName val="0006group-A(1-1)"/>
      <sheetName val="Worksheet"/>
      <sheetName val="S-CURVE "/>
      <sheetName val="Currency"/>
      <sheetName val="Factors"/>
      <sheetName val="Ele Price"/>
      <sheetName val="BOQ PL"/>
      <sheetName val="RB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Set>
  </externalBook>
</externalLink>
</file>

<file path=xl/externalLinks/externalLink268.xml><?xml version="1.0" encoding="utf-8"?>
<externalLink xmlns="http://schemas.openxmlformats.org/spreadsheetml/2006/main">
  <externalBook xmlns:r="http://schemas.openxmlformats.org/officeDocument/2006/relationships" r:id="rId1">
    <sheetNames>
      <sheetName val="Bill No. 2 - Carpark"/>
      <sheetName val="ANALYSIS"/>
      <sheetName val="resource1"/>
      <sheetName val="SAN REDUCED 1"/>
      <sheetName val="covere"/>
      <sheetName val="splinkler"/>
      <sheetName val="Material"/>
      <sheetName val="Bill No_ 2 _ Carpark"/>
      <sheetName val="Sheet1"/>
      <sheetName val="Bill_No__2_-_Carpark"/>
      <sheetName val="SAN_REDUCED_1"/>
      <sheetName val="Bill_No__2_-_Carpark1"/>
      <sheetName val="SAN_REDUCED_11"/>
      <sheetName val="Bill_No__2_-_Carpark3"/>
      <sheetName val="SAN_REDUCED_13"/>
      <sheetName val="Bill_No__2_-_Carpark2"/>
      <sheetName val="SAN_REDUCED_12"/>
      <sheetName val="Bill_No__2_-_Carpark5"/>
      <sheetName val="SAN_REDUCED_15"/>
      <sheetName val="Bill_No__2_-_Carpark4"/>
      <sheetName val="SAN_REDUCED_14"/>
      <sheetName val="รวมราคาทั้งสิ้น"/>
      <sheetName val="Ratios"/>
      <sheetName val="Cavity Inputs"/>
      <sheetName val="Total Cost"/>
      <sheetName val="Meterial"/>
      <sheetName val="Cover Page"/>
      <sheetName val="Price Jetty"/>
      <sheetName val="Back Up Price Pile"/>
      <sheetName val="Back Up RC Pile"/>
      <sheetName val="Back Up RC"/>
      <sheetName val="Sheet2"/>
      <sheetName val="POWER"/>
      <sheetName val="Manpower"/>
      <sheetName val="Bill No. 2"/>
      <sheetName val="List"/>
      <sheetName val="Bill_No__2___Carpark"/>
      <sheetName val="Cashflow"/>
      <sheetName val="Take-off stru"/>
      <sheetName val="Total"/>
      <sheetName val="BK Unit Rate"/>
      <sheetName val="Interial"/>
      <sheetName val="Bill_No__2"/>
      <sheetName val="Bill_No__21"/>
      <sheetName val="Bill_No__22"/>
      <sheetName val="Purchase_Order"/>
      <sheetName val="Customize_Your_Purchase_Order"/>
      <sheetName val="EXF"/>
      <sheetName val="Quotation"/>
      <sheetName val="SUM_EMC"/>
      <sheetName val="P7 "/>
      <sheetName val="Purchase Order"/>
      <sheetName val="Customize Your Purchase Order"/>
      <sheetName val="Equipment"/>
      <sheetName val="Bill_No__23"/>
      <sheetName val="Bill_No__24"/>
      <sheetName val="Bill_No__2___Carpark1"/>
      <sheetName val="金額"/>
      <sheetName val="Bill_No__2_-_Carpark6"/>
      <sheetName val="SAN_REDUCED_16"/>
      <sheetName val="Cavity_Inputs"/>
      <sheetName val="General"/>
      <sheetName val="Bill_No__2___Carpark2"/>
      <sheetName val="Bill_No__2___Carpark4"/>
      <sheetName val="Bill_No__2___Carpark3"/>
      <sheetName val="data"/>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269.xml><?xml version="1.0" encoding="utf-8"?>
<externalLink xmlns="http://schemas.openxmlformats.org/spreadsheetml/2006/main">
  <externalBook xmlns:r="http://schemas.openxmlformats.org/officeDocument/2006/relationships" r:id="rId1">
    <sheetNames>
      <sheetName val="TakeOff"/>
      <sheetName val="Schedules"/>
      <sheetName val="Sheet3"/>
      <sheetName val="Option"/>
      <sheetName val="Details"/>
      <sheetName val=" GULF"/>
      <sheetName val="BOQ"/>
      <sheetName val="CCS summary "/>
      <sheetName val="16 Consum's"/>
      <sheetName val="24 B'up"/>
      <sheetName val="SuStructure Conc Take off"/>
      <sheetName val="Det_Des"/>
      <sheetName val="Ra  stair"/>
      <sheetName val="9600-T1"/>
      <sheetName val="C&amp;IEVA"/>
      <sheetName val="EC(Rev)"/>
      <sheetName val="#REF"/>
      <sheetName val="Bill 1"/>
      <sheetName val="Bill 2"/>
      <sheetName val="Bill 3"/>
      <sheetName val="Bill 4"/>
      <sheetName val="Bill 5"/>
      <sheetName val="Bill 6"/>
      <sheetName val="Bill 7"/>
      <sheetName val="Summary"/>
      <sheetName val="#3E1_GCR"/>
      <sheetName val="B-3"/>
      <sheetName val="Sheet1"/>
      <sheetName val="Ragama"/>
      <sheetName val="Kaatsu H.A.M.T.T.C.-7 jan 10"/>
      <sheetName val="Histry Price"/>
      <sheetName val="50000"/>
      <sheetName val="Sheet2"/>
      <sheetName val="Factor"/>
      <sheetName val="d-safe specs"/>
      <sheetName val="ELE Summary"/>
      <sheetName val="NEW PRODUCT SALES FORCE"/>
      <sheetName val="d-safe DELUXE"/>
      <sheetName val="Material Prices to site"/>
      <sheetName val="GS1"/>
      <sheetName val="Enclo.compar.EMP-RND"/>
      <sheetName val="Legend"/>
      <sheetName val="Chiller"/>
      <sheetName val="SLS CM"/>
      <sheetName val="Weather"/>
      <sheetName val="成本多栏明细账"/>
      <sheetName val="SSuppliers"/>
      <sheetName val="Price"/>
      <sheetName val="JOB COSTING SHEET ELEC"/>
      <sheetName val="may_data"/>
      <sheetName val="jul_data"/>
      <sheetName val="Material"/>
      <sheetName val="covere"/>
      <sheetName val="Prices"/>
      <sheetName val="NOV fx rates"/>
      <sheetName val="total"/>
      <sheetName val="sys_System"/>
      <sheetName val="Rates"/>
      <sheetName val="Parameters"/>
      <sheetName val="QTY Pipe Laying"/>
      <sheetName val="SubmitCal"/>
      <sheetName val="Material Prices"/>
      <sheetName val="Assumptions"/>
      <sheetName val="Calc Inputs"/>
      <sheetName val="Factors"/>
      <sheetName val="sep_data"/>
      <sheetName val="Start"/>
      <sheetName val="Manpower"/>
      <sheetName val="9-A (SVAT) New"/>
      <sheetName val="COLUM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270.xml><?xml version="1.0" encoding="utf-8"?>
<externalLink xmlns="http://schemas.openxmlformats.org/spreadsheetml/2006/main">
  <externalBook xmlns:r="http://schemas.openxmlformats.org/officeDocument/2006/relationships" r:id="rId1">
    <sheetNames>
      <sheetName val="Factor"/>
      <sheetName val="Preliminaris"/>
      <sheetName val="Working BOQ"/>
      <sheetName val="cost sheet"/>
      <sheetName val="BOI Item"/>
      <sheetName val="Cash Flow"/>
      <sheetName val="Kaatsu H.A.M.T.T.C.-7 jan 10"/>
      <sheetName val="Sheet3"/>
      <sheetName val="Cost Factor Sheet"/>
      <sheetName val="equipment"/>
      <sheetName val="Legal Risk Analysis"/>
      <sheetName val="Price"/>
      <sheetName val="3C"/>
      <sheetName val="Material Prices"/>
      <sheetName val="FACTORS"/>
      <sheetName val="MOS"/>
      <sheetName val="Material Prices to site"/>
      <sheetName val="内訳書"/>
      <sheetName val="Cash2"/>
      <sheetName val="Z"/>
      <sheetName val="A"/>
      <sheetName val="기계내역서"/>
      <sheetName val="JOB COSTING SHEET HVAC"/>
      <sheetName val="Price Sheet"/>
      <sheetName val="Factor Sheet"/>
      <sheetName val="Super"/>
      <sheetName val="ID Office-R1 - 23.8.2012"/>
      <sheetName val="Schnieder Price List-July 2012"/>
      <sheetName val="概総括1"/>
      <sheetName val="B-3.2 EB"/>
      <sheetName val="Chiller"/>
      <sheetName val="SSuppliers"/>
      <sheetName val="Exchange Rates(rounded)"/>
      <sheetName val="Seachells-Pools-25.2.2014"/>
      <sheetName val="Material"/>
      <sheetName val="covere"/>
      <sheetName val="5.1-AB"/>
      <sheetName val="Ragama"/>
      <sheetName val="Weather"/>
      <sheetName val="Civil Boq"/>
      <sheetName val="BK Unit Rate"/>
      <sheetName val="Working-Sprin"/>
      <sheetName val="PVC-Prices"/>
      <sheetName val="pipe supports cost"/>
      <sheetName val="Histry Price"/>
      <sheetName val="Enclo.compar.EMP-RND"/>
      <sheetName val="Rate Sheet"/>
      <sheetName val="Calc Inputs"/>
      <sheetName val="SAN REDUCED 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71.xml><?xml version="1.0" encoding="utf-8"?>
<externalLink xmlns="http://schemas.openxmlformats.org/spreadsheetml/2006/main">
  <externalBook xmlns:r="http://schemas.openxmlformats.org/officeDocument/2006/relationships" r:id="rId1">
    <sheetNames>
      <sheetName val="Preliminaries"/>
      <sheetName val="Fence ,A Block"/>
      <sheetName val="Fence,B Block"/>
      <sheetName val="Conc. Rates"/>
      <sheetName val="Brick Work"/>
      <sheetName val="Reinforcement"/>
      <sheetName val="Purlin BL - A"/>
      <sheetName val="BLOCK 3 TRUSS"/>
      <sheetName val="BLOCK 4 TRUSS"/>
      <sheetName val="Waterproofing"/>
      <sheetName val="Timber Door window "/>
      <sheetName val="Roof Cov BL - A"/>
      <sheetName val="Finishes"/>
      <sheetName val="Painting"/>
      <sheetName val="Material Prices to site"/>
      <sheetName val="Sheet1"/>
      <sheetName val="OH "/>
      <sheetName val="Electrical"/>
      <sheetName val="Plumbing"/>
      <sheetName val="Kaatsu H.A.M.T.T.C.-7 jan 10"/>
      <sheetName val="AU Zone"/>
      <sheetName val="sep_data"/>
      <sheetName val="9-A (SVAT) New"/>
      <sheetName val="Factor"/>
      <sheetName val="2005 - GAAP"/>
      <sheetName val="SLS CM"/>
      <sheetName val="Material Prices"/>
      <sheetName val="General"/>
      <sheetName val="Price"/>
      <sheetName val="Rates"/>
      <sheetName val="QTY Pipe Laying"/>
      <sheetName val="RT2-D"/>
      <sheetName val="Bill No. 2 - Carpar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72.xml><?xml version="1.0" encoding="utf-8"?>
<externalLink xmlns="http://schemas.openxmlformats.org/spreadsheetml/2006/main">
  <externalBook xmlns:r="http://schemas.openxmlformats.org/officeDocument/2006/relationships" r:id="rId1">
    <sheetNames>
      <sheetName val="Valu frnt page (1)"/>
      <sheetName val="Content"/>
      <sheetName val="Summary"/>
      <sheetName val="Fire Protection -BOQ "/>
      <sheetName val="Star Rate-1"/>
      <sheetName val="Star Rate-2"/>
      <sheetName val="Star Rate-3"/>
      <sheetName val="Fire Protection-Measurment"/>
      <sheetName val="B-3.2 EB"/>
      <sheetName val="B-2"/>
      <sheetName val="Factor"/>
      <sheetName val="B-3"/>
      <sheetName val="Interimbill-01"/>
      <sheetName val="Database"/>
      <sheetName val="Date Ranges"/>
      <sheetName val="Factors"/>
      <sheetName val="tables"/>
      <sheetName val="MAIN"/>
      <sheetName val="금융비용"/>
      <sheetName val="Sheet3"/>
      <sheetName val="APPT"/>
      <sheetName val="APPT_SGL"/>
      <sheetName val="Phone_Sale"/>
      <sheetName val="SLS CM"/>
      <sheetName val="9-A (SVAT) Ne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73.xml><?xml version="1.0" encoding="utf-8"?>
<externalLink xmlns="http://schemas.openxmlformats.org/spreadsheetml/2006/main">
  <externalBook xmlns:r="http://schemas.openxmlformats.org/officeDocument/2006/relationships" r:id="rId1">
    <sheetNames>
      <sheetName val="total"/>
      <sheetName val="Active"/>
      <sheetName val="FIRE ALARM"/>
      <sheetName val="North Asia"/>
      <sheetName val="SLS CM"/>
      <sheetName val="BOM"/>
      <sheetName val="ICAM_Prices_Raw"/>
      <sheetName val="Histry Price"/>
      <sheetName val="Enclo.compar.EMP-RND"/>
      <sheetName val="B-2"/>
      <sheetName val="B-3.2 EB"/>
      <sheetName val="Sheet1"/>
      <sheetName val="Start"/>
      <sheetName val="50000"/>
      <sheetName val="LET_BAFO"/>
      <sheetName val="Calc Inpu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74.xml><?xml version="1.0" encoding="utf-8"?>
<externalLink xmlns="http://schemas.openxmlformats.org/spreadsheetml/2006/main">
  <externalBook xmlns:r="http://schemas.openxmlformats.org/officeDocument/2006/relationships" r:id="rId1">
    <sheetNames>
      <sheetName val="ELE Summary"/>
      <sheetName val="Grand Summary"/>
      <sheetName val="GS1"/>
      <sheetName val="1A"/>
      <sheetName val="Any Other Works"/>
      <sheetName val="1B"/>
      <sheetName val="1C"/>
      <sheetName val="1D "/>
      <sheetName val="GS2"/>
      <sheetName val="2A"/>
      <sheetName val="2B "/>
      <sheetName val="2C"/>
      <sheetName val="2D"/>
      <sheetName val="2E"/>
      <sheetName val="GS3"/>
      <sheetName val="3A"/>
      <sheetName val="3B"/>
      <sheetName val="GS4"/>
      <sheetName val="4A"/>
      <sheetName val="4B"/>
      <sheetName val="4C"/>
      <sheetName val="4D"/>
      <sheetName val="4E"/>
      <sheetName val="GS5"/>
      <sheetName val="5A"/>
      <sheetName val="5B"/>
      <sheetName val="5C"/>
      <sheetName val="Elect Cost Saving Proposal"/>
      <sheetName val="PH3-FS-Alter"/>
      <sheetName val="PH2-FS-Alter"/>
      <sheetName val="2A (2)"/>
      <sheetName val="5D"/>
      <sheetName val="Factor"/>
      <sheetName val="Ragama"/>
      <sheetName val="sys_System"/>
      <sheetName val="calculations"/>
      <sheetName val="Sheet2"/>
      <sheetName val="Histry Price"/>
      <sheetName val="Enclo.compar.EMP-RND"/>
      <sheetName val="CQ by Entity"/>
      <sheetName val="FY by Entity"/>
      <sheetName val="INDEX"/>
      <sheetName val="NQ by Entity"/>
      <sheetName val="CQ Bridge"/>
      <sheetName val="CQ Orders"/>
      <sheetName val="Org Growth"/>
      <sheetName val="Monthly Trend Act MOR pv"/>
      <sheetName val="Exchange Rates(rounded)"/>
      <sheetName val="Summary"/>
      <sheetName val="Schedules"/>
      <sheetName val="TBLS"/>
      <sheetName val="EV-FC"/>
      <sheetName val="Chiller"/>
      <sheetName val="计算书"/>
      <sheetName val="Financial Summary"/>
      <sheetName val="Rates"/>
      <sheetName val="sep_data"/>
      <sheetName val="total"/>
      <sheetName val="RT2-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275.xml><?xml version="1.0" encoding="utf-8"?>
<externalLink xmlns="http://schemas.openxmlformats.org/spreadsheetml/2006/main">
  <externalBook xmlns:r="http://schemas.openxmlformats.org/officeDocument/2006/relationships" r:id="rId1">
    <sheetNames>
      <sheetName val="Beg"/>
      <sheetName val="5Pg P&amp;L"/>
      <sheetName val="YTDComp"/>
      <sheetName val="MthlyComp"/>
      <sheetName val="Trend"/>
      <sheetName val="Sales Prod"/>
      <sheetName val="Closeouts"/>
      <sheetName val="Manpower"/>
      <sheetName val="SAB101"/>
      <sheetName val="SAB101(Exp)"/>
      <sheetName val="SumPNL"/>
      <sheetName val="SumSP"/>
      <sheetName val="Trend Sum"/>
      <sheetName val="Resi COA"/>
      <sheetName val="Comm COA"/>
      <sheetName val="Resi Install"/>
      <sheetName val="Comm Install"/>
      <sheetName val="Conv Install"/>
      <sheetName val="Resi Sales"/>
      <sheetName val="Comm Sales"/>
      <sheetName val="Input"/>
      <sheetName val="Trial Balance"/>
      <sheetName val="HyperionEnt"/>
      <sheetName val="Dist Controls"/>
      <sheetName val="File Settings"/>
      <sheetName val="Forecast"/>
      <sheetName val="Lookup"/>
      <sheetName val="Backlog Consol"/>
      <sheetName val="data"/>
      <sheetName val="Sheet1"/>
      <sheetName val="Exchange Rates(rounded)"/>
      <sheetName val="Summary"/>
      <sheetName val="RESOURCES"/>
      <sheetName val="BASIC RATES"/>
      <sheetName val="CQ by Entity"/>
      <sheetName val="FY by Entity"/>
      <sheetName val="INDEX"/>
      <sheetName val="NQ by Entity"/>
      <sheetName val="CQ Bridge"/>
      <sheetName val="CQ Orders"/>
      <sheetName val="Org Growth"/>
      <sheetName val="Monthly Trend Act MOR pv"/>
      <sheetName val="NEW PRODUCT SALES FORCE"/>
      <sheetName val="Legend"/>
      <sheetName val="Database"/>
      <sheetName val="Date Ranges"/>
      <sheetName val="JOB COSTING SHEET HVAC"/>
      <sheetName val="Admin"/>
      <sheetName val="Prior_CM"/>
      <sheetName val="OLD PRICES"/>
      <sheetName val="RSM and Distributors"/>
      <sheetName val="Assumptions"/>
      <sheetName val="may_data"/>
      <sheetName val="Factors"/>
      <sheetName val="Rate analysis 1"/>
      <sheetName val="DDB Depr (Mths)"/>
      <sheetName val="sep_data"/>
      <sheetName val="SLS C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76.xml><?xml version="1.0" encoding="utf-8"?>
<externalLink xmlns="http://schemas.openxmlformats.org/spreadsheetml/2006/main">
  <externalBook xmlns:r="http://schemas.openxmlformats.org/officeDocument/2006/relationships" r:id="rId1">
    <sheetNames>
      <sheetName val="Grand Summary"/>
      <sheetName val="FP Summary"/>
      <sheetName val="error"/>
      <sheetName val="FP Grand Summary"/>
      <sheetName val="GS1"/>
      <sheetName val="1A"/>
      <sheetName val="1B"/>
      <sheetName val="1C"/>
      <sheetName val="1D"/>
      <sheetName val="GS2"/>
      <sheetName val="2A"/>
      <sheetName val="2B"/>
      <sheetName val="2C"/>
      <sheetName val="2D"/>
      <sheetName val="GS3"/>
      <sheetName val="3A"/>
      <sheetName val="3B"/>
      <sheetName val="3C"/>
      <sheetName val="3D"/>
      <sheetName val="3E"/>
      <sheetName val="3F"/>
      <sheetName val="GS4"/>
      <sheetName val="4A"/>
      <sheetName val="4B"/>
      <sheetName val="GS5"/>
      <sheetName val="5A"/>
      <sheetName val="5B"/>
      <sheetName val="5C"/>
      <sheetName val="5D"/>
      <sheetName val="Sheet1"/>
      <sheetName val="Price"/>
      <sheetName val="B-3"/>
      <sheetName val="ELE Summary"/>
      <sheetName val="tables"/>
      <sheetName val="Schedules"/>
      <sheetName val="OLD PRICES"/>
      <sheetName val="B-2"/>
      <sheetName val="Rates"/>
      <sheetName val="QTY Pipe Laying"/>
      <sheetName val="概総括1"/>
      <sheetName val="Legend"/>
      <sheetName val="Summary"/>
      <sheetName val="Factor Sheet"/>
      <sheetName val="DDB Depr (Mths)"/>
      <sheetName val="산근"/>
      <sheetName val="Financial Summary"/>
      <sheetName val="V3100 Prices_Raw"/>
      <sheetName val="sep_data"/>
      <sheetName val="9-A (SVAT) New"/>
      <sheetName val="Factors"/>
      <sheetName val="may_data"/>
      <sheetName val="Chiller"/>
      <sheetName val="Exchange Rates(rounded)"/>
      <sheetName val="Database"/>
      <sheetName val="Date Ranges"/>
      <sheetName val="TBLS"/>
      <sheetName val="EV-FC"/>
      <sheetName val="Parameters"/>
      <sheetName val="Lookup"/>
      <sheetName val="Sheet3"/>
      <sheetName val="Oracle Account Master"/>
      <sheetName val="Calc Inputs"/>
      <sheetName val="Enclo.compar.EMP-RND"/>
      <sheetName val="NonPerp"/>
      <sheetName val="Perp"/>
      <sheetName val="costing sheet"/>
      <sheetName val="LET_BA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277.xml><?xml version="1.0" encoding="utf-8"?>
<externalLink xmlns="http://schemas.openxmlformats.org/spreadsheetml/2006/main">
  <externalBook xmlns:r="http://schemas.openxmlformats.org/officeDocument/2006/relationships" r:id="rId1">
    <sheetNames>
      <sheetName val="sheetNO"/>
      <sheetName val="Sampleใหม่"/>
      <sheetName val="Bill No. 2 - Carpark"/>
      <sheetName val="Quotation"/>
      <sheetName val="BOQ fire proofing"/>
      <sheetName val="Sheet3"/>
      <sheetName val="UBC(WIND)"/>
      <sheetName val="SAD"/>
      <sheetName val="Direct D code"/>
      <sheetName val="PRICE LIST"/>
      <sheetName val="SAN REDUCED 1"/>
      <sheetName val="BK Unit Rate"/>
      <sheetName val="Cash2"/>
      <sheetName val="Summary"/>
      <sheetName val="Z"/>
      <sheetName val="Chiller"/>
      <sheetName val="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78.xml><?xml version="1.0" encoding="utf-8"?>
<externalLink xmlns="http://schemas.openxmlformats.org/spreadsheetml/2006/main">
  <externalBook xmlns:r="http://schemas.openxmlformats.org/officeDocument/2006/relationships" r:id="rId1">
    <sheetNames>
      <sheetName val="Help"/>
      <sheetName val="F2W"/>
      <sheetName val="tables"/>
      <sheetName val="Factors"/>
      <sheetName val="calculations"/>
      <sheetName val="Summary"/>
      <sheetName val="QTY Pipe Laying"/>
      <sheetName val="BILL 4 NEW multi"/>
      <sheetName val="Work done Summary "/>
      <sheetName val="B-3"/>
      <sheetName val="Unit cost- Drain-Protection-2"/>
      <sheetName val="V3100 Prices_Raw"/>
      <sheetName val="Valesco Paste"/>
      <sheetName val="Cargo Excavation-TO-2"/>
      <sheetName val="Weather"/>
      <sheetName val="DI-ESTI"/>
      <sheetName val="成本多栏明细账"/>
      <sheetName val="GS1"/>
      <sheetName val="RateAnalysis"/>
      <sheetName val="sum-all"/>
      <sheetName val="PAD-F"/>
      <sheetName val="B-2"/>
      <sheetName val="基本ﾃﾞｰﾀ"/>
      <sheetName val="Ragama"/>
      <sheetName val="3A"/>
      <sheetName val="FitOutConfCentre"/>
      <sheetName val="MACHINERY"/>
      <sheetName val="MATERIAL"/>
      <sheetName val="SUBCON OR OTHER"/>
      <sheetName val="Cash2"/>
      <sheetName val="Z"/>
      <sheetName val="Price"/>
      <sheetName val="3C"/>
      <sheetName val="d-safe specs"/>
      <sheetName val="ID Office-R1 - 23.8.2012"/>
      <sheetName val="Schnieder Price List-July 2012"/>
      <sheetName val="概総括1"/>
      <sheetName val="ELE Summary"/>
      <sheetName val="TBLS"/>
      <sheetName val="EV_FC"/>
      <sheetName val="FORM7"/>
      <sheetName val="Parameters"/>
      <sheetName val="BILL SUMMARY"/>
      <sheetName val="WD-8 Main pkg PRT2"/>
      <sheetName val="Mes-Excavation"/>
      <sheetName val="Mes-Con. work_07"/>
      <sheetName val="Mes.Struc. steel_07"/>
      <sheetName val="Mes-RF"/>
      <sheetName val="F9A"/>
      <sheetName val="F10"/>
      <sheetName val="F19"/>
      <sheetName val="F11C"/>
      <sheetName val="F6A"/>
      <sheetName val="F5A"/>
      <sheetName val="BBS_132"/>
      <sheetName val="F2A"/>
      <sheetName val="F1 &amp; F2"/>
      <sheetName val="F3"/>
      <sheetName val="F3A"/>
      <sheetName val="F3B"/>
      <sheetName val="F4"/>
      <sheetName val="F5"/>
      <sheetName val="F6"/>
      <sheetName val="F13"/>
      <sheetName val="F14"/>
      <sheetName val="F9 old"/>
      <sheetName val="F7"/>
      <sheetName val="F8"/>
      <sheetName val="F8A"/>
      <sheetName val="F12"/>
      <sheetName val="F11"/>
      <sheetName val="F11A"/>
      <sheetName val="F15"/>
      <sheetName val="F16"/>
      <sheetName val="F17"/>
      <sheetName val="BOT"/>
      <sheetName val="M - S"/>
      <sheetName val="Kaatsu H.A.M.T.T.C.-7 jan 10"/>
      <sheetName val="total components with Rates"/>
      <sheetName val="Rates"/>
      <sheetName val="Weight"/>
      <sheetName val="LET_BAFO"/>
      <sheetName val="sept-plan"/>
      <sheetName val="SLS CM"/>
      <sheetName val="Import Siemens"/>
      <sheetName val="RATE"/>
      <sheetName val="NEW PRODUCT SALES FORCE"/>
      <sheetName val="JOB COSTING SHEET ELEC"/>
      <sheetName val="Legend"/>
      <sheetName val="Factor"/>
      <sheetName val="Financial Summary"/>
      <sheetName val="B-3.2 EB"/>
      <sheetName val="sys_System"/>
      <sheetName val="Start"/>
      <sheetName val="Sheet3"/>
      <sheetName val="Schedules"/>
      <sheetName val="Enclo.compar.EMP-RND"/>
      <sheetName val="sheetNO"/>
      <sheetName val="sep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279.xml><?xml version="1.0" encoding="utf-8"?>
<externalLink xmlns="http://schemas.openxmlformats.org/spreadsheetml/2006/main">
  <externalBook xmlns:r="http://schemas.openxmlformats.org/officeDocument/2006/relationships" r:id="rId1">
    <sheetNames>
      <sheetName val="Legend"/>
      <sheetName val="Budget"/>
      <sheetName val="TFS Summary Flash AR"/>
      <sheetName val="TFS Summary Flash BR"/>
      <sheetName val="TFS Summary CF to FCST"/>
      <sheetName val="Fcst - ADT NA"/>
      <sheetName val="Fcst - SG"/>
      <sheetName val="Fcst - Eur Sec"/>
      <sheetName val="Fcst - TFIS"/>
      <sheetName val="Fcst - Aus-NZ"/>
      <sheetName val="Fcst - Asia"/>
      <sheetName val="Fcst - Latin"/>
      <sheetName val="Fcst - TSP"/>
      <sheetName val="Fcst - TFS HQ"/>
      <sheetName val="MTD"/>
      <sheetName val="QTD"/>
      <sheetName val="Restructuring"/>
      <sheetName val="Startup"/>
      <sheetName val="Retrieve_Parameters"/>
      <sheetName val="Database"/>
      <sheetName val="Date Ranges"/>
      <sheetName val="Exchange Rates(rounded)"/>
      <sheetName val="Start"/>
      <sheetName val="NEW PRODUCT SALES FORCE"/>
      <sheetName val="NATION"/>
      <sheetName val="Sheet1"/>
      <sheetName val="Prices"/>
      <sheetName val="tables"/>
      <sheetName val="Summary"/>
      <sheetName val="Title"/>
      <sheetName val="DDB Depr (Mths)"/>
      <sheetName val="LS Price List"/>
      <sheetName val="Factor Sheet"/>
      <sheetName val="A"/>
      <sheetName val="data"/>
      <sheetName val="ICAM_Prices_Raw"/>
      <sheetName val="Oracle Account Master"/>
      <sheetName val="Product Groups"/>
      <sheetName val="Cash Flow Worksheet"/>
      <sheetName val="Input"/>
      <sheetName val="Admin"/>
      <sheetName val="FS"/>
      <sheetName val="Parameters"/>
      <sheetName val="Fac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280.xml><?xml version="1.0" encoding="utf-8"?>
<externalLink xmlns="http://schemas.openxmlformats.org/spreadsheetml/2006/main">
  <externalBook xmlns:r="http://schemas.openxmlformats.org/officeDocument/2006/relationships" r:id="rId1">
    <sheetNames>
      <sheetName val="Month of October"/>
      <sheetName val="One-time items FY07-As Report "/>
      <sheetName val="FY07 - GAAP ex One-time Items"/>
      <sheetName val="Op Plan 07 vs FY06"/>
      <sheetName val="2007 Op Plan"/>
      <sheetName val="2007 -GAAP to Guidance"/>
      <sheetName val="2007 OP PLAN - Guidance "/>
      <sheetName val="2006 Actual"/>
      <sheetName val="Nov Fcst vs Op Plan"/>
      <sheetName val="2007 Op Plan extra"/>
      <sheetName val="2005 - GAAP"/>
      <sheetName val="2005 -GAAP to Guidance"/>
      <sheetName val="2005 Run Rate - Guidance"/>
      <sheetName val="commentary"/>
      <sheetName val="Op Plan FY07 vs  FY06 - GAAP"/>
      <sheetName val="Op Plan FY07  vs FY06 GAAP Q1"/>
      <sheetName val="07 Op vs. 06 Actual - GuiNOVA"/>
      <sheetName val="07 Op vs 06 Actual - Q1 Guidanc"/>
      <sheetName val="07 OP vs. 06A FY - GuidanKG"/>
      <sheetName val="One-time Items FY 2006"/>
      <sheetName val="One-time items FY 2005"/>
      <sheetName val="07 OP vs. 06A FY - GuidanKGw 51"/>
      <sheetName val="Financial Summary"/>
      <sheetName val="Factor"/>
      <sheetName val="Kaatsu H.A.M.T.T.C.-7 jan 10"/>
      <sheetName val="tables"/>
      <sheetName val="V3100 Prices_Raw"/>
      <sheetName val="TBLS"/>
      <sheetName val="EV_FC"/>
      <sheetName val="Zones"/>
      <sheetName val="GS1"/>
      <sheetName val="Summary"/>
      <sheetName val="Sheet2"/>
      <sheetName val="calculations"/>
      <sheetName val="Backlog Consol"/>
      <sheetName val="NOV fx rates"/>
      <sheetName val="costing sheet"/>
      <sheetName val="Material Prices to site"/>
      <sheetName val="Chiller"/>
      <sheetName val="Sheet3"/>
      <sheetName val="Enclo.compar.EMP-RND"/>
      <sheetName val="Calc Inputs"/>
      <sheetName val="PLT-SUM"/>
      <sheetName val="Price"/>
      <sheetName val="Lookup"/>
      <sheetName val="total"/>
      <sheetName val="sep_data"/>
      <sheetName val="Parameters"/>
      <sheetName val="ELE Summary"/>
      <sheetName val="Homagama Grounds-9.7.2013"/>
      <sheetName val="SLS CM"/>
      <sheetName val="Oracle Account Master"/>
      <sheetName val="d-safe DELUXE"/>
      <sheetName val="Ragam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281.xml><?xml version="1.0" encoding="utf-8"?>
<externalLink xmlns="http://schemas.openxmlformats.org/spreadsheetml/2006/main">
  <externalBook xmlns:r="http://schemas.openxmlformats.org/officeDocument/2006/relationships" r:id="rId1">
    <sheetNames>
      <sheetName val="概総括1"/>
      <sheetName val="tables"/>
      <sheetName val="2005 - GAAP"/>
      <sheetName val="B-3.2 EB"/>
      <sheetName val="B-2"/>
      <sheetName val="Summary"/>
      <sheetName val="Kaatsu H.A.M.T.T.C.-7 jan 10"/>
      <sheetName val="Material Prices"/>
      <sheetName val="Sheet5"/>
      <sheetName val="Prices"/>
      <sheetName val="Factor"/>
      <sheetName val="Material Prices to site"/>
      <sheetName val="Sheet1"/>
      <sheetName val="Load Sch, Cable Sel &amp; Qty"/>
      <sheetName val="Cost Factor Sheet"/>
      <sheetName val="산근"/>
      <sheetName val="Schedules"/>
      <sheetName val="Ragama"/>
      <sheetName val="Price"/>
      <sheetName val="d-safe DELUXE"/>
      <sheetName val="Start"/>
      <sheetName val="DDB Depr (Mths)"/>
      <sheetName val="Factors"/>
      <sheetName val="GS1"/>
      <sheetName val="Chiller"/>
      <sheetName val="sept-plan"/>
      <sheetName val="General"/>
      <sheetName val="13A"/>
      <sheetName val="Design"/>
      <sheetName val="ELE Summary"/>
      <sheetName val="V3100 Prices_Raw"/>
      <sheetName val="costing sheet"/>
      <sheetName val="sep_data"/>
      <sheetName val="9-A (SVAT) New"/>
      <sheetName val="total"/>
      <sheetName val="sheetN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82.xml><?xml version="1.0" encoding="utf-8"?>
<externalLink xmlns="http://schemas.openxmlformats.org/spreadsheetml/2006/main">
  <externalBook xmlns:r="http://schemas.openxmlformats.org/officeDocument/2006/relationships" r:id="rId1">
    <sheetNames>
      <sheetName val="内訳書"/>
      <sheetName val="代価"/>
      <sheetName val="代価(2)"/>
      <sheetName val="比較表(現地)"/>
      <sheetName val="比較表(US$)"/>
      <sheetName val="比較表(日本)"/>
      <sheetName val="建設物価"/>
      <sheetName val="歩掛表"/>
      <sheetName val="盤歩掛表"/>
      <sheetName val="材料表"/>
      <sheetName val="Price Sheet"/>
      <sheetName val="ID Office-R1 - 23.8.2012"/>
      <sheetName val="Schnieder Price List-July 2012"/>
      <sheetName val="Factors"/>
      <sheetName val="BOQ PL"/>
      <sheetName val="Ele Price"/>
      <sheetName val="GIAVLIEU"/>
      <sheetName val="Summary"/>
      <sheetName val="Schedules"/>
      <sheetName val="Parame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83.xml><?xml version="1.0" encoding="utf-8"?>
<externalLink xmlns="http://schemas.openxmlformats.org/spreadsheetml/2006/main">
  <externalBook xmlns:r="http://schemas.openxmlformats.org/officeDocument/2006/relationships" r:id="rId1">
    <sheetNames>
      <sheetName val="ACMV_Supplier"/>
      <sheetName val="KKC_Brkdwn"/>
      <sheetName val="BQSummary"/>
      <sheetName val="Maintenance"/>
      <sheetName val="BEAM"/>
      <sheetName val="SH-F"/>
      <sheetName val="SH-A"/>
      <sheetName val="INPUT"/>
      <sheetName val="Factors"/>
      <sheetName val="F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4.xml><?xml version="1.0" encoding="utf-8"?>
<externalLink xmlns="http://schemas.openxmlformats.org/spreadsheetml/2006/main">
  <externalBook xmlns:r="http://schemas.openxmlformats.org/officeDocument/2006/relationships" r:id="rId1">
    <sheetNames>
      <sheetName val="Cover Page"/>
      <sheetName val="Contents"/>
      <sheetName val="Instructions"/>
      <sheetName val="Rate Analysis"/>
      <sheetName val="Material list no need"/>
      <sheetName val="Measurement sheet"/>
      <sheetName val="BOM"/>
      <sheetName val="BOQ"/>
      <sheetName val="Rate Book"/>
      <sheetName val="Aluminium"/>
      <sheetName val="Material Prices"/>
      <sheetName val="Sheet1"/>
      <sheetName val="Homagama Grounds-9.7.2013"/>
      <sheetName val="OLD PRICES"/>
      <sheetName val="Cover_Page"/>
      <sheetName val="Rate_Analysis"/>
      <sheetName val="Material_list_no_need"/>
      <sheetName val="Measurement_sheet"/>
      <sheetName val="Rate_Book"/>
      <sheetName val="Material_Prices"/>
      <sheetName val="Homagama_Grounds-9_7_2013"/>
      <sheetName val="Sheet3"/>
      <sheetName val="Factors"/>
      <sheetName val="Keels-6.2.2014"/>
      <sheetName val="Price Sheet"/>
      <sheetName val="Cost Factor Sheet"/>
      <sheetName val="Equipment"/>
      <sheetName val="Prices"/>
      <sheetName val="Fcst Tool"/>
      <sheetName val="Summary"/>
      <sheetName val="Factor Sheet"/>
      <sheetName val="Load Sch, Cable Sel &amp; Qty"/>
      <sheetName val="DBs"/>
      <sheetName val="Sheet2"/>
      <sheetName val="LS Price List"/>
      <sheetName val="NOV fx rates"/>
      <sheetName val="Input"/>
      <sheetName val=" Factor  "/>
      <sheetName val="Histry Price"/>
      <sheetName val="Kaatsu H.A.M.T.T.C.-7 jan 10"/>
      <sheetName val="KKC_Brkdwn"/>
      <sheetName val="d-safe DELUX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85.xml><?xml version="1.0" encoding="utf-8"?>
<externalLink xmlns="http://schemas.openxmlformats.org/spreadsheetml/2006/main">
  <externalBook xmlns:r="http://schemas.openxmlformats.org/officeDocument/2006/relationships" r:id="rId1">
    <sheetNames>
      <sheetName val="LEGEND"/>
      <sheetName val="KKC_Brkdwn"/>
      <sheetName val="RSM and Distributors"/>
      <sheetName val="AU Zone"/>
      <sheetName val="Price"/>
    </sheetNames>
    <sheetDataSet>
      <sheetData sheetId="0" refreshError="1"/>
      <sheetData sheetId="1" refreshError="1"/>
      <sheetData sheetId="2" refreshError="1"/>
      <sheetData sheetId="3" refreshError="1"/>
      <sheetData sheetId="4" refreshError="1"/>
    </sheetDataSet>
  </externalBook>
</externalLink>
</file>

<file path=xl/externalLinks/externalLink286.xml><?xml version="1.0" encoding="utf-8"?>
<externalLink xmlns="http://schemas.openxmlformats.org/spreadsheetml/2006/main">
  <externalBook xmlns:r="http://schemas.openxmlformats.org/officeDocument/2006/relationships" r:id="rId1">
    <sheetNames>
      <sheetName val="概総括1"/>
      <sheetName val="B-3.2 EB"/>
      <sheetName val="d-safe specs"/>
      <sheetName val="Material Prices to site"/>
      <sheetName val="Factors"/>
      <sheetName val="total"/>
      <sheetName val="Rates"/>
      <sheetName val="Sheet1"/>
      <sheetName val="calculations"/>
      <sheetName val="Factor"/>
      <sheetName val="Seachells-Pools-25.2.2014"/>
      <sheetName val="ACS(1)"/>
      <sheetName val="FAS-C(4)"/>
      <sheetName val="CCTV(old)"/>
      <sheetName val="计算书"/>
      <sheetName val="Financial Summary"/>
      <sheetName val="tables"/>
      <sheetName val="ELE Summary"/>
      <sheetName val="G"/>
      <sheetName val="D"/>
      <sheetName val="E"/>
      <sheetName val="Ragama"/>
      <sheetName val="Chiller"/>
      <sheetName val="Summary"/>
      <sheetName val="Weather"/>
      <sheetName val="成本多栏明细账"/>
      <sheetName val="COVER"/>
      <sheetName val="Contract BOQ"/>
      <sheetName val="Duty Free"/>
      <sheetName val="2005 - GAAP"/>
      <sheetName val="Calc Inputs"/>
      <sheetName val="INPUT"/>
      <sheetName val="Title"/>
      <sheetName val="B-2"/>
      <sheetName val="BOQ"/>
      <sheetName val="RBD"/>
      <sheetName val="Parameters"/>
      <sheetName val="BOM"/>
      <sheetName val="sys_System"/>
      <sheetName val="LEGEND"/>
      <sheetName val="Schedu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287.xml><?xml version="1.0" encoding="utf-8"?>
<externalLink xmlns="http://schemas.openxmlformats.org/spreadsheetml/2006/main">
  <externalBook xmlns:r="http://schemas.openxmlformats.org/officeDocument/2006/relationships" r:id="rId1">
    <sheetNames>
      <sheetName val="직접비_Origin(315,430)"/>
      <sheetName val="직접비_Edit(315,430)"/>
      <sheetName val="직접비_금액분할(315,430)"/>
      <sheetName val="직접비_Rev(363,932)"/>
      <sheetName val="직접비_Rev(363,932)_Randy"/>
      <sheetName val="직접비_Rev(363,932)_출력"/>
      <sheetName val="직접비_Rev(363,932)_List"/>
      <sheetName val="BQ"/>
      <sheetName val="가도공"/>
      <sheetName val="Shop Drawing"/>
      <sheetName val="직접비_Origin_315_430_"/>
      <sheetName val="LAB"/>
      <sheetName val="공사수행방안"/>
      <sheetName val="h-013211-2"/>
      <sheetName val="Site Expenses"/>
      <sheetName val="부대내역"/>
      <sheetName val="PROJECT BRIEF"/>
      <sheetName val="SUMBER"/>
      <sheetName val="Earth"/>
      <sheetName val="OD"/>
      <sheetName val="General"/>
      <sheetName val="BN 01"/>
      <sheetName val="apr_data"/>
      <sheetName val="Material Prices to site"/>
      <sheetName val="Fac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88.xml><?xml version="1.0" encoding="utf-8"?>
<externalLink xmlns="http://schemas.openxmlformats.org/spreadsheetml/2006/main">
  <externalBook xmlns:r="http://schemas.openxmlformats.org/officeDocument/2006/relationships" r:id="rId1">
    <sheetNames>
      <sheetName val="Cover Page"/>
      <sheetName val="Contents"/>
      <sheetName val="Instructions"/>
      <sheetName val="Rate Analysis"/>
      <sheetName val="Material list no need"/>
      <sheetName val="Measurement sheet"/>
      <sheetName val="BOM"/>
      <sheetName val="BOQ"/>
      <sheetName val="Rate Book"/>
      <sheetName val="Aluminium"/>
      <sheetName val="Material Prices"/>
      <sheetName val="Sheet1"/>
      <sheetName val="Cover_Page"/>
      <sheetName val="Rate_Analysis"/>
      <sheetName val="Material_list_no_need"/>
      <sheetName val="Measurement_sheet"/>
      <sheetName val="Rate_Book"/>
      <sheetName val="Material_Prices"/>
      <sheetName val="sys_System"/>
      <sheetName val="total components with Rates"/>
      <sheetName val="Factor Sheet"/>
      <sheetName val="Schedules"/>
      <sheetName val="Cctmst"/>
      <sheetName val="OLD PRICES"/>
      <sheetName val="ICAM_Prices_Raw"/>
      <sheetName val="Cost Factor Sheet"/>
      <sheetName val="ID Office-R1 - 23.8.2012"/>
      <sheetName val="Schnieder Price List-July 2012"/>
      <sheetName val="Price Sheet"/>
      <sheetName val="Factors"/>
      <sheetName val="Factor"/>
      <sheetName val="WB"/>
      <sheetName val="RESOURCES"/>
      <sheetName val="BASIC RATES"/>
      <sheetName val="ABSTRACT"/>
      <sheetName val="INPUT SHEET"/>
      <sheetName val="RES-PLANNING"/>
      <sheetName val="Equipment"/>
      <sheetName val="직접비_Origin(315,430)"/>
      <sheetName val="KKC_Brkd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89.xml><?xml version="1.0" encoding="utf-8"?>
<externalLink xmlns="http://schemas.openxmlformats.org/spreadsheetml/2006/main">
  <externalBook xmlns:r="http://schemas.openxmlformats.org/officeDocument/2006/relationships" r:id="rId1">
    <sheetNames>
      <sheetName val="概総括1"/>
      <sheetName val="Kaatsu H.A.M.T.T.C.-7 jan 10"/>
      <sheetName val="Factor"/>
      <sheetName val="Zones"/>
      <sheetName val="Total Operations"/>
      <sheetName val="White Group"/>
      <sheetName val="JOB COSTING SHEET ELEC"/>
      <sheetName val="Input"/>
      <sheetName val="ELE Summary"/>
      <sheetName val="total"/>
      <sheetName val="Financial Summary"/>
      <sheetName val="Rate Sheet"/>
      <sheetName val="Title"/>
      <sheetName val="B-3.2 EB"/>
      <sheetName val="Plumbing "/>
      <sheetName val="Sheet3"/>
      <sheetName val="Ragama"/>
      <sheetName val="TBLS"/>
      <sheetName val="EV_FC"/>
      <sheetName val="산근"/>
      <sheetName val="Material Prices to site"/>
      <sheetName val="AU Zone"/>
      <sheetName val="Schedules"/>
      <sheetName val="tables"/>
      <sheetName val="Sheet2"/>
      <sheetName val="Room Type"/>
      <sheetName val="Basement2 DB"/>
      <sheetName val="Sheet1"/>
      <sheetName val="ICAM_Prices_Raw"/>
      <sheetName val="2005 - GAAP"/>
      <sheetName val="B-2"/>
      <sheetName val="Weather"/>
      <sheetName val="成本多栏明细账"/>
      <sheetName val="Calc Inputs"/>
      <sheetName val="Price"/>
      <sheetName val="RBD"/>
      <sheetName val="Factors &amp; Temp Cal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90.xml><?xml version="1.0" encoding="utf-8"?>
<externalLink xmlns="http://schemas.openxmlformats.org/spreadsheetml/2006/main">
  <externalBook xmlns:r="http://schemas.openxmlformats.org/officeDocument/2006/relationships" r:id="rId1">
    <sheetNames>
      <sheetName val="CIVIL WORK"/>
      <sheetName val="STEEL STRUCTURE"/>
      <sheetName val="Pur"/>
      <sheetName val="Civil Boq"/>
      <sheetName val="SH-E"/>
      <sheetName val="SH-C"/>
      <sheetName val="INFO"/>
      <sheetName val="calc_menu_déroulant"/>
      <sheetName val="B-2"/>
      <sheetName val="NATION"/>
      <sheetName val="Financial Summary"/>
      <sheetName val="LEGEN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91.xml><?xml version="1.0" encoding="utf-8"?>
<externalLink xmlns="http://schemas.openxmlformats.org/spreadsheetml/2006/main">
  <externalBook xmlns:r="http://schemas.openxmlformats.org/officeDocument/2006/relationships" r:id="rId1">
    <sheetNames>
      <sheetName val="Cctmst"/>
      <sheetName val="สรุป"/>
      <sheetName val="List"/>
      <sheetName val="Revise MR"/>
      <sheetName val="โรงงาน"/>
      <sheetName val="สรุป (Temp)"/>
      <sheetName val="Factor F Data"/>
      <sheetName val="วัดใต้"/>
      <sheetName val="BOQ"/>
      <sheetName val="概総括1"/>
      <sheetName val="Total"/>
      <sheetName val="NonPerp"/>
      <sheetName val="Perp"/>
      <sheetName val="ELE Summary"/>
      <sheetName val="STEEL STRUCTURE"/>
      <sheetName val="Material Prices to si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92.xml><?xml version="1.0" encoding="utf-8"?>
<externalLink xmlns="http://schemas.openxmlformats.org/spreadsheetml/2006/main">
  <externalBook xmlns:r="http://schemas.openxmlformats.org/officeDocument/2006/relationships" r:id="rId1">
    <sheetNames>
      <sheetName val="SUMMARY BOQ"/>
      <sheetName val="RW_Option"/>
      <sheetName val="Structural work"/>
      <sheetName val="Architectural works"/>
      <sheetName val="Electrical Systems"/>
      <sheetName val="Plumbing Systems"/>
      <sheetName val="Air Conditioning"/>
      <sheetName val="Passenger Lift"/>
      <sheetName val="External work"/>
      <sheetName val="EXF"/>
      <sheetName val="SUMMARY_BOQ"/>
      <sheetName val="Structural_work"/>
      <sheetName val="Architectural_works"/>
      <sheetName val="Electrical_Systems"/>
      <sheetName val="Plumbing_Systems"/>
      <sheetName val="Air_Conditioning"/>
      <sheetName val="Passenger_Lift"/>
      <sheetName val="External_work"/>
      <sheetName val="Equipment"/>
      <sheetName val="Cover"/>
      <sheetName val="Sheet1"/>
      <sheetName val="概総括1"/>
      <sheetName val="Material Prices"/>
      <sheetName val="Oracle Account Master"/>
      <sheetName val="ELE Summary"/>
      <sheetName val="Import Siemens"/>
      <sheetName val="직접비_Origin(315,43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93.xml><?xml version="1.0" encoding="utf-8"?>
<externalLink xmlns="http://schemas.openxmlformats.org/spreadsheetml/2006/main">
  <externalBook xmlns:r="http://schemas.openxmlformats.org/officeDocument/2006/relationships" r:id="rId1">
    <sheetNames>
      <sheetName val="Title Page"/>
      <sheetName val="Index"/>
      <sheetName val="Current Quarter"/>
      <sheetName val="ADT WW Summary Q3"/>
      <sheetName val="ADT WW Qtr Stats"/>
      <sheetName val="ADT WW P&amp;L Q3"/>
      <sheetName val="ADT WW P&amp;L Division Q3"/>
      <sheetName val="ADT WW P&amp;L Q4 Outlook"/>
      <sheetName val="ADT WW P&amp;L Division Q4 Outlook"/>
      <sheetName val="ADT WW FCF Q3"/>
      <sheetName val="ADT WW FCF Div Q3"/>
      <sheetName val="ADT WW FCF Q4 Outlook"/>
      <sheetName val="FX Graph"/>
      <sheetName val="Full Year"/>
      <sheetName val="ADT WW Summary FY"/>
      <sheetName val="Organic Growth"/>
      <sheetName val="ADT WW Forecast v Op Plan"/>
      <sheetName val="ADT WW Forecast v Prior Year"/>
      <sheetName val="ADT WW P&amp;L FY"/>
      <sheetName val="ADT WW P&amp;L Division FY"/>
      <sheetName val="ADT WW FCF FY"/>
      <sheetName val="ADT WW FCF Div Y"/>
      <sheetName val="ADT WW BS FY"/>
      <sheetName val="ADT WW BS Div FY"/>
      <sheetName val="Rev &amp; GM Trends - ADT WW"/>
      <sheetName val="ADT WW Trends by Division"/>
      <sheetName val="ADT WW Booking Trend by Product"/>
      <sheetName val="ADT WW Backlog Trend by Product"/>
      <sheetName val="ADT Dealer Cap Ex"/>
      <sheetName val="ADT Subscriber Cap Ex"/>
      <sheetName val="ADT Other Cap Ex"/>
      <sheetName val="Rev by Product Line (4_04)"/>
      <sheetName val="GM by Product Line (4_04)"/>
      <sheetName val="ADT WW Headcount Trend"/>
      <sheetName val="ADT WW Headcount"/>
      <sheetName val="WW Fire Sales &amp; Marketing FY"/>
      <sheetName val="ADT WW Working Cap Metrics"/>
      <sheetName val="Rona Detail"/>
      <sheetName val="Security Stats"/>
      <sheetName val="1"/>
      <sheetName val="2"/>
      <sheetName val="RIF $ by Region"/>
      <sheetName val="RIF Units by Region"/>
      <sheetName val="ADT WW Roll $ by Channel"/>
      <sheetName val="ADT WW Unit Roll by Channel"/>
      <sheetName val="ROW by Channel"/>
      <sheetName val="ROW Roll Channel"/>
      <sheetName val="Do not Print to the right"/>
      <sheetName val=" Asia CAPSTEC Adj"/>
      <sheetName val="INPUT"/>
      <sheetName val="Cost Factor Sheet"/>
      <sheetName val="Load Sch, Cable Sel &amp; Qty"/>
      <sheetName val="Factor Sheet"/>
      <sheetName val="Price Sheet"/>
      <sheetName val="Seachells-Pools-25.2.2014"/>
      <sheetName val="DDB Depr (Mths)"/>
      <sheetName val="Exchange Rates(rounded)"/>
      <sheetName val="Backlog Consol"/>
      <sheetName val="NonPerp"/>
      <sheetName val="Perp"/>
      <sheetName val="Title"/>
      <sheetName val="Rates"/>
      <sheetName val="Rate Sheet"/>
      <sheetName val="Fcst Tool"/>
      <sheetName val="Prices"/>
      <sheetName val="Sheet1"/>
      <sheetName val="Ragama"/>
      <sheetName val="NEW PRODUCT SALES FORCE"/>
      <sheetName val="RSM and Distributors"/>
      <sheetName val="jul_data"/>
      <sheetName val="Legend"/>
      <sheetName val="Database"/>
      <sheetName val="Date Ranges"/>
      <sheetName val="LS Price List"/>
      <sheetName val="Chiller"/>
      <sheetName val="d-safe DELUXE"/>
      <sheetName val="HyperionEnt"/>
      <sheetName val="Order list (3)"/>
      <sheetName val="Factor"/>
      <sheetName val="RESOURCES"/>
      <sheetName val="BASIC RATES"/>
      <sheetName val="ancillary"/>
      <sheetName val="Material Prices"/>
      <sheetName val="Start"/>
      <sheetName val="GS1"/>
      <sheetName val="ELE Summary"/>
      <sheetName val="Import Siemens"/>
      <sheetName val="Factors &amp; Temp Cal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294.xml><?xml version="1.0" encoding="utf-8"?>
<externalLink xmlns="http://schemas.openxmlformats.org/spreadsheetml/2006/main">
  <externalBook xmlns:r="http://schemas.openxmlformats.org/officeDocument/2006/relationships" r:id="rId1">
    <sheetNames>
      <sheetName val="Stmt"/>
      <sheetName val="Retention"/>
      <sheetName val="Prelim"/>
      <sheetName val="FS"/>
      <sheetName val="S9-Adv Payment"/>
      <sheetName val="S10-Direct Payment"/>
      <sheetName val="S7-VO-MC"/>
      <sheetName val="S1 CHW "/>
      <sheetName val="S2 H&amp;CW"/>
      <sheetName val="S3 SWP"/>
      <sheetName val="S4 Dismantle"/>
      <sheetName val="S5 Fire"/>
      <sheetName val="S6-ProvSums"/>
      <sheetName val="S8-MOS-MC"/>
      <sheetName val="BSE"/>
      <sheetName val="S1-Prelims&amp;Gen"/>
      <sheetName val="S8-INS"/>
      <sheetName val="S9-PB"/>
      <sheetName val="Sheet1"/>
      <sheetName val="概総括1"/>
      <sheetName val="计算书"/>
      <sheetName val="Equipment"/>
      <sheetName val="Chilly"/>
      <sheetName val="Factors"/>
      <sheetName val="LS Price List"/>
      <sheetName val="Zones"/>
      <sheetName val="CS"/>
      <sheetName val="GS1"/>
      <sheetName val="Financial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95.xml><?xml version="1.0" encoding="utf-8"?>
<externalLink xmlns="http://schemas.openxmlformats.org/spreadsheetml/2006/main">
  <externalBook xmlns:r="http://schemas.openxmlformats.org/officeDocument/2006/relationships" r:id="rId1">
    <sheetNames>
      <sheetName val="FACTORS"/>
      <sheetName val="RATE"/>
      <sheetName val="MD APPROVAL"/>
      <sheetName val="BD"/>
      <sheetName val="BOQ"/>
      <sheetName val="BOQ-SUM"/>
      <sheetName val="BOQ GP"/>
      <sheetName val="SCHEDULE"/>
      <sheetName val="TRASH"/>
      <sheetName val="PRODUCTS"/>
      <sheetName val="SCHEDULE II"/>
      <sheetName val="SCHEDULE III"/>
      <sheetName val="SUMMARY"/>
      <sheetName val="3A"/>
      <sheetName val="OLD PRICES"/>
      <sheetName val="CCTV_EST1"/>
      <sheetName val="S2 H&amp;CW"/>
      <sheetName val="S1 CHW "/>
      <sheetName val="Homagama Grounds-9.7.2013"/>
      <sheetName val="BOI - Katunayaka-9.8.2013"/>
      <sheetName val="Keels-6.2.2014"/>
      <sheetName val="FlowHmgma Grds-9.7.2013-details"/>
      <sheetName val="Import Schedule"/>
      <sheetName val="CS"/>
      <sheetName val="STEEL STRUCTU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96.xml><?xml version="1.0" encoding="utf-8"?>
<externalLink xmlns="http://schemas.openxmlformats.org/spreadsheetml/2006/main">
  <externalBook xmlns:r="http://schemas.openxmlformats.org/officeDocument/2006/relationships" r:id="rId1">
    <sheetNames>
      <sheetName val="BOQ PP"/>
      <sheetName val="Sheet1"/>
      <sheetName val="Overview"/>
      <sheetName val="BOQ HDPE"/>
      <sheetName val="Unit Rates-Duty Paid PVC (2)"/>
      <sheetName val="Sheet2"/>
      <sheetName val="50000"/>
      <sheetName val="Factors"/>
      <sheetName val="BK Unit Rate"/>
      <sheetName val="3A"/>
      <sheetName val="Lookup"/>
      <sheetName val="Valesco Paste"/>
      <sheetName val="Import Schedule"/>
      <sheetName val="ELE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97.xml><?xml version="1.0" encoding="utf-8"?>
<externalLink xmlns="http://schemas.openxmlformats.org/spreadsheetml/2006/main">
  <externalBook xmlns:r="http://schemas.openxmlformats.org/officeDocument/2006/relationships" r:id="rId1">
    <sheetNames>
      <sheetName val="APR TABLE"/>
      <sheetName val="MAY TABLE"/>
      <sheetName val="JUNE TABLE"/>
      <sheetName val="apr_data"/>
      <sheetName val="Apr"/>
      <sheetName val="may_data"/>
      <sheetName val="May"/>
      <sheetName val="jun_data"/>
      <sheetName val="June"/>
      <sheetName val="Cash Flow Worksheet"/>
      <sheetName val="Sheet2"/>
      <sheetName val="Electrical"/>
      <sheetName val="APPT"/>
      <sheetName val="APPT_SGL"/>
      <sheetName val="Phone_Sale"/>
      <sheetName val="RSM and Distributors"/>
      <sheetName val="NATION"/>
      <sheetName val="Admin"/>
      <sheetName val="Prior_CM"/>
      <sheetName val="Sheet5"/>
      <sheetName val="Americas"/>
      <sheetName val="Enclo.compar.EMP-RND"/>
      <sheetName val="Product Groups"/>
      <sheetName val="aug_data"/>
      <sheetName val="Ragama"/>
      <sheetName val="Summary"/>
      <sheetName val="GS1"/>
      <sheetName val="Input"/>
      <sheetName val="BN 01"/>
      <sheetName val="PLUMBING WORK ADDITIONS"/>
      <sheetName val="CERTIFICATE"/>
      <sheetName val="costing sheet"/>
      <sheetName val="SSuppliers"/>
      <sheetName val="ID Office-R1 - 23.8.2012"/>
      <sheetName val="Schnieder Price List-July 2012"/>
      <sheetName val="Material"/>
      <sheetName val="covere"/>
      <sheetName val="Price"/>
      <sheetName val="3C"/>
      <sheetName val="w't table"/>
      <sheetName val="Import Schedule"/>
      <sheetName val="1A"/>
      <sheetName val="BOM"/>
      <sheetName val="Factors"/>
      <sheetName val="Super"/>
      <sheetName val="Lookup"/>
      <sheetName val="Cctmst"/>
      <sheetName val=" Factor  "/>
      <sheetName val="Histry Price"/>
      <sheetName val="FitOutConfCentre"/>
      <sheetName val="Valesco Paste"/>
      <sheetName val="ELE Summary"/>
      <sheetName val="Import Sieme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298.xml><?xml version="1.0" encoding="utf-8"?>
<externalLink xmlns="http://schemas.openxmlformats.org/spreadsheetml/2006/main">
  <externalBook xmlns:r="http://schemas.openxmlformats.org/officeDocument/2006/relationships" r:id="rId1">
    <sheetNames>
      <sheetName val="#1 IS"/>
      <sheetName val="#2a FY 08 PHASING"/>
      <sheetName val="#3a BS"/>
      <sheetName val="#4 FCF"/>
      <sheetName val="#2 Org Growth"/>
      <sheetName val="Lookup"/>
      <sheetName val="#3 Rev OI Bridge 07-08"/>
      <sheetName val="#3 Rev OI Bridge 08-09"/>
      <sheetName val="#3 Rev OI Bridge 09-10"/>
      <sheetName val="#3 Bridge Instructions"/>
      <sheetName val="#5 Restructuring"/>
      <sheetName val="#9 RIF Roll Forward"/>
      <sheetName val="#10 RIF Unit Roll Forward"/>
      <sheetName val="#11  Opps &amp; Risks"/>
      <sheetName val="jul_data"/>
      <sheetName val="Total"/>
      <sheetName val="Legend"/>
      <sheetName val="Parameters"/>
      <sheetName val="3.Labour"/>
      <sheetName val="1.Material"/>
      <sheetName val="MMI"/>
      <sheetName val="2.Machinery"/>
      <sheetName val="Product Groups"/>
      <sheetName val="Summary"/>
      <sheetName val="total components with Rates"/>
      <sheetName val="NonPerp"/>
      <sheetName val="Perp"/>
      <sheetName val="Sheet1"/>
      <sheetName val="Ragama"/>
      <sheetName val="13A"/>
      <sheetName val="Zones"/>
      <sheetName val="Input"/>
      <sheetName val="may_data"/>
      <sheetName val="Keels-6.2.2014"/>
      <sheetName val="FlowHmgma Grds-9.7.2013-details"/>
      <sheetName val="OLD PRICES"/>
      <sheetName val="CQ by Entity"/>
      <sheetName val="FY by Entity"/>
      <sheetName val="INDEX"/>
      <sheetName val="NQ by Entity"/>
      <sheetName val="CQ Bridge"/>
      <sheetName val="CQ Orders"/>
      <sheetName val="Org Growth"/>
      <sheetName val="Monthly Trend Act MOR pv"/>
      <sheetName val=" Factor  "/>
      <sheetName val="Histry Price"/>
      <sheetName val="Exchange Rates(rounded)"/>
      <sheetName val="Sheet2"/>
      <sheetName val="NEW PRODUCT SALES FORCE"/>
      <sheetName val="Material Prices"/>
      <sheetName val="MACHINERY"/>
      <sheetName val="MATERIAL"/>
      <sheetName val="SUBCON OR OTHER"/>
      <sheetName val="w't table"/>
      <sheetName val="Factors"/>
      <sheetName val="G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299.xml><?xml version="1.0" encoding="utf-8"?>
<externalLink xmlns="http://schemas.openxmlformats.org/spreadsheetml/2006/main">
  <externalBook xmlns:r="http://schemas.openxmlformats.org/officeDocument/2006/relationships" r:id="rId1">
    <sheetNames>
      <sheetName val="全LOT (2)"/>
      <sheetName val="全LOT"/>
      <sheetName val="LOTS-A&amp;B"/>
      <sheetName val="LOT-C"/>
      <sheetName val="LOT-D"/>
      <sheetName val="Sheet1"/>
      <sheetName val="Sheet2"/>
      <sheetName val="General"/>
      <sheetName val="TOSHIBA-Structure"/>
      <sheetName val="bq"/>
      <sheetName val="STEEL STRUCTURE"/>
      <sheetName val="SH-F"/>
      <sheetName val="SH-A"/>
      <sheetName val="INFO"/>
      <sheetName val="SH-E"/>
      <sheetName val="SH-C"/>
      <sheetName val="GRAND SUM"/>
      <sheetName val="calc_menu_déroulant"/>
      <sheetName val="SI-039"/>
      <sheetName val="aug_data"/>
      <sheetName val="w't table"/>
      <sheetName val="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00.xml><?xml version="1.0" encoding="utf-8"?>
<externalLink xmlns="http://schemas.openxmlformats.org/spreadsheetml/2006/main">
  <externalBook xmlns:r="http://schemas.openxmlformats.org/officeDocument/2006/relationships" r:id="rId1">
    <sheetNames>
      <sheetName val="d-7"/>
      <sheetName val="WALL"/>
      <sheetName val="d_7"/>
      <sheetName val="Bill 3 - Site Works"/>
      <sheetName val="LOTS-A&amp;B"/>
      <sheetName val="Import Schedule"/>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01.xml><?xml version="1.0" encoding="utf-8"?>
<externalLink xmlns="http://schemas.openxmlformats.org/spreadsheetml/2006/main">
  <externalBook xmlns:r="http://schemas.openxmlformats.org/officeDocument/2006/relationships" r:id="rId1">
    <sheetNames>
      <sheetName val="Organization"/>
      <sheetName val="Staff Schedule"/>
      <sheetName val="Contract Strategy"/>
      <sheetName val="Procurement Schedule"/>
      <sheetName val="Proc. Cont. Sheet"/>
      <sheetName val="LOTS-A&amp;B"/>
      <sheetName val="STEEL STRUCTURE"/>
      <sheetName val="Price Sheet"/>
      <sheetName val="Americas"/>
      <sheetName val="d-7"/>
      <sheetName val="Valesco Pas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02.xml><?xml version="1.0" encoding="utf-8"?>
<externalLink xmlns="http://schemas.openxmlformats.org/spreadsheetml/2006/main">
  <externalBook xmlns:r="http://schemas.openxmlformats.org/officeDocument/2006/relationships" r:id="rId1">
    <sheetNames>
      <sheetName val="BoQ"/>
      <sheetName val="RateAnalysis"/>
      <sheetName val="Library"/>
      <sheetName val="pvdf mtl partition"/>
      <sheetName val="Mat'lRate"/>
      <sheetName val="ConsRate"/>
      <sheetName val="CustomDuty"/>
      <sheetName val="ExciseDuty"/>
      <sheetName val="Salestax"/>
      <sheetName val="EntryTax"/>
      <sheetName val="TransitInsurance"/>
      <sheetName val="SegniorageCharges"/>
      <sheetName val="TempWrksTruss Erect"/>
      <sheetName val="TempWrksTruss Erect (2)"/>
      <sheetName val="plant&amp;machinery"/>
      <sheetName val="Glass Partition"/>
      <sheetName val="total qty"/>
      <sheetName val="total qty - ratio"/>
      <sheetName val="Proc. Cont. Sheet"/>
      <sheetName val="STEEL STRUCTURE"/>
      <sheetName val="Structure"/>
      <sheetName val="Cost Sheet"/>
      <sheetName val="INPUT - Recommended Schedules"/>
      <sheetName val="Fac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303.xml><?xml version="1.0" encoding="utf-8"?>
<externalLink xmlns="http://schemas.openxmlformats.org/spreadsheetml/2006/main">
  <externalBook xmlns:r="http://schemas.openxmlformats.org/officeDocument/2006/relationships" r:id="rId1">
    <sheetNames>
      <sheetName val="Summary"/>
      <sheetName val="Detail"/>
      <sheetName val="Schedule"/>
      <sheetName val="Pricing"/>
      <sheetName val="Worksheet"/>
      <sheetName val="Warn-User"/>
      <sheetName val="Preliminaries"/>
      <sheetName val="Equip Hire"/>
      <sheetName val="Excavator"/>
      <sheetName val="Steel"/>
      <sheetName val="Concrete"/>
      <sheetName val="Bricklayer"/>
      <sheetName val="Carpenter"/>
      <sheetName val="Plumber"/>
      <sheetName val="Electrical"/>
      <sheetName val="Glazier"/>
      <sheetName val="Plasterer"/>
      <sheetName val="Tiler"/>
      <sheetName val="Paint"/>
      <sheetName val="Cabinets"/>
      <sheetName val="Heating"/>
      <sheetName val="Landscape"/>
      <sheetName val="Misc"/>
      <sheetName val="Finish"/>
      <sheetName val="Vary"/>
      <sheetName val="BEAM"/>
      <sheetName val="토공집계표"/>
      <sheetName val="rate"/>
      <sheetName val="SH-E"/>
      <sheetName val="SH-C"/>
      <sheetName val="covere"/>
      <sheetName val="cd"/>
      <sheetName val="sheetNO"/>
      <sheetName val="RateAnalysis"/>
      <sheetName val="ASCEandUBC"/>
      <sheetName val="D-623D"/>
      <sheetName val="DATE"/>
      <sheetName val="제출계산서"/>
      <sheetName val="Sheet1"/>
      <sheetName val="calc_menu_déroulant"/>
      <sheetName val="BnQExcelTrial"/>
      <sheetName val="H1.0"/>
      <sheetName val="EST-FOOTING (G)"/>
      <sheetName val="bq"/>
      <sheetName val="DW"/>
      <sheetName val="STMspry"/>
      <sheetName val="PsychroData"/>
      <sheetName val="DETAIL "/>
      <sheetName val="SI-039"/>
      <sheetName val="Equip_Hire"/>
      <sheetName val="H1_0"/>
      <sheetName val="EST-FOOTING_(G)"/>
      <sheetName val="F2002-79"/>
      <sheetName val="Cavity Inputs"/>
      <sheetName val="Cash Flow"/>
      <sheetName val="Proc. Cont. Sheet"/>
      <sheetName val="Book 1 Summary"/>
      <sheetName val="Structure"/>
      <sheetName val="รวมราคาทั้งสิ้น"/>
      <sheetName val="STEEL STRUCTURE"/>
      <sheetName val="LOTS-A&amp;B"/>
      <sheetName val="aug_data"/>
      <sheetName val="Factors"/>
      <sheetName val="w't 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304.xml><?xml version="1.0" encoding="utf-8"?>
<externalLink xmlns="http://schemas.openxmlformats.org/spreadsheetml/2006/main">
  <externalBook xmlns:r="http://schemas.openxmlformats.org/officeDocument/2006/relationships" r:id="rId1">
    <sheetNames>
      <sheetName val="ancillary"/>
      <sheetName val="Raw Data"/>
      <sheetName val="Option"/>
      <sheetName val="TEMP"/>
      <sheetName val="CIF COST ITEM"/>
      <sheetName val="공사비 내역 (가)"/>
      <sheetName val="OPENINGS"/>
      <sheetName val="PRECAST lightconc-II"/>
      <sheetName val="PRECAST-conc-II"/>
      <sheetName val="Miscellaneous-civil"/>
      <sheetName val="basic"/>
      <sheetName val="GN-ST-10"/>
      <sheetName val="PRECAST lightconc_II"/>
      <sheetName val="CF-det"/>
      <sheetName val="Cleaning &amp; Grubbing"/>
      <sheetName val="Friends"/>
      <sheetName val="College Details"/>
      <sheetName val="Personal "/>
      <sheetName val="Office"/>
      <sheetName val="GN_ST_10"/>
      <sheetName val="IHC"/>
      <sheetName val="bhilai"/>
      <sheetName val="jidal dam"/>
      <sheetName val="delo"/>
      <sheetName val="fran temp"/>
      <sheetName val="gagan"/>
      <sheetName val="hsbc"/>
      <sheetName val="jeedi"/>
      <sheetName val="kona swit"/>
      <sheetName val="template (8)"/>
      <sheetName val="template (9)"/>
      <sheetName val="OVER HEADS"/>
      <sheetName val="Cover Sheet"/>
      <sheetName val="BOQ REV A"/>
      <sheetName val="BOQ"/>
      <sheetName val="PTB (IO)"/>
      <sheetName val="BMS "/>
      <sheetName val="SPT vs PHI"/>
      <sheetName val="TBAL9697 -group wise  sdpl"/>
      <sheetName val="PIPING"/>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OVER_HEADS"/>
      <sheetName val="Cover_Sheet"/>
      <sheetName val="BOQ_REV_A"/>
      <sheetName val="PTB_(IO)"/>
      <sheetName val="BMS_"/>
      <sheetName val="SPT_vs_PHI"/>
      <sheetName val="TBAL9697_-group_wise__sdpl"/>
      <sheetName val="八幡"/>
      <sheetName val="zone-8"/>
      <sheetName val="MHNO_LEV"/>
      <sheetName val="concrete"/>
      <sheetName val="beam-reinft-IIInd floor"/>
      <sheetName val="M-Book for Conc"/>
      <sheetName val="M-Book for FW"/>
      <sheetName val="SITE OVERHEADS"/>
      <sheetName val="labour coeff"/>
      <sheetName val="Site Dev BOQ"/>
      <sheetName val="Sheet3"/>
      <sheetName val="VCH-SLC"/>
      <sheetName val="Supplier"/>
      <sheetName val="upa"/>
      <sheetName val="Expenditure plan"/>
      <sheetName val="ORDER BOOKING"/>
      <sheetName val="Design"/>
      <sheetName val="SILICATE"/>
      <sheetName val="Costing Upto Mar'11 (2)"/>
      <sheetName val="Tender Summary"/>
      <sheetName val="p&amp;m"/>
      <sheetName val="#REF!"/>
      <sheetName val="A"/>
      <sheetName val="Boq Block A"/>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List"/>
      <sheetName val="dBase"/>
      <sheetName val="Meas.-Hotel Part"/>
      <sheetName val="Contract Night Staff"/>
      <sheetName val="Contract Day Staff"/>
      <sheetName val="Day Shift"/>
      <sheetName val="Night Shift"/>
      <sheetName val="External Doors"/>
      <sheetName val="T&amp;M"/>
      <sheetName val="BOQ_Direct_selling cost"/>
      <sheetName val="Sheet2"/>
      <sheetName val="scurve calc (2)"/>
      <sheetName val="factors"/>
      <sheetName val="Headings"/>
      <sheetName val="Direct cost shed A-2 "/>
      <sheetName val="22.12.2011"/>
      <sheetName val="Fee Rate Summary"/>
      <sheetName val="Civil Boq"/>
      <sheetName val="9"/>
      <sheetName val="Raw_Data"/>
      <sheetName val="Forecast"/>
      <sheetName val="FORM7"/>
      <sheetName val="2A"/>
      <sheetName val="Jafiliya"/>
      <sheetName val="Oud Metha"/>
      <sheetName val="Port Saeed"/>
      <sheetName val="Al Wasl"/>
      <sheetName val="Zabeel"/>
      <sheetName val="Meas__Hotel Part"/>
      <sheetName val="BOQ (2)"/>
      <sheetName val="2gii"/>
      <sheetName val="공장별판관비배부"/>
      <sheetName val="Build-up"/>
      <sheetName val="final abstract"/>
      <sheetName val="Detail"/>
      <sheetName val="Data"/>
      <sheetName val="Lead"/>
      <sheetName val="INPUT SHEET"/>
      <sheetName val="Fill this out first..."/>
      <sheetName val="GBW"/>
      <sheetName val="MN T.B."/>
      <sheetName val=" 09.07.10 M顅ᎆ뤀ᨇ԰"/>
      <sheetName val="beam-reinft"/>
      <sheetName val=" 09.07.10 M顅ᎆ뤀ᨇ԰?缀?"/>
      <sheetName val="master"/>
      <sheetName val="DataInput"/>
      <sheetName val="DataInput-1"/>
      <sheetName val="DI Rate Analysis"/>
      <sheetName val="Economic RisingMain  Ph-I"/>
      <sheetName val="inWords"/>
      <sheetName val="Database"/>
      <sheetName val="HK"/>
      <sheetName val="Calendar"/>
      <sheetName val="PriceSummary"/>
      <sheetName val="St.co.91.5lvl"/>
      <sheetName val="Ave.wtd.rates"/>
      <sheetName val="Material "/>
      <sheetName val="Labour &amp; Plant"/>
      <sheetName val="Cashflow projection"/>
      <sheetName val="Item- Compact"/>
      <sheetName val="PA- Consutant "/>
      <sheetName val="HVAC"/>
      <sheetName val="Costing"/>
      <sheetName val="TBAL9697 _group wise  sdpl"/>
      <sheetName val="Intake"/>
      <sheetName val="BS8007"/>
      <sheetName val="Civil Works"/>
      <sheetName val="IO List"/>
      <sheetName val="Sales &amp; Prod"/>
      <sheetName val="Assumptions"/>
      <sheetName val="cash in flow Summary JV "/>
      <sheetName val="water prop."/>
      <sheetName val="GR.slab-reinft"/>
      <sheetName val="Cost Index"/>
      <sheetName val="HEAD"/>
      <sheetName val="SP Break Up"/>
      <sheetName val="Labour productivity"/>
      <sheetName val="08.07.10헾】_x0005_"/>
      <sheetName val="section"/>
      <sheetName val="F20 Risk Analysis"/>
      <sheetName val="Change Order Log"/>
      <sheetName val="lookups"/>
      <sheetName val="ref"/>
      <sheetName val="Bin"/>
      <sheetName val="2000 MOR"/>
      <sheetName val="Rate Analysis"/>
      <sheetName val="Prelims Breakup"/>
      <sheetName val=" &#10;¢_x0002_&amp;"/>
      <sheetName val=""/>
      <sheetName val="AOR"/>
      <sheetName val="dlvoid"/>
      <sheetName val="Staff Acco."/>
      <sheetName val="Cover"/>
      <sheetName val="Data Sheet"/>
      <sheetName val="est"/>
      <sheetName val="Fin. Assumpt. - Sensitivities"/>
      <sheetName val="Bill 1"/>
      <sheetName val="Bill 2"/>
      <sheetName val="Bill 3"/>
      <sheetName val="Bill 4"/>
      <sheetName val="Bill 5"/>
      <sheetName val="Bill 6"/>
      <sheetName val="Bill 7"/>
      <sheetName val="estm_mech"/>
      <sheetName val="1.Civil-RA"/>
      <sheetName val="3cd Annexure"/>
      <sheetName val=" 09.07.10 M顅ᎆ뤀ᨇ԰_缀_"/>
      <sheetName val="box-12"/>
      <sheetName val="Rate analysis- BOQ 1 "/>
      <sheetName val="col-reinft1"/>
      <sheetName val="PRELIM5"/>
      <sheetName val="Driveway Beams"/>
      <sheetName val="Labour"/>
      <sheetName val="Analy_7-10"/>
      <sheetName val="INDIGINEOUS ITEMS "/>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_23_07_10_N_SHIFT_MECH-FAB"/>
      <sheetName val="_23_07_10_N_SHIFT_MECH-TANK"/>
      <sheetName val="_23_07_10_RS_&amp;_SECURITY"/>
      <sheetName val="23_07_10_CIVIL_WET"/>
      <sheetName val="_23_07_10_CIVIL"/>
      <sheetName val="_23_07_10_MECH-FAB"/>
      <sheetName val="COLUMN"/>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08.07.10헾】_x0005_????ꎋ"/>
      <sheetName val="SUMMARY(E)"/>
      <sheetName val="Structure Bills Qty"/>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Project Details.."/>
      <sheetName val="B3-B4-B5-B6"/>
      <sheetName val="Theo Cons-June'10"/>
      <sheetName val="T-P1, FINISHES WORKING "/>
      <sheetName val="Assumption &amp; Exclusion"/>
      <sheetName val="querries"/>
      <sheetName val="gen"/>
      <sheetName val="Voucher"/>
      <sheetName val="Prelims_Breakup"/>
      <sheetName val="wordsdata"/>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Eqpmnt Plng"/>
      <sheetName val="LABOUR RATE"/>
      <sheetName val="Material Rate"/>
      <sheetName val="Admin"/>
      <sheetName val=" &#10;¢_x0002_&amp;???ú5#???????"/>
      <sheetName val="AFAS "/>
      <sheetName val="RDS &amp; WLD"/>
      <sheetName val="PA System"/>
      <sheetName val="ACC"/>
      <sheetName val="CCTV"/>
      <sheetName val="Server &amp; PAC Room"/>
      <sheetName val="BMS"/>
      <sheetName val="HVAC BOQ"/>
      <sheetName val="Assumption Inputs"/>
      <sheetName val="DEINKING(ANNEX 1)"/>
      <sheetName val="RA-markate"/>
      <sheetName val="COST"/>
      <sheetName val="Grade Slab -1"/>
      <sheetName val="Grade Slab -2"/>
      <sheetName val="Grade slab-3"/>
      <sheetName val="Grade slab -4"/>
      <sheetName val="Grade slab -5"/>
      <sheetName val="Grade slab -6"/>
      <sheetName val="DI_Rate_Analysis"/>
      <sheetName val="Economic_RisingMain__Ph-I"/>
      <sheetName val="08.07.10헾】_x0005_????菈_x0013_"/>
      <sheetName val="sheeet7"/>
      <sheetName val="ACS(1)"/>
      <sheetName val="FAS-C(4)"/>
      <sheetName val="CCTV(old)"/>
      <sheetName val="Makro1"/>
      <sheetName val="Final"/>
      <sheetName val="Summary-Price_New"/>
      <sheetName val="AN-2K"/>
      <sheetName val="Switch V16"/>
      <sheetName val="08.07.10헾】_x0005_____ꎋ"/>
      <sheetName val="FT-05-02IsoBOM"/>
      <sheetName val="Background"/>
      <sheetName val="Summary WG"/>
      <sheetName val="L+M"/>
      <sheetName val="Debits as on 12.04.08"/>
      <sheetName val="detail'02"/>
      <sheetName val="Cal"/>
      <sheetName val="Phase 1"/>
      <sheetName val="Pacakges split"/>
      <sheetName val="run"/>
      <sheetName val="AutoOpen Stub Data"/>
      <sheetName val="Code"/>
      <sheetName val="환율"/>
      <sheetName val="Wire"/>
      <sheetName val="analysis"/>
      <sheetName val="pol-60"/>
      <sheetName val="STAFFSCHED "/>
      <sheetName val="InputPO_Del"/>
      <sheetName val="Deduction of assets"/>
      <sheetName val="_17_07_10_N_SHIFT_MECH-TANK"/>
      <sheetName val="_17_07_10_RS_&amp;_SECURITY"/>
      <sheetName val="17_07_10_CIVIL_WET"/>
      <sheetName val="_17_07_10_CIVIL"/>
      <sheetName val="_17_07_10_MECH-FAB"/>
      <sheetName val="_17_07_10_MECH-TANK"/>
      <sheetName val="India F&amp;S Template"/>
      <sheetName val=" bus bay"/>
      <sheetName val="doq-10"/>
      <sheetName val="doq-I"/>
      <sheetName val="doq 4"/>
      <sheetName val="doq 2"/>
      <sheetName val="Cat A Change Control"/>
      <sheetName val="d-safe specs"/>
      <sheetName val="  ¢_x0002_&amp;"/>
      <sheetName val="  ¢_x0002_&amp;???ú5#???????"/>
      <sheetName val="14.07.10@"/>
      <sheetName val="14.07.10Á_x000c__x0003_&amp;"/>
      <sheetName val="Variables"/>
      <sheetName val="Factor Sheet"/>
      <sheetName val="BOQ_Direct_selling_cost"/>
      <sheetName val="ST CODE"/>
      <sheetName val="FitOutConfCentre"/>
      <sheetName val="10"/>
      <sheetName val="Control"/>
      <sheetName val="11A"/>
      <sheetName val="11B "/>
      <sheetName val="12A"/>
      <sheetName val="12B"/>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CABLERET"/>
      <sheetName val="Invoice Tracker"/>
      <sheetName val="Index"/>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ontract_Night_Staff"/>
      <sheetName val="Contract_Day_Staff"/>
      <sheetName val="Day_Shift"/>
      <sheetName val="Night_Shift"/>
      <sheetName val="External_Doors"/>
      <sheetName val="Measurements"/>
      <sheetName val="Tables"/>
      <sheetName val="Flooring"/>
      <sheetName val="Ceilings"/>
      <sheetName val="ACAD Finishes"/>
      <sheetName val="Site Details"/>
      <sheetName val="Chair"/>
      <sheetName val="Site Area Statement"/>
      <sheetName val="Doors"/>
      <sheetName val="Estimate"/>
      <sheetName val="BOQ LT"/>
      <sheetName val="14.07.10 CIVIL W ["/>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scurve_calc_(2)"/>
      <sheetName val="Direct_cost_shed_A-2_"/>
      <sheetName val="Fee_Rate_Summary"/>
      <sheetName val="Civil_Boq"/>
      <sheetName val="22_12_20111"/>
      <sheetName val="BOQ_(2)1"/>
      <sheetName val="INPUT_SHEET"/>
      <sheetName val="final_abstract"/>
      <sheetName val="Meas__Hotel_Part"/>
      <sheetName val="Ave_wtd_rates"/>
      <sheetName val="Material_"/>
      <sheetName val="Labour_&amp;_Plant"/>
      <sheetName val="Cashflow_projection"/>
      <sheetName val="_09_07_10_M顅ᎆ뤀ᨇ԰缀"/>
      <sheetName val="Item-_Compact"/>
      <sheetName val="St_co_91_5lvl"/>
      <sheetName val="Fill_this_out_first___"/>
      <sheetName val="cash_in_flow_Summary_JV_"/>
      <sheetName val="water_prop_"/>
      <sheetName val="GR_slab-reinft"/>
      <sheetName val="Cost_Index"/>
      <sheetName val="Sales_&amp;_Prod"/>
      <sheetName val="IO_List"/>
      <sheetName val="Staff_Acco_"/>
      <sheetName val="08_07_10헾】ꎋ"/>
      <sheetName val="PA-_Consutant_"/>
      <sheetName val="3cd_Annexure"/>
      <sheetName val="DI_Rate_Analysis1"/>
      <sheetName val="Economic_RisingMain__Ph-I1"/>
      <sheetName val="Civil_Works"/>
      <sheetName val="TBAL9697__group_wise__sdpl"/>
      <sheetName val="MN_T_B_"/>
      <sheetName val="SP_Break_Up"/>
      <sheetName val="Labour_productivity"/>
      <sheetName val="_09_07_10_M顅ᎆ뤀ᨇ԰?缀?"/>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Project_Details__"/>
      <sheetName val="Rate_analysis-_BOQ_1_"/>
      <sheetName val="Prelims_Breakup1"/>
      <sheetName val="_&#10;¢&amp;ú5#"/>
      <sheetName val="Driveway_Beams"/>
      <sheetName val="Rate_Analysis"/>
      <sheetName val="T-P1,_FINISHES_WORKING_"/>
      <sheetName val="Assumption_&amp;_Exclusion"/>
      <sheetName val="_&#10;¢&amp;???ú5#???????"/>
      <sheetName val="Phase_1"/>
      <sheetName val="Pacakges_split"/>
      <sheetName val="Assumption_Inputs"/>
      <sheetName val="DEINKING(ANNEX_1)"/>
      <sheetName val="Eqpmnt_Plng"/>
      <sheetName val="LABOUR_RATE"/>
      <sheetName val="Material_Rate"/>
      <sheetName val="Switch_V16"/>
      <sheetName val="Grade_Slab_-1"/>
      <sheetName val="Grade_Slab_-2"/>
      <sheetName val="Grade_slab-3"/>
      <sheetName val="Grade_slab_-4"/>
      <sheetName val="Grade_slab_-5"/>
      <sheetName val="Grade_slab_-6"/>
      <sheetName val="Factor_Sheet"/>
      <sheetName val="AutoOpen_Stub_Data"/>
      <sheetName val="Cat_A_Change_Control"/>
      <sheetName val="Construction"/>
      <sheetName val="#REF"/>
      <sheetName val="Revised_2_fc4a"/>
      <sheetName val="CPA33-34"/>
      <sheetName val="P&amp;L"/>
      <sheetName val="Paramètres"/>
      <sheetName val="Divers"/>
      <sheetName val="OLD PRICES"/>
      <sheetName val="Cost Factor Sheet"/>
      <sheetName val="Cost summary"/>
      <sheetName val="Electrical"/>
      <sheetName val="AU Zone"/>
      <sheetName val="Fcst Tool"/>
      <sheetName val="Homagama Grounds-9.7.2013"/>
      <sheetName val="BOI - Katunayaka-9.8.2013"/>
      <sheetName val="DEP"/>
      <sheetName val="MTC"/>
      <sheetName val="TFR"/>
      <sheetName val="jul_data"/>
      <sheetName val="Material"/>
      <sheetName val="Material Prices"/>
      <sheetName val="Rates"/>
      <sheetName val="ICAM_Prices_Raw"/>
      <sheetName val="1A"/>
      <sheetName val="Ragama"/>
      <sheetName val="基本ﾃﾞｰﾀ"/>
      <sheetName val="Zones"/>
      <sheetName val="costing sheet"/>
      <sheetName val="MDB-25.8.2014"/>
      <sheetName val="Worksheet"/>
      <sheetName val="LOTS-A&amp;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Set>
  </externalBook>
</externalLink>
</file>

<file path=xl/externalLinks/externalLink305.xml><?xml version="1.0" encoding="utf-8"?>
<externalLink xmlns="http://schemas.openxmlformats.org/spreadsheetml/2006/main">
  <externalBook xmlns:r="http://schemas.openxmlformats.org/officeDocument/2006/relationships" r:id="rId1">
    <sheetNames>
      <sheetName val="boq"/>
      <sheetName val="grand summary"/>
      <sheetName val="upa"/>
      <sheetName val="material"/>
      <sheetName val="labour"/>
      <sheetName val="equipment"/>
      <sheetName val="inWords"/>
      <sheetName val="wordsdata"/>
      <sheetName val="dapr"/>
      <sheetName val="sched"/>
      <sheetName val="cpm"/>
      <sheetName val="activity"/>
      <sheetName val="Worksheet"/>
      <sheetName val="RateAnalysis"/>
      <sheetName val="Factors"/>
      <sheetName val="Rate analysis 1"/>
      <sheetName val="Tables"/>
      <sheetName val="d-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06.xml><?xml version="1.0" encoding="utf-8"?>
<externalLink xmlns="http://schemas.openxmlformats.org/spreadsheetml/2006/main">
  <externalBook xmlns:r="http://schemas.openxmlformats.org/officeDocument/2006/relationships" r:id="rId1">
    <sheetNames>
      <sheetName val="内訳書"/>
      <sheetName val="代価"/>
      <sheetName val="代価(2)"/>
      <sheetName val="比較表(現地)"/>
      <sheetName val="比較表(US$)"/>
      <sheetName val="比較表(日本)"/>
      <sheetName val="建設物価"/>
      <sheetName val="歩掛表"/>
      <sheetName val="盤歩掛表"/>
      <sheetName val="材料表"/>
      <sheetName val="DUTY FREE-DF VAT"/>
      <sheetName val="3.Labour"/>
      <sheetName val="1.Material"/>
      <sheetName val="MMI"/>
      <sheetName val="2.Machinery"/>
      <sheetName val="B-2"/>
      <sheetName val="Cash2"/>
      <sheetName val="Z"/>
      <sheetName val="Factors"/>
      <sheetName val="BOQ Com"/>
      <sheetName val="FORM5"/>
      <sheetName val="Raw Data"/>
      <sheetName val="RESOURCES"/>
      <sheetName val="BASIC RATES"/>
      <sheetName val="Factor"/>
      <sheetName val="CCTV_EST1"/>
      <sheetName val="Ragama"/>
      <sheetName val="Bill 3 - Site Works"/>
      <sheetName val=" Factor  "/>
      <sheetName val="Histry Price"/>
      <sheetName val="Super"/>
      <sheetName val="Ra  stair"/>
      <sheetName val="RSM and Distributors"/>
      <sheetName val="대비표"/>
      <sheetName val="Total Operations"/>
      <sheetName val="White Group"/>
      <sheetName val="Material Prices"/>
      <sheetName val="BOQ"/>
      <sheetName val="total"/>
      <sheetName val="Rate Sheet"/>
      <sheetName val="Material Prices to site"/>
      <sheetName val="산근"/>
      <sheetName val="apr_data"/>
      <sheetName val="주식"/>
      <sheetName val="13-septic"/>
      <sheetName val="7-ug"/>
      <sheetName val="2-utility"/>
      <sheetName val="11-hsd"/>
      <sheetName val="5-pipe"/>
      <sheetName val="18-misc"/>
      <sheetName val="기계내역서"/>
      <sheetName val="wordsdata"/>
      <sheetName val="Proc. Cont.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307.xml><?xml version="1.0" encoding="utf-8"?>
<externalLink xmlns="http://schemas.openxmlformats.org/spreadsheetml/2006/main">
  <externalBook xmlns:r="http://schemas.openxmlformats.org/officeDocument/2006/relationships" r:id="rId1">
    <sheetNames>
      <sheetName val="total"/>
      <sheetName val="Active"/>
      <sheetName val="FIRE ALARM"/>
      <sheetName val="North Asia"/>
      <sheetName val="NEW PRODUCT SALES FORCE"/>
      <sheetName val="Total Operations"/>
      <sheetName val="White Group"/>
      <sheetName val="기계내역서"/>
      <sheetName val="Material Prices"/>
      <sheetName val="CERTIFICATE"/>
      <sheetName val="금융비용"/>
      <sheetName val="Valesco Paste"/>
      <sheetName val="Ragama"/>
      <sheetName val="RBD"/>
      <sheetName val="NATION"/>
      <sheetName val="Cost Factor Sheet"/>
      <sheetName val="Load Sch, Cable Sel &amp; Qty"/>
      <sheetName val="Factor Sheet"/>
      <sheetName val="Price Sheet"/>
      <sheetName val="B-3.2 EB"/>
      <sheetName val="LTG-STG"/>
      <sheetName val="Factor F Data"/>
      <sheetName val="Factor"/>
      <sheetName val="2005 - GAAP"/>
      <sheetName val="Kaatsu H.A.M.T.T.C.-7 jan 10"/>
      <sheetName val="AU Zone"/>
      <sheetName val="Sheet3"/>
      <sheetName val="Weather"/>
      <sheetName val="成本多栏明细账"/>
      <sheetName val="B-2"/>
      <sheetName val="산근"/>
      <sheetName val="Rate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08.xml><?xml version="1.0" encoding="utf-8"?>
<externalLink xmlns="http://schemas.openxmlformats.org/spreadsheetml/2006/main">
  <externalBook xmlns:r="http://schemas.openxmlformats.org/officeDocument/2006/relationships" r:id="rId1">
    <sheetNames>
      <sheetName val="ICAM_Prices_Raw"/>
      <sheetName val="ICAM_Master"/>
      <sheetName val="ICAM_Master EN"/>
      <sheetName val="ICAM_Master UL"/>
      <sheetName val="UL_USD"/>
      <sheetName val="EN_USD"/>
      <sheetName val="EN_AU"/>
      <sheetName val="Zones"/>
      <sheetName val="NOV fx rates"/>
      <sheetName val="Factors"/>
      <sheetName val="Distributor Details"/>
      <sheetName val="Financial Summary"/>
      <sheetName val="Medical"/>
      <sheetName val="total components with Rates"/>
      <sheetName val="Rates"/>
      <sheetName val="Sheet1"/>
      <sheetName val="jul_data"/>
      <sheetName val="3.Labour"/>
      <sheetName val="1.Material"/>
      <sheetName val="MMI"/>
      <sheetName val="2.Machinery"/>
      <sheetName val="Assumptions"/>
      <sheetName val="Lookup"/>
      <sheetName val="D"/>
      <sheetName val="G"/>
      <sheetName val="E"/>
      <sheetName val="Dist Controls"/>
      <sheetName val="File Settings"/>
      <sheetName val="Forecast"/>
      <sheetName val="MACHINERY"/>
      <sheetName val="MATERIAL"/>
      <sheetName val="SUBCON OR OTHER"/>
      <sheetName val="BK Unit Rate"/>
      <sheetName val="GAE8'97"/>
      <sheetName val="Analysis"/>
      <sheetName val="Cost Factor Sheet"/>
      <sheetName val="TBLS"/>
      <sheetName val="Sheet2"/>
      <sheetName val="A"/>
      <sheetName val="NEW PRODUCT SALES FORCE"/>
      <sheetName val="Equipment"/>
      <sheetName val="Rate Sheet"/>
      <sheetName val="SEX"/>
      <sheetName val="SLS CM"/>
      <sheetName val="概総括1"/>
      <sheetName val="3A"/>
      <sheetName val="1.R18 BF"/>
      <sheetName val="F-B"/>
      <sheetName val="Work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309.xml><?xml version="1.0" encoding="utf-8"?>
<externalLink xmlns="http://schemas.openxmlformats.org/spreadsheetml/2006/main">
  <externalBook xmlns:r="http://schemas.openxmlformats.org/officeDocument/2006/relationships" r:id="rId1">
    <sheetNames>
      <sheetName val="PD"/>
      <sheetName val="ERP"/>
      <sheetName val="สาธารณะ"/>
      <sheetName val="Store"/>
      <sheetName val="SH-D"/>
      <sheetName val="covere"/>
      <sheetName val="Worksheet"/>
      <sheetName val="wordsdata"/>
      <sheetName val="Final Summary - Base"/>
      <sheetName val="電気設備表"/>
      <sheetName val="Book 1 Summary"/>
      <sheetName val="Sheet1"/>
      <sheetName val="LOTUS-EE1"/>
      <sheetName val="Hauling"/>
      <sheetName val="Equipment"/>
      <sheetName val="Net-Valve-1"/>
      <sheetName val="cal"/>
      <sheetName val="BEAM"/>
      <sheetName val="A"/>
      <sheetName val="G"/>
      <sheetName val="1.R18 BF"/>
      <sheetName val="F-B"/>
      <sheetName val="INFO"/>
      <sheetName val="ACMV"/>
      <sheetName val="Petrol Store &amp; Dispen Annex A11"/>
      <sheetName val="Cable Schedule Al_Cu"/>
      <sheetName val="Consolidated"/>
      <sheetName val="Diesel Fill_Dispense Annex A10"/>
      <sheetName val="Lift Station"/>
      <sheetName val="securities movement"/>
      <sheetName val="ประมาณการประตูหน้าต่าง "/>
      <sheetName val="PLUMBING WORK ADDITIONS"/>
      <sheetName val="Admin"/>
      <sheetName val="概総括1"/>
      <sheetName val="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10.xml><?xml version="1.0" encoding="utf-8"?>
<externalLink xmlns="http://schemas.openxmlformats.org/spreadsheetml/2006/main">
  <externalBook xmlns:r="http://schemas.openxmlformats.org/officeDocument/2006/relationships" r:id="rId1">
    <sheetNames>
      <sheetName val="SH-A"/>
      <sheetName val="SH-B"/>
      <sheetName val="SH-C"/>
      <sheetName val="SH-D"/>
      <sheetName val="SH-E"/>
      <sheetName val="SH-F"/>
      <sheetName val="SH-G"/>
      <sheetName val="SH_A"/>
      <sheetName val="실행철강하도"/>
      <sheetName val="Store"/>
      <sheetName val="form"/>
      <sheetName val="รวมราคาทั้งสิ้น"/>
      <sheetName val="e4"/>
      <sheetName val="EST-FOOTING (G)"/>
      <sheetName val="H1.0"/>
      <sheetName val="QUANTITY COMPARISON"/>
      <sheetName val="Bill No. 2 - Carpark"/>
      <sheetName val="แบบเดิม"/>
      <sheetName val="ประมาณการประตูหน้าต่าง "/>
      <sheetName val="code"/>
      <sheetName val="หน้า ปมก"/>
      <sheetName val="covere"/>
      <sheetName val="Document"/>
      <sheetName val="ภูมิทัศน์"/>
      <sheetName val="EST_FOOTING _G_"/>
      <sheetName val="Worksheet"/>
      <sheetName val="boq"/>
      <sheetName val="Struc. "/>
      <sheetName val="I-slab"/>
      <sheetName val="วัดใต้"/>
      <sheetName val="SITE OFFICE"/>
      <sheetName val="Sheet1"/>
      <sheetName val="RW_Option"/>
      <sheetName val="Structural work"/>
      <sheetName val="Electrical Systems"/>
      <sheetName val="Plumbing Systems"/>
      <sheetName val="Air Conditioning"/>
      <sheetName val="External work"/>
      <sheetName val="SI-039"/>
      <sheetName val="EST-FOOTING_(G)"/>
      <sheetName val="H1_0"/>
      <sheetName val="ประมาณการประตูหน้าต่าง_"/>
      <sheetName val="QUANTITY_COMPARISON"/>
      <sheetName val="Bill_No__2_-_Carpark"/>
      <sheetName val="หน้า_ปมก"/>
      <sheetName val="EST_FOOTING__G_"/>
      <sheetName val="Struc__"/>
      <sheetName val="Present-ex"/>
      <sheetName val="LpC"/>
      <sheetName val="Wkgs_BS Lead"/>
      <sheetName val="วิเคราะห์ (2)"/>
      <sheetName val="schedule "/>
      <sheetName val="EST-FOOTING_(G)1"/>
      <sheetName val="H1_01"/>
      <sheetName val="ประมาณการประตูหน้าต่าง_1"/>
      <sheetName val="QUANTITY_COMPARISON1"/>
      <sheetName val="Bill_No__2_-_Carpark1"/>
      <sheetName val="หน้า_ปมก1"/>
      <sheetName val="EST_FOOTING__G_1"/>
      <sheetName val="Struc__1"/>
      <sheetName val="SITE_OFFICE"/>
      <sheetName val="LOTUS-EE1"/>
      <sheetName val="งานโครงสร้าง "/>
      <sheetName val="EE"/>
      <sheetName val="Replacement Cost "/>
      <sheetName val="INFO"/>
      <sheetName val="Cover"/>
      <sheetName val="งานโครงสร้าง"/>
      <sheetName val="SITE_OFFICE1"/>
      <sheetName val="ปร"/>
      <sheetName val="material_cost"/>
      <sheetName val="EFR30696"/>
      <sheetName val="EST-FOOTING_(G)2"/>
      <sheetName val="H1_02"/>
      <sheetName val="ประมาณการประตูหน้าต่าง_2"/>
      <sheetName val="QUANTITY_COMPARISON2"/>
      <sheetName val="Bill_No__2_-_Carpark2"/>
      <sheetName val="หน้า_ปมก2"/>
      <sheetName val="EST_FOOTING__G_2"/>
      <sheetName val="Struc__2"/>
      <sheetName val="ราคาต่อหน่วย2-9"/>
      <sheetName val="LOTS-A&amp;B"/>
      <sheetName val="A"/>
      <sheetName val="G"/>
      <sheetName val="1.R18 BF"/>
      <sheetName val="F-B"/>
      <sheetName val="splinkler"/>
      <sheetName val="PL"/>
      <sheetName val="GS-Curve S.15 (Meeting)"/>
      <sheetName val="E"/>
      <sheetName val="PRICE LIST"/>
      <sheetName val="ราคากลาง 2"/>
      <sheetName val="งานซ๋อมพื้นคอนกรีต 1"/>
      <sheetName val="calc_menu_déroulant"/>
      <sheetName val="Book 1 Summary"/>
      <sheetName val="Detail"/>
      <sheetName val="Exchange Rate"/>
      <sheetName val="STMspry"/>
      <sheetName val="PsychroData"/>
      <sheetName val="schedule_"/>
      <sheetName val="Structural_work"/>
      <sheetName val="Electrical_Systems"/>
      <sheetName val="Plumbing_Systems"/>
      <sheetName val="Air_Conditioning"/>
      <sheetName val="External_work"/>
      <sheetName val="Wkgs_BS_Lead"/>
      <sheetName val="วิเคราะห์_(2)"/>
      <sheetName val="Replacement_Cost_"/>
      <sheetName val="EST-FOOTING_(G)3"/>
      <sheetName val="H1_03"/>
      <sheetName val="ประมาณการประตูหน้าต่าง_3"/>
      <sheetName val="QUANTITY_COMPARISON3"/>
      <sheetName val="Bill_No__2_-_Carpark3"/>
      <sheetName val="หน้า_ปมก3"/>
      <sheetName val="EST_FOOTING__G_3"/>
      <sheetName val="Struc__3"/>
      <sheetName val="SITE_OFFICE2"/>
      <sheetName val="schedule_1"/>
      <sheetName val="Structural_work1"/>
      <sheetName val="Electrical_Systems1"/>
      <sheetName val="Plumbing_Systems1"/>
      <sheetName val="Air_Conditioning1"/>
      <sheetName val="External_work1"/>
      <sheetName val="Wkgs_BS_Lead1"/>
      <sheetName val="วิเคราะห์_(2)1"/>
      <sheetName val="Replacement_Cost_1"/>
      <sheetName val="Insul-Cost Control-REV-00 "/>
      <sheetName val="KKC_Brkdwn"/>
      <sheetName val="LEGEND"/>
      <sheetName val="CSBR"/>
      <sheetName val="งานโครงสร้าง_"/>
      <sheetName val="EST-FOOTING_(G)4"/>
      <sheetName val="H1_04"/>
      <sheetName val="ประมาณการประตูหน้าต่าง_4"/>
      <sheetName val="QUANTITY_COMPARISON4"/>
      <sheetName val="Bill_No__2_-_Carpark4"/>
      <sheetName val="หน้า_ปมก4"/>
      <sheetName val="EST_FOOTING__G_4"/>
      <sheetName val="Struc__4"/>
      <sheetName val="SITE_OFFICE3"/>
      <sheetName val="Replacement_Cost_2"/>
      <sheetName val="Wkgs_BS_Lead2"/>
      <sheetName val="วิเคราะห์_(2)2"/>
      <sheetName val="Structural_work2"/>
      <sheetName val="Electrical_Systems2"/>
      <sheetName val="Plumbing_Systems2"/>
      <sheetName val="Air_Conditioning2"/>
      <sheetName val="External_work2"/>
      <sheetName val="schedule_2"/>
      <sheetName val="งานโครงสร้าง_1"/>
      <sheetName val="ส่วนลดระบบไฟฟ้า"/>
      <sheetName val="List"/>
      <sheetName val="สรุป"/>
      <sheetName val="SAN REDUCED 1"/>
      <sheetName val="SCHEDULE_3"/>
      <sheetName val="detail "/>
      <sheetName val="Prod-1"/>
      <sheetName val="DATA"/>
      <sheetName val="cost_categories"/>
      <sheetName val="HDPE"/>
      <sheetName val="ส่งงาน"/>
      <sheetName val="picture"/>
      <sheetName val="picture (2)"/>
      <sheetName val="picture (3)"/>
      <sheetName val="pvc"/>
      <sheetName val="PR "/>
      <sheetName val="%"/>
      <sheetName val="PR  (2)"/>
      <sheetName val="ฐานราคา"/>
      <sheetName val="5a. Code_E"/>
      <sheetName val="BOX Cryostat Details"/>
      <sheetName val="Driver Linac Layout"/>
      <sheetName val="Inputs"/>
      <sheetName val="Magnet Details"/>
      <sheetName val="SANITARY"/>
      <sheetName val="Quotation"/>
      <sheetName val="LITF"/>
      <sheetName val="ราคาต่ำสุด-721"/>
      <sheetName val="Attendance配合费"/>
      <sheetName val="name"/>
      <sheetName val="clg fin"/>
      <sheetName val="flr fin"/>
      <sheetName val="Col"/>
      <sheetName val="Rif_Col"/>
      <sheetName val="timber frame"/>
      <sheetName val="Wall Qty"/>
      <sheetName val="roof fin"/>
      <sheetName val="Flr, Rf Bm"/>
      <sheetName val="Rif_PCap"/>
      <sheetName val="Flr Slb, stair"/>
      <sheetName val="Gd Bm"/>
      <sheetName val="PC, G.Slab"/>
      <sheetName val="wall fin"/>
      <sheetName val="3 Cost Summary with classes"/>
      <sheetName val="XLR_NoRangeSheet"/>
      <sheetName val="110"/>
      <sheetName val="FSA"/>
      <sheetName val="QS-Payment"/>
      <sheetName val="Prompt"/>
      <sheetName val="Manpower"/>
      <sheetName val="Reason of Difference"/>
      <sheetName val="Summary(1)"/>
      <sheetName val="Summary(2)"/>
      <sheetName val="Dwg list "/>
      <sheetName val="2.1Piling"/>
      <sheetName val="3.1 ST(basement)"/>
      <sheetName val="3.2Sky Villa"/>
      <sheetName val="3.2IL Condo1"/>
      <sheetName val="3.2IL Condo2"/>
      <sheetName val="3.2IL Condo3"/>
      <sheetName val="3.2HiCare"/>
      <sheetName val="3.2Clubhouse"/>
      <sheetName val="Footings- Working"/>
      <sheetName val="3.3basement(AR)"/>
      <sheetName val="3.3basement(ID)"/>
      <sheetName val="3.3SkyVilla(SUM AR,ID)"/>
      <sheetName val="3.3SkyVilla(AR)"/>
      <sheetName val="3.3SkyVilla(SUM ID)"/>
      <sheetName val="3.3SkyVilla (ID)"/>
      <sheetName val="3.3ILCondo (SUM AR,ID)"/>
      <sheetName val="3.3ILCondo(AR)"/>
      <sheetName val="3.3ILCondo ( SUM ID)"/>
      <sheetName val="3.3IL (ID Public)"/>
      <sheetName val="3.3ILCondo (ID Guest Room)"/>
      <sheetName val="3.3HiCare (AR)"/>
      <sheetName val="3.3HiCare (ID)"/>
      <sheetName val="3.3Clubhouse(AR)"/>
      <sheetName val="3.3Clubhouse(ID)"/>
      <sheetName val="3.4SkyVilla(Facade)"/>
      <sheetName val="3.4ILCondo(Facade)"/>
      <sheetName val="3.4HiCare(Facade)"/>
      <sheetName val="3.4Clubhouse(Facade)"/>
      <sheetName val="3.5 Ext"/>
      <sheetName val="3.6 Pro Sum"/>
      <sheetName val="Exclusion"/>
      <sheetName val="ILCondoFacade - Working"/>
      <sheetName val="RECY"/>
      <sheetName val="GS-Curve_S_15_(Meeting)"/>
      <sheetName val="GS-Curve_S_15_(Meeting)1"/>
      <sheetName val="CR100"/>
      <sheetName val="21"/>
      <sheetName val="Référentiel"/>
      <sheetName val="Cctmst"/>
      <sheetName val="QuantitySegment"/>
      <sheetName val="Boq.Arc. take จริง"/>
      <sheetName val="EST-FOOTING_(G)5"/>
      <sheetName val="ประมาณการประตูหน้าต่าง_5"/>
      <sheetName val="H1_05"/>
      <sheetName val="QUANTITY_COMPARISON5"/>
      <sheetName val="Bill_No__2_-_Carpark5"/>
      <sheetName val="หน้า_ปมก5"/>
      <sheetName val="EST_FOOTING__G_5"/>
      <sheetName val="Struc__5"/>
      <sheetName val="SITE_OFFICE4"/>
      <sheetName val="งานโครงสร้าง_2"/>
      <sheetName val="GS-Curve_S_15_(Meeting)2"/>
      <sheetName val="งานประปา"/>
      <sheetName val="Final Summary - Base"/>
      <sheetName val="สรุปราคาทั้งหมด (2)"/>
      <sheetName val="配管単価"/>
      <sheetName val="ใบปะหน้า"/>
      <sheetName val="งานก่อสร้าง"/>
      <sheetName val="งานไฟฟ้า"/>
      <sheetName val="งานปรับอากาศ"/>
      <sheetName val="งานสุขาภิบาล"/>
      <sheetName val="ค่าขนส่ง"/>
      <sheetName val="corring"/>
      <sheetName val="Material"/>
      <sheetName val="แว่น"/>
      <sheetName val="แสงใหม"/>
      <sheetName val="Lookups"/>
      <sheetName val="Income Statement"/>
      <sheetName val="AC_A"/>
      <sheetName val="เตรียมการและบริหารโครงการ"/>
      <sheetName val="전기"/>
      <sheetName val="Auto Monthly Inputs "/>
      <sheetName val="2a-Consol-RVOs"/>
      <sheetName val="3-CAPARS Log"/>
      <sheetName val="mock up "/>
      <sheetName val="SUMMARY"/>
      <sheetName val="cover page"/>
      <sheetName val="sum-ac"/>
      <sheetName val="สรุปรวม (2)"/>
      <sheetName val="Structural_work3"/>
      <sheetName val="Electrical_Systems3"/>
      <sheetName val="Plumbing_Systems3"/>
      <sheetName val="Air_Conditioning3"/>
      <sheetName val="External_work3"/>
      <sheetName val="Wkgs_BS_Lead3"/>
      <sheetName val="วิเคราะห์_(2)3"/>
      <sheetName val="Replacement_Cost_3"/>
      <sheetName val="1_R18_BF"/>
      <sheetName val="Exchange_Rate"/>
      <sheetName val="PRICE_LIST"/>
      <sheetName val="Book_1_Summary"/>
      <sheetName val="ราคากลาง_2"/>
      <sheetName val="งานซ๋อมพื้นคอนกรีต_1"/>
      <sheetName val="BOX_Cryostat_Details"/>
      <sheetName val="Driver_Linac_Layout"/>
      <sheetName val="Magnet_Details"/>
      <sheetName val="detail_"/>
      <sheetName val="Insul-Cost_Control-REV-00_"/>
      <sheetName val="SAN_REDUCED_1"/>
      <sheetName val="picture_(2)"/>
      <sheetName val="picture_(3)"/>
      <sheetName val="PR_"/>
      <sheetName val="PR__(2)"/>
      <sheetName val="5a__Code_E"/>
      <sheetName val="clg_fin"/>
      <sheetName val="flr_fin"/>
      <sheetName val="timber_frame"/>
      <sheetName val="Wall_Qty"/>
      <sheetName val="roof_fin"/>
      <sheetName val="Flr,_Rf_Bm"/>
      <sheetName val="Flr_Slb,_stair"/>
      <sheetName val="Gd_Bm"/>
      <sheetName val="PC,_G_Slab"/>
      <sheetName val="wall_fin"/>
      <sheetName val="3_Cost_Summary_with_classes"/>
      <sheetName val="Income_Statement"/>
      <sheetName val="Auto_Monthly_Inputs_"/>
      <sheetName val="3-CAPARS_Log"/>
      <sheetName val="EST-FOOTING_(G)6"/>
      <sheetName val="H1_06"/>
      <sheetName val="QUANTITY_COMPARISON6"/>
      <sheetName val="Bill_No__2_-_Carpark6"/>
      <sheetName val="ประมาณการประตูหน้าต่าง_6"/>
      <sheetName val="หน้า_ปมก6"/>
      <sheetName val="EST_FOOTING__G_6"/>
      <sheetName val="Struc__6"/>
      <sheetName val="SITE_OFFICE5"/>
      <sheetName val="Structural_work4"/>
      <sheetName val="Electrical_Systems4"/>
      <sheetName val="Plumbing_Systems4"/>
      <sheetName val="Air_Conditioning4"/>
      <sheetName val="External_work4"/>
      <sheetName val="Wkgs_BS_Lead4"/>
      <sheetName val="วิเคราะห์_(2)4"/>
      <sheetName val="Replacement_Cost_4"/>
      <sheetName val="งานโครงสร้าง_3"/>
      <sheetName val="GS-Curve_S_15_(Meeting)3"/>
      <sheetName val="1_R18_BF1"/>
      <sheetName val="Exchange_Rate1"/>
      <sheetName val="PRICE_LIST1"/>
      <sheetName val="Book_1_Summary1"/>
      <sheetName val="ราคากลาง_21"/>
      <sheetName val="งานซ๋อมพื้นคอนกรีต_11"/>
      <sheetName val="BOX_Cryostat_Details1"/>
      <sheetName val="Driver_Linac_Layout1"/>
      <sheetName val="Magnet_Details1"/>
      <sheetName val="detail_1"/>
      <sheetName val="Insul-Cost_Control-REV-00_1"/>
      <sheetName val="SAN_REDUCED_11"/>
      <sheetName val="picture_(2)1"/>
      <sheetName val="picture_(3)1"/>
      <sheetName val="PR_1"/>
      <sheetName val="PR__(2)1"/>
      <sheetName val="5a__Code_E1"/>
      <sheetName val="clg_fin1"/>
      <sheetName val="flr_fin1"/>
      <sheetName val="timber_frame1"/>
      <sheetName val="Wall_Qty1"/>
      <sheetName val="roof_fin1"/>
      <sheetName val="Flr,_Rf_Bm1"/>
      <sheetName val="Flr_Slb,_stair1"/>
      <sheetName val="Gd_Bm1"/>
      <sheetName val="PC,_G_Slab1"/>
      <sheetName val="wall_fin1"/>
      <sheetName val="3_Cost_Summary_with_classes1"/>
      <sheetName val="Income_Statement1"/>
      <sheetName val="Auto_Monthly_Inputs_1"/>
      <sheetName val="3-CAPARS_Log1"/>
      <sheetName val="EST-FOOTING_(G)8"/>
      <sheetName val="H1_08"/>
      <sheetName val="QUANTITY_COMPARISON8"/>
      <sheetName val="Bill_No__2_-_Carpark8"/>
      <sheetName val="ประมาณการประตูหน้าต่าง_8"/>
      <sheetName val="หน้า_ปมก8"/>
      <sheetName val="EST_FOOTING__G_8"/>
      <sheetName val="Struc__8"/>
      <sheetName val="SITE_OFFICE7"/>
      <sheetName val="Structural_work6"/>
      <sheetName val="Electrical_Systems6"/>
      <sheetName val="Plumbing_Systems6"/>
      <sheetName val="Air_Conditioning6"/>
      <sheetName val="External_work6"/>
      <sheetName val="Wkgs_BS_Lead6"/>
      <sheetName val="วิเคราะห์_(2)6"/>
      <sheetName val="Replacement_Cost_6"/>
      <sheetName val="งานโครงสร้าง_5"/>
      <sheetName val="GS-Curve_S_15_(Meeting)5"/>
      <sheetName val="1_R18_BF3"/>
      <sheetName val="Exchange_Rate3"/>
      <sheetName val="PRICE_LIST3"/>
      <sheetName val="Book_1_Summary3"/>
      <sheetName val="ราคากลาง_23"/>
      <sheetName val="งานซ๋อมพื้นคอนกรีต_13"/>
      <sheetName val="BOX_Cryostat_Details3"/>
      <sheetName val="Driver_Linac_Layout3"/>
      <sheetName val="Magnet_Details3"/>
      <sheetName val="detail_3"/>
      <sheetName val="Insul-Cost_Control-REV-00_3"/>
      <sheetName val="SAN_REDUCED_13"/>
      <sheetName val="picture_(2)3"/>
      <sheetName val="picture_(3)3"/>
      <sheetName val="PR_3"/>
      <sheetName val="PR__(2)3"/>
      <sheetName val="5a__Code_E3"/>
      <sheetName val="clg_fin3"/>
      <sheetName val="flr_fin3"/>
      <sheetName val="timber_frame3"/>
      <sheetName val="Wall_Qty3"/>
      <sheetName val="roof_fin3"/>
      <sheetName val="Flr,_Rf_Bm3"/>
      <sheetName val="Flr_Slb,_stair3"/>
      <sheetName val="Gd_Bm3"/>
      <sheetName val="PC,_G_Slab3"/>
      <sheetName val="wall_fin3"/>
      <sheetName val="3_Cost_Summary_with_classes3"/>
      <sheetName val="Income_Statement3"/>
      <sheetName val="Auto_Monthly_Inputs_3"/>
      <sheetName val="3-CAPARS_Log3"/>
      <sheetName val="EST-FOOTING_(G)7"/>
      <sheetName val="H1_07"/>
      <sheetName val="QUANTITY_COMPARISON7"/>
      <sheetName val="Bill_No__2_-_Carpark7"/>
      <sheetName val="ประมาณการประตูหน้าต่าง_7"/>
      <sheetName val="หน้า_ปมก7"/>
      <sheetName val="EST_FOOTING__G_7"/>
      <sheetName val="Struc__7"/>
      <sheetName val="SITE_OFFICE6"/>
      <sheetName val="Structural_work5"/>
      <sheetName val="Electrical_Systems5"/>
      <sheetName val="Plumbing_Systems5"/>
      <sheetName val="Air_Conditioning5"/>
      <sheetName val="External_work5"/>
      <sheetName val="Wkgs_BS_Lead5"/>
      <sheetName val="วิเคราะห์_(2)5"/>
      <sheetName val="Replacement_Cost_5"/>
      <sheetName val="งานโครงสร้าง_4"/>
      <sheetName val="GS-Curve_S_15_(Meeting)4"/>
      <sheetName val="1_R18_BF2"/>
      <sheetName val="Exchange_Rate2"/>
      <sheetName val="PRICE_LIST2"/>
      <sheetName val="Book_1_Summary2"/>
      <sheetName val="ราคากลาง_22"/>
      <sheetName val="งานซ๋อมพื้นคอนกรีต_12"/>
      <sheetName val="BOX_Cryostat_Details2"/>
      <sheetName val="Driver_Linac_Layout2"/>
      <sheetName val="Magnet_Details2"/>
      <sheetName val="detail_2"/>
      <sheetName val="Insul-Cost_Control-REV-00_2"/>
      <sheetName val="SAN_REDUCED_12"/>
      <sheetName val="picture_(2)2"/>
      <sheetName val="picture_(3)2"/>
      <sheetName val="PR_2"/>
      <sheetName val="PR__(2)2"/>
      <sheetName val="5a__Code_E2"/>
      <sheetName val="clg_fin2"/>
      <sheetName val="flr_fin2"/>
      <sheetName val="timber_frame2"/>
      <sheetName val="Wall_Qty2"/>
      <sheetName val="roof_fin2"/>
      <sheetName val="Flr,_Rf_Bm2"/>
      <sheetName val="Flr_Slb,_stair2"/>
      <sheetName val="Gd_Bm2"/>
      <sheetName val="PC,_G_Slab2"/>
      <sheetName val="wall_fin2"/>
      <sheetName val="3_Cost_Summary_with_classes2"/>
      <sheetName val="Income_Statement2"/>
      <sheetName val="Auto_Monthly_Inputs_2"/>
      <sheetName val="3-CAPARS_Log2"/>
      <sheetName val="data3"/>
      <sheetName val="S3 Architectural"/>
      <sheetName val="summary1-3"/>
      <sheetName val="Assumptions"/>
      <sheetName val="cov-estimate"/>
      <sheetName val="unitcost"/>
      <sheetName val="แหล่งวัสดุ"/>
      <sheetName val="CERT"/>
      <sheetName val="DO"/>
      <sheetName val="Price Variation"/>
      <sheetName val="rc"/>
      <sheetName val="Master01"/>
      <sheetName val="Progress"/>
      <sheetName val="KC"/>
      <sheetName val="EXCEL出力資料"/>
      <sheetName val="2.0"/>
      <sheetName val="3.0"/>
      <sheetName val="4.0"/>
      <sheetName val="5.0"/>
      <sheetName val="6.0"/>
      <sheetName val="7.0"/>
      <sheetName val="8.0"/>
      <sheetName val="Exp"/>
      <sheetName val="概総括1"/>
      <sheetName val="schedule_4"/>
      <sheetName val="VRV Boq"/>
      <sheetName val="IN"/>
      <sheetName val="SCHEDULE_6"/>
      <sheetName val="TOSHIBA-Structure"/>
      <sheetName val="labour_unit_rates"/>
      <sheetName val="summary_level-2"/>
      <sheetName val="Profit_Budget"/>
      <sheetName val="words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Set>
  </externalBook>
</externalLink>
</file>

<file path=xl/externalLinks/externalLink311.xml><?xml version="1.0" encoding="utf-8"?>
<externalLink xmlns="http://schemas.openxmlformats.org/spreadsheetml/2006/main">
  <externalBook xmlns:r="http://schemas.openxmlformats.org/officeDocument/2006/relationships" r:id="rId1">
    <sheetNames>
      <sheetName val="Memo"/>
      <sheetName val="รายงานระยะที่ 2 "/>
      <sheetName val="รายการติดต่อ"/>
      <sheetName val="รายงานประกอบการเบิกงวด"/>
      <sheetName val="รายการเคลียแบบ"/>
      <sheetName val="งานAlum. แอมโปรเทค "/>
      <sheetName val="ราคา KYS เพิ่มเติม 2 , 4  "/>
      <sheetName val="เสนอราคางานเพิ่มเติม 2  "/>
      <sheetName val="เสนอราคางานเพิ่มเติม 4 "/>
      <sheetName val="งานเพิ่มเติม งานไฟฟ้า ตกแต่ง "/>
      <sheetName val="งานเพิ่มเติมห้องคนขับรถ"/>
      <sheetName val=" รายการประตู หน้าต่าง"/>
      <sheetName val="รายการอุปกรณ์ประตู หน้าต่าง"/>
      <sheetName val="รายละเอียดประตู หน้าต่าง"/>
      <sheetName val="ปรับราคาประตูหน้าต่าง  2 "/>
      <sheetName val="ราคาประตูหน้าต่าง KYS "/>
      <sheetName val="ปรับราคาประตูหน้าต่าง  2  (2)"/>
      <sheetName val="ปรับราคาประตูหน้าต่าง"/>
      <sheetName val="งานมุ้งลวด"/>
      <sheetName val="เปรียบเทียบราคา D&amp;W 2"/>
      <sheetName val="เปรียบเทียบราคาประตูหน้าต่าง 1."/>
      <sheetName val="แผนงานปรับปรุง"/>
      <sheetName val="แผนงาน"/>
      <sheetName val="งวดงาน (3)"/>
      <sheetName val="สรุปราคา (3)"/>
      <sheetName val="เสนอราคา (3)"/>
      <sheetName val="ราคาโครงสร้าง"/>
      <sheetName val="ราคาสถาปัตย์"/>
      <sheetName val="ราคางานภายนอก"/>
      <sheetName val="ราคางานประปา"/>
      <sheetName val="ราคางานไฟฟ้า"/>
      <sheetName val="งานระบบปรับอากาศ "/>
      <sheetName val="งานระบบปรับอากาศ 2 "/>
      <sheetName val="ปรับราคา"/>
      <sheetName val="ประตู-หน้าต่าง"/>
      <sheetName val="ต่อรองราคา"/>
      <sheetName val="สารบัญ"/>
      <sheetName val="ประมาณการประตูหน้าต่าง "/>
      <sheetName val="เปรียบเทียบราคา"/>
      <sheetName val="ข้อวินิจฉัย"/>
      <sheetName val="9 ยิ่งสุข"/>
      <sheetName val="รปภ.1"/>
      <sheetName val="รปภ.2"/>
      <sheetName val="รปภ.3"/>
      <sheetName val="รปภ.3 (2)"/>
      <sheetName val="รปภ.3 (3)"/>
      <sheetName val="Sheet1"/>
      <sheetName val="ราคา KYS เพิ่มเติม 2  "/>
      <sheetName val="SH-A"/>
      <sheetName val="Store"/>
      <sheetName val="SH-D"/>
      <sheetName val="ประมาณการประต_หน_าต_าง "/>
      <sheetName val="LOTUS-EE1"/>
      <sheetName val="รายงานระยะที่_2_"/>
      <sheetName val="งานAlum__แอมโปรเทค_"/>
      <sheetName val="ราคา_KYS_เพิ่มเติม_2_,_4__"/>
      <sheetName val="เสนอราคางานเพิ่มเติม_2__"/>
      <sheetName val="เสนอราคางานเพิ่มเติม_4_"/>
      <sheetName val="งานเพิ่มเติม_งานไฟฟ้า_ตกแต่ง_"/>
      <sheetName val="_รายการประตู_หน้าต่าง"/>
      <sheetName val="รายการอุปกรณ์ประตู_หน้าต่าง"/>
      <sheetName val="รายละเอียดประตู_หน้าต่าง"/>
      <sheetName val="ปรับราคาประตูหน้าต่าง__2_"/>
      <sheetName val="ราคาประตูหน้าต่าง_KYS_"/>
      <sheetName val="ปรับราคาประตูหน้าต่าง__2__(2)"/>
      <sheetName val="เปรียบเทียบราคา_D&amp;W_2"/>
      <sheetName val="เปรียบเทียบราคาประตูหน้าต่าง_1_"/>
      <sheetName val="งวดงาน_(3)"/>
      <sheetName val="สรุปราคา_(3)"/>
      <sheetName val="เสนอราคา_(3)"/>
      <sheetName val="งานระบบปรับอากาศ_"/>
      <sheetName val="งานระบบปรับอากาศ_2_"/>
      <sheetName val="ประมาณการประตูหน้าต่าง_"/>
      <sheetName val="9_ยิ่งสุข"/>
      <sheetName val="รปภ_1"/>
      <sheetName val="รปภ_2"/>
      <sheetName val="รปภ_3"/>
      <sheetName val="รปภ_3_(2)"/>
      <sheetName val="รปภ_3_(3)"/>
      <sheetName val="ราคา_KYS_เพิ่มเติม_2__"/>
      <sheetName val="code"/>
      <sheetName val="S-5"/>
      <sheetName val="SAN REDUCED 1"/>
      <sheetName val="Sheet2"/>
      <sheetName val="ทด"/>
      <sheetName val="Worksheet"/>
      <sheetName val="BOQ1 (2)"/>
      <sheetName val="Somchai15"/>
      <sheetName val="EST-FOOTING (G)"/>
      <sheetName val="DETAIL"/>
      <sheetName val="BUDGET"/>
      <sheetName val="QUANTITY COMPARISON"/>
      <sheetName val="Bill No. 2 - Carpark"/>
      <sheetName val="DETAIL "/>
      <sheetName val="splinkler"/>
      <sheetName val="Architectural works"/>
      <sheetName val="รายงานระยะที่_2_1"/>
      <sheetName val="งานAlum__แอมโปรเทค_1"/>
      <sheetName val="ราคา_KYS_เพิ่มเติม_2_,_4__1"/>
      <sheetName val="เสนอราคางานเพิ่มเติม_2__1"/>
      <sheetName val="เสนอราคางานเพิ่มเติม_4_1"/>
      <sheetName val="งานเพิ่มเติม_งานไฟฟ้า_ตกแต่ง_1"/>
      <sheetName val="_รายการประตู_หน้าต่าง1"/>
      <sheetName val="รายการอุปกรณ์ประตู_หน้าต่าง1"/>
      <sheetName val="รายละเอียดประตู_หน้าต่าง1"/>
      <sheetName val="ปรับราคาประตูหน้าต่าง__2_1"/>
      <sheetName val="ราคาประตูหน้าต่าง_KYS_1"/>
      <sheetName val="ปรับราคาประตูหน้าต่าง__2__(2)1"/>
      <sheetName val="เปรียบเทียบราคา_D&amp;W_21"/>
      <sheetName val="เปรียบเทียบราคาประตูหน้าต่าง_11"/>
      <sheetName val="งวดงาน_(3)1"/>
      <sheetName val="สรุปราคา_(3)1"/>
      <sheetName val="เสนอราคา_(3)1"/>
      <sheetName val="งานระบบปรับอากาศ_1"/>
      <sheetName val="งานระบบปรับอากาศ_2_1"/>
      <sheetName val="ประมาณการประตูหน้าต่าง_1"/>
      <sheetName val="9_ยิ่งสุข1"/>
      <sheetName val="รปภ_11"/>
      <sheetName val="รปภ_21"/>
      <sheetName val="รปภ_31"/>
      <sheetName val="รปภ_3_(2)1"/>
      <sheetName val="รปภ_3_(3)1"/>
      <sheetName val="ราคา_KYS_เพิ่มเติม_2__1"/>
      <sheetName val="ประมาณการประต_หน_าต_าง_"/>
      <sheetName val="SAN_REDUCED_1"/>
      <sheetName val="EST-FOOTING_(G)"/>
      <sheetName val="QUANTITY_COMPARISON"/>
      <sheetName val="Bill_No__2_-_Carpark"/>
      <sheetName val="DETAIL_"/>
      <sheetName val="BOQ1_(2)"/>
      <sheetName val="SH-E"/>
      <sheetName val="รวมราคาทั้งสิ้น"/>
      <sheetName val="แบบเดิม"/>
      <sheetName val="Table Name"/>
      <sheetName val="รายงานระยะที่_2_2"/>
      <sheetName val="งานAlum__แอมโปรเทค_2"/>
      <sheetName val="ราคา_KYS_เพิ่มเติม_2_,_4__2"/>
      <sheetName val="เสนอราคางานเพิ่มเติม_2__2"/>
      <sheetName val="เสนอราคางานเพิ่มเติม_4_2"/>
      <sheetName val="งานเพิ่มเติม_งานไฟฟ้า_ตกแต่ง_2"/>
      <sheetName val="_รายการประตู_หน้าต่าง2"/>
      <sheetName val="รายการอุปกรณ์ประตู_หน้าต่าง2"/>
      <sheetName val="รายละเอียดประตู_หน้าต่าง2"/>
      <sheetName val="ปรับราคาประตูหน้าต่าง__2_2"/>
      <sheetName val="ราคาประตูหน้าต่าง_KYS_2"/>
      <sheetName val="ปรับราคาประตูหน้าต่าง__2__(2)2"/>
      <sheetName val="เปรียบเทียบราคา_D&amp;W_22"/>
      <sheetName val="เปรียบเทียบราคาประตูหน้าต่าง_12"/>
      <sheetName val="งวดงาน_(3)2"/>
      <sheetName val="สรุปราคา_(3)2"/>
      <sheetName val="เสนอราคา_(3)2"/>
      <sheetName val="งานระบบปรับอากาศ_2"/>
      <sheetName val="งานระบบปรับอากาศ_2_2"/>
      <sheetName val="ประมาณการประตูหน้าต่าง_2"/>
      <sheetName val="9_ยิ่งสุข2"/>
      <sheetName val="รปภ_12"/>
      <sheetName val="รปภ_22"/>
      <sheetName val="รปภ_32"/>
      <sheetName val="รปภ_3_(2)2"/>
      <sheetName val="รปภ_3_(3)2"/>
      <sheetName val="ราคา_KYS_เพิ่มเติม_2__2"/>
      <sheetName val="ประมาณการประต_หน_าต_าง_1"/>
      <sheetName val="SAN_REDUCED_11"/>
      <sheetName val="BOQ1_(2)1"/>
      <sheetName val="EST-FOOTING_(G)1"/>
      <sheetName val="QUANTITY_COMPARISON1"/>
      <sheetName val="Bill_No__2_-_Carpark1"/>
      <sheetName val="DETAIL_1"/>
      <sheetName val="Table_Name"/>
      <sheetName val="ข้อมูล"/>
      <sheetName val="สรุปราคางานสถาปัตยกรรม"/>
      <sheetName val="schedule "/>
      <sheetName val="2_ID_Guestroom"/>
      <sheetName val="Bill 5 - Carpark"/>
      <sheetName val="Dist Controls"/>
      <sheetName val="File Settings"/>
      <sheetName val="Forecast"/>
      <sheetName val="B-2"/>
      <sheetName val="산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Set>
  </externalBook>
</externalLink>
</file>

<file path=xl/externalLinks/externalLink312.xml><?xml version="1.0" encoding="utf-8"?>
<externalLink xmlns="http://schemas.openxmlformats.org/spreadsheetml/2006/main">
  <externalBook xmlns:r="http://schemas.openxmlformats.org/officeDocument/2006/relationships" r:id="rId1">
    <sheetNames>
      <sheetName val="SH-A"/>
      <sheetName val="SH-B"/>
      <sheetName val="SH-C"/>
      <sheetName val="SH-D"/>
      <sheetName val="SH-E"/>
      <sheetName val="SH-F"/>
      <sheetName val="SH-G"/>
      <sheetName val="SH_F"/>
      <sheetName val="ประมาณการประตูหน้าต่าง "/>
      <sheetName val="Store"/>
      <sheetName val="ประมาณการประตูหน้าต่าง_1"/>
      <sheetName val="ประมาณการประตูหน้าต่าง_"/>
      <sheetName val="e4"/>
      <sheetName val="รวมราคาทั้งสิ้น"/>
      <sheetName val="SH_A"/>
      <sheetName val="SH_G"/>
      <sheetName val="SH_B"/>
      <sheetName val="SH_C"/>
      <sheetName val="SH_D"/>
      <sheetName val="SH_E"/>
      <sheetName val="정부노임단가"/>
      <sheetName val="2000전체분"/>
      <sheetName val="2000년1차"/>
      <sheetName val="차액보증"/>
      <sheetName val="Equipment"/>
      <sheetName val="Book 1 Summary"/>
      <sheetName val="บทสรุปผู้บริหาร"/>
      <sheetName val="BOQ1 (2)"/>
      <sheetName val="EST-FOOTING (G)"/>
      <sheetName val="QUANTITY COMPARISON"/>
      <sheetName val="แบบเดิม"/>
      <sheetName val="Bill No. 2 - Carpark"/>
      <sheetName val="ประมาณการประตูหน้าต่าง_2"/>
      <sheetName val="Book_1_Summary"/>
      <sheetName val="PL"/>
      <sheetName val="Main Sum (Hotel &amp; Residences)"/>
      <sheetName val="ตารางวันหยุด"/>
      <sheetName val="Summary POL Equip"/>
      <sheetName val="Equipment Rental Price"/>
      <sheetName val="ราคาบ้านแต่ละไตรมาส"/>
      <sheetName val="งานระบบไฟฟ้าและสื่อสาร"/>
      <sheetName val="電気設備表"/>
      <sheetName val="Doc"/>
      <sheetName val="EXF"/>
      <sheetName val="BK Unit Rate"/>
      <sheetName val="detail"/>
      <sheetName val="Sheet1"/>
      <sheetName val="Quotation"/>
      <sheetName val="ราคาต่ำสุด-721"/>
      <sheetName val="S-5"/>
      <sheetName val="ค่าวัสดุ"/>
      <sheetName val="boq"/>
      <sheetName val="Sum_EMC"/>
      <sheetName val="ประม"/>
      <sheetName val="code"/>
      <sheetName val="ยานพาหนะ"/>
      <sheetName val="인원계획-미화"/>
      <sheetName val="AC"/>
      <sheetName val="Cavity Inputs"/>
      <sheetName val="Replacement Cost "/>
      <sheetName val="ประม??_x0001_?_x0001_ࠀЉ?쪊疒_xddef_?_xdd00_?Ͽ?ï?孔I"/>
      <sheetName val="ประมาณการประตูหน้าต่าง_3"/>
      <sheetName val="Book_1_Summary1"/>
      <sheetName val="BOQ1_(2)"/>
      <sheetName val="EST-FOOTING_(G)"/>
      <sheetName val="QUANTITY_COMPARISON"/>
      <sheetName val="Bill_No__2_-_Carpark"/>
      <sheetName val="Main_Sum_(Hotel_&amp;_Residences)"/>
      <sheetName val="Summary_POL_Equip"/>
      <sheetName val="Equipment_Rental_Price"/>
      <sheetName val="LpC"/>
      <sheetName val="BK_Unit_Rate"/>
      <sheetName val="ประมาณการประตูหน้าต่าง_4"/>
      <sheetName val="Book_1_Summary2"/>
      <sheetName val="BOQ1_(2)1"/>
      <sheetName val="EST-FOOTING_(G)1"/>
      <sheetName val="QUANTITY_COMPARISON1"/>
      <sheetName val="Bill_No__2_-_Carpark1"/>
      <sheetName val="Main_Sum_(Hotel_&amp;_Residences)1"/>
      <sheetName val="Summary_POL_Equip1"/>
      <sheetName val="Equipment_Rental_Price1"/>
      <sheetName val="BK_Unit_Rate1"/>
      <sheetName val="ประมาณการประตูหน้าต่าง_5"/>
      <sheetName val="SAN REDUCED 1"/>
      <sheetName val="FAB별"/>
      <sheetName val="ราคาอ้างอิง"/>
      <sheetName val="Present-ex"/>
      <sheetName val="ประม___x0001___x0001_ࠀЉ_쪊疒_xddef___xdd00__Ͽ_ï_孔I"/>
      <sheetName val="SITE OFFICE"/>
      <sheetName val="ประม___x0001___x0001_ࠀЉ_쪊疒�_�_Ͽ_ï_孔I"/>
      <sheetName val="ประมࠀЉ쪊疒Ͽï孔I"/>
      <sheetName val="Factor F Data"/>
      <sheetName val="สรุปราคา (EMC)"/>
      <sheetName val="DETAIL "/>
      <sheetName val="splinkler"/>
      <sheetName val="建築代価"/>
      <sheetName val="Cavity_Inputs"/>
      <sheetName val="เอกอุดร"/>
      <sheetName val="งานโครงสร้าง"/>
      <sheetName val="Replacement_Cost_"/>
      <sheetName val="Customize Your Purchase Order"/>
      <sheetName val="ประม??_x0001_?_x0001_ࠀЉ?쪊疒�?�?Ͽ?ï?孔I"/>
      <sheetName val="A"/>
      <sheetName val="schedule "/>
      <sheetName val="Exp"/>
      <sheetName val="Cavity_Inputs1"/>
      <sheetName val="ประม___x0001___x0001_ࠀЉ_쪊疒_xdde"/>
      <sheetName val="ประม___x0001___x0001_ࠀЉ_쪊疒�_�_Ͽ"/>
      <sheetName val="name"/>
      <sheetName val="Book_1_Summary3"/>
      <sheetName val="BOQ1_(2)2"/>
      <sheetName val="EST-FOOTING_(G)2"/>
      <sheetName val="QUANTITY_COMPARISON2"/>
      <sheetName val="Bill_No__2_-_Carpark2"/>
      <sheetName val="Main_Sum_(Hotel_&amp;_Residences)2"/>
      <sheetName val="Summary_POL_Equip2"/>
      <sheetName val="Equipment_Rental_Price2"/>
      <sheetName val="BK_Unit_Rate2"/>
      <sheetName val="ht"/>
      <sheetName val=" Cover 090EPY"/>
      <sheetName val="EPY Jan 60"/>
      <sheetName val="A-Sum"/>
      <sheetName val="D-สรุป Plaza"/>
      <sheetName val="E-Share Parking"/>
      <sheetName val="F-Landscape"/>
      <sheetName val="I-Soft Cost"/>
      <sheetName val="I-Detail Soft"/>
      <sheetName val="H-Share M&amp;E"/>
      <sheetName val="s-curve"/>
      <sheetName val="Cover"/>
      <sheetName val="ตารางส่วนลด EE."/>
      <sheetName val="โครงสร้าง"/>
      <sheetName val="RateAnalysis"/>
      <sheetName val="Final Summary - Base"/>
      <sheetName val="21"/>
      <sheetName val="สรุปราคาค่าก่อสร้าง_EMC"/>
      <sheetName val="covert (2)"/>
      <sheetName val="งานบริหารโครงสร้างและดำเนินการ"/>
      <sheetName val="SUM-AIR-Submit"/>
      <sheetName val="สรุป"/>
      <sheetName val="ประม??_x0001_?_x0001_ࠀЉ?쪊疒????Ͽ?ï?孔I"/>
      <sheetName val="ประม___x0001___x0001_ࠀЉ_쪊疒?_?_Ͽ_ï_孔I"/>
      <sheetName val="mapping"/>
      <sheetName val="vendor list"/>
      <sheetName val="SCHEDULE_6"/>
      <sheetName val="SCHEDULE_4"/>
      <sheetName val="ประม_x005f_x0000__x005f_x0000__x005f_x0001__x0000"/>
      <sheetName val="ประม??_x005f_x0001_?_x005f_x0001_ࠀЉ?쪊疒_xdde"/>
      <sheetName val="ประม___x005f_x0001___x005f_x0001_ࠀЉ_쪊疒_xdde"/>
      <sheetName val="ประม___x005f_x0001___x005f_x0001_ࠀЉ_쪊疒�_�_Ͽ"/>
      <sheetName val="calc_menu_déroulant"/>
      <sheetName val="P7 "/>
      <sheetName val="STMspry"/>
      <sheetName val="PsychroData"/>
      <sheetName val="วัดใต้"/>
      <sheetName val="rate"/>
      <sheetName val="ประม???ࠀЉ?쪊疒??Ͽ?ï?孔I"/>
      <sheetName val="Form"/>
      <sheetName val="Structure"/>
      <sheetName val="ประมาณการประตูหน้าต่าง_6"/>
      <sheetName val="ประมาณการประตูหน้าต่าง_7"/>
      <sheetName val="Replacement_Cost_1"/>
      <sheetName val="หน้า ปมก"/>
      <sheetName val="SAN_REDUCED_1"/>
      <sheetName val="ประม___ࠀЉ_쪊疒__Ͽ_ï_孔I"/>
      <sheetName val="SITE_OFFICE"/>
      <sheetName val="Factor_F_Data"/>
      <sheetName val="สรุปราคา_(EMC)"/>
      <sheetName val="DETAIL_"/>
      <sheetName val="BOQ1_(2)3"/>
      <sheetName val="Book_1_Summary4"/>
      <sheetName val="EST-FOOTING_(G)3"/>
      <sheetName val="QUANTITY_COMPARISON3"/>
      <sheetName val="Bill_No__2_-_Carpark3"/>
      <sheetName val="Main_Sum_(Hotel_&amp;_Residences)3"/>
      <sheetName val="Summary_POL_Equip3"/>
      <sheetName val="Equipment_Rental_Price3"/>
      <sheetName val="BK_Unit_Rate3"/>
      <sheetName val="Cavity_Inputs2"/>
      <sheetName val="SAN_REDUCED_11"/>
      <sheetName val="SITE_OFFICE1"/>
      <sheetName val="Factor_F_Data1"/>
      <sheetName val="สรุปราคา_(EMC)1"/>
      <sheetName val="DETAIL_1"/>
      <sheetName val="FSA"/>
      <sheetName val="QS-Payment"/>
      <sheetName val="Revised-ProformaSoi11"/>
      <sheetName val="Revised_ProformaSoi16"/>
      <sheetName val="Revised-ProformaSoi24"/>
      <sheetName val="Revised_ProformaSoi8"/>
      <sheetName val="Revised-ProformaSoi18"/>
      <sheetName val="DataSoi18"/>
      <sheetName val="dataSoi11"/>
      <sheetName val="dataSoi16"/>
      <sheetName val="dataSoi24"/>
      <sheetName val="dataSoi24P"/>
      <sheetName val="dataSoi8"/>
      <sheetName val="Revised-ProformaSoi24P"/>
      <sheetName val="SumP&amp;L current Sites"/>
      <sheetName val="外気負荷"/>
      <sheetName val="เตรียมการและบริหารโครงการ"/>
      <sheetName val="เงินกู้ธนชาติ"/>
      <sheetName val="เงินกู้ MGC"/>
      <sheetName val="สุขาภิบาล"/>
      <sheetName val="สรุป_EMC"/>
      <sheetName val="S3 Architectural"/>
      <sheetName val="ภูมิทัศน์"/>
      <sheetName val="Cert-Rev1"/>
      <sheetName val="mat"/>
      <sheetName val="Unit rate Architecture"/>
      <sheetName val="ประม??_x005f_x0001_?_x005f_x0001_ࠀЉ?쪊疒�?�?Ͽ"/>
      <sheetName val="l-fixer"/>
      <sheetName val="Customize_Your_Purchase_Order"/>
      <sheetName val="schedule_"/>
      <sheetName val="_Cover_090EPY"/>
      <sheetName val="EPY_Jan_60"/>
      <sheetName val="D-สรุป_Plaza"/>
      <sheetName val="E-Share_Parking"/>
      <sheetName val="I-Soft_Cost"/>
      <sheetName val="I-Detail_Soft"/>
      <sheetName val="H-Share_M&amp;E"/>
      <sheetName val="ประม??_x0001__x0000"/>
      <sheetName val="2.1.1Take pipe"/>
      <sheetName val="2.1.2Take Copper Pipe"/>
      <sheetName val="List"/>
      <sheetName val="KKC_Brkdwn"/>
      <sheetName val="purchase order"/>
      <sheetName val="ส่วนลดระบบไฟฟ้า"/>
      <sheetName val="schedule_1"/>
      <sheetName val="SCHEDULE_3"/>
      <sheetName val="SCHEDULE_2"/>
      <sheetName val="cov-estimate"/>
      <sheetName val="ประมาณการประตูหน้าต่าง_8"/>
      <sheetName val="Book_1_Summary5"/>
      <sheetName val="BOQ1_(2)4"/>
      <sheetName val="EST-FOOTING_(G)4"/>
      <sheetName val="QUANTITY_COMPARISON4"/>
      <sheetName val="Bill_No__2_-_Carpark4"/>
      <sheetName val="Main_Sum_(Hotel_&amp;_Residences)4"/>
      <sheetName val="Summary_POL_Equip4"/>
      <sheetName val="Equipment_Rental_Price4"/>
      <sheetName val="BK_Unit_Rate4"/>
      <sheetName val="Replacement_Cost_2"/>
      <sheetName val="Cavity_Inputs3"/>
      <sheetName val="SAN_REDUCED_12"/>
      <sheetName val="SITE_OFFICE2"/>
      <sheetName val="Factor_F_Data2"/>
      <sheetName val="สรุปราคา_(EMC)2"/>
      <sheetName val="DETAIL_2"/>
      <sheetName val="Customize_Your_Purchase_Order1"/>
      <sheetName val="_Cover_090EPY1"/>
      <sheetName val="EPY_Jan_601"/>
      <sheetName val="D-สรุป_Plaza1"/>
      <sheetName val="E-Share_Parking1"/>
      <sheetName val="I-Soft_Cost1"/>
      <sheetName val="I-Detail_Soft1"/>
      <sheetName val="H-Share_M&amp;E1"/>
      <sheetName val="Bank Covenants"/>
      <sheetName val="Rates"/>
      <sheetName val="Data"/>
      <sheetName val="footing"/>
      <sheetName val="summary1-3"/>
      <sheetName val="stair"/>
      <sheetName val="Manpower"/>
      <sheetName val="H1.0"/>
      <sheetName val="ประม??_x005f_x0001_?_x005f_x0001_ࠀЉ?쪊疒????Ͽ"/>
      <sheetName val="ประม___x005f_x0001___x005f_x0001_ࠀЉ_쪊疒?_?_Ͽ"/>
      <sheetName val="ประม_x005f_x005f_x005f_x0000__x005f_x005f_x005f_x0000__"/>
      <sheetName val="ประม??_x005f_x005f_x005f_x0001_?_x005f_x005f_x000"/>
      <sheetName val="ประม___x005f_x005f_x005f_x0001___x005f_x005f_x000"/>
      <sheetName val="ประม___x0001___x0001_ࠀЉ_쪊疒____Ͽ_ï_孔I"/>
      <sheetName val="TrialBalance Q3-2002"/>
      <sheetName val="แบบ A"/>
      <sheetName val="แบบ B"/>
      <sheetName val="แบบ C"/>
      <sheetName val="แบบ D"/>
      <sheetName val="แบบ E"/>
      <sheetName val="แบบ G"/>
      <sheetName val="แบบ H"/>
      <sheetName val="แบบ L"/>
      <sheetName val="แบบ M"/>
      <sheetName val="แบบ N"/>
      <sheetName val="แบบ P"/>
      <sheetName val="แบบ S"/>
      <sheetName val="แบบ T"/>
      <sheetName val="แบบ TP"/>
      <sheetName val="แบบ V"/>
      <sheetName val="แบบ Y"/>
      <sheetName val="PRICE LIST"/>
      <sheetName val="Référentiel"/>
      <sheetName val="bp bill"/>
      <sheetName val="Pricing"/>
      <sheetName val="nsc"/>
      <sheetName val="liste"/>
      <sheetName val="project status overview"/>
      <sheetName val="full pot"/>
      <sheetName val="cover page"/>
      <sheetName val="beam-reinft"/>
      <sheetName val="Scurve"/>
      <sheetName val="Material"/>
      <sheetName val="Hauling"/>
      <sheetName val="Reason of Difference"/>
      <sheetName val="Summary(1)"/>
      <sheetName val="Summary(2)"/>
      <sheetName val="Dwg list "/>
      <sheetName val="2.1Piling"/>
      <sheetName val="3.1 ST(basement)"/>
      <sheetName val="3.2Sky Villa"/>
      <sheetName val="3.2IL Condo1"/>
      <sheetName val="3.2IL Condo2"/>
      <sheetName val="3.2IL Condo3"/>
      <sheetName val="3.2HiCare"/>
      <sheetName val="3.2Clubhouse"/>
      <sheetName val="Footings- Working"/>
      <sheetName val="3.3basement(AR)"/>
      <sheetName val="3.3basement(ID)"/>
      <sheetName val="3.3SkyVilla(SUM AR,ID)"/>
      <sheetName val="3.3SkyVilla(AR)"/>
      <sheetName val="3.3SkyVilla(SUM ID)"/>
      <sheetName val="3.3SkyVilla (ID)"/>
      <sheetName val="3.3ILCondo (SUM AR,ID)"/>
      <sheetName val="3.3ILCondo(AR)"/>
      <sheetName val="3.3ILCondo ( SUM ID)"/>
      <sheetName val="3.3IL (ID Public)"/>
      <sheetName val="3.3ILCondo (ID Guest Room)"/>
      <sheetName val="3.3HiCare (AR)"/>
      <sheetName val="3.3HiCare (ID)"/>
      <sheetName val="3.3Clubhouse(AR)"/>
      <sheetName val="3.3Clubhouse(ID)"/>
      <sheetName val="3.4SkyVilla(Facade)"/>
      <sheetName val="3.4ILCondo(Facade)"/>
      <sheetName val="3.4HiCare(Facade)"/>
      <sheetName val="3.4Clubhouse(Facade)"/>
      <sheetName val="3.5 Ext"/>
      <sheetName val="3.6 Pro Sum"/>
      <sheetName val="Exclusion"/>
      <sheetName val="ILCondoFacade - Working"/>
      <sheetName val="ใบปะหน้า"/>
      <sheetName val="งานก่อสร้าง"/>
      <sheetName val="งานไฟฟ้า"/>
      <sheetName val="งานปรับอากาศ"/>
      <sheetName val="งานสุขาภิบาล"/>
      <sheetName val="ค่าขนส่ง"/>
      <sheetName val="corring"/>
      <sheetName val="แว่น"/>
      <sheetName val="แสงใหม"/>
      <sheetName val="XLR_NoRangeSheet"/>
      <sheetName val="Cert"/>
      <sheetName val="Staff Sch"/>
      <sheetName val="UG Consl"/>
      <sheetName val="UKG All"/>
      <sheetName val="sheetNO"/>
      <sheetName val="bal"/>
      <sheetName val="F2002-79"/>
      <sheetName val="UKG  Consl"/>
      <sheetName val="UKG (KG)"/>
      <sheetName val="110"/>
      <sheetName val="ประม_x005f_x0000__x005f_x0000__"/>
      <sheetName val="ประม??_x005f_x0001_?_x005f_x005f_x000"/>
      <sheetName val="ประม___x005f_x0001___x005f_x005f_x000"/>
      <sheetName val="data3"/>
      <sheetName val="Auto Monthly Inputs "/>
      <sheetName val="ประมาณการประตูหน้าต่าง_9"/>
      <sheetName val="Book_1_Summary6"/>
      <sheetName val="BOQ1_(2)5"/>
      <sheetName val="EST-FOOTING_(G)5"/>
      <sheetName val="QUANTITY_COMPARISON5"/>
      <sheetName val="Bill_No__2_-_Carpark5"/>
      <sheetName val="Main_Sum_(Hotel_&amp;_Residences)5"/>
      <sheetName val="Summary_POL_Equip5"/>
      <sheetName val="Equipment_Rental_Price5"/>
      <sheetName val="BK_Unit_Rate5"/>
      <sheetName val="Replacement_Cost_3"/>
      <sheetName val="Cavity_Inputs4"/>
      <sheetName val="SAN_REDUCED_13"/>
      <sheetName val="SITE_OFFICE3"/>
      <sheetName val="Factor_F_Data3"/>
      <sheetName val="สรุปราคา_(EMC)3"/>
      <sheetName val="DETAIL_3"/>
      <sheetName val="Customize_Your_Purchase_Order2"/>
      <sheetName val="_Cover_090EPY2"/>
      <sheetName val="EPY_Jan_602"/>
      <sheetName val="D-สรุป_Plaza2"/>
      <sheetName val="E-Share_Parking2"/>
      <sheetName val="I-Soft_Cost2"/>
      <sheetName val="I-Detail_Soft2"/>
      <sheetName val="H-Share_M&amp;E2"/>
      <sheetName val="ตารางส่วนลด_EE_"/>
      <sheetName val="ประม_x0000"/>
      <sheetName val="ประม___ࠀЉ_쪊疒_xdde"/>
      <sheetName val="ประม___ࠀЉ_쪊疒�_�_Ͽ"/>
      <sheetName val="vendor_list"/>
      <sheetName val="covert_(2)"/>
      <sheetName val="Final_Summary_-_Base"/>
      <sheetName val="ประม???ࠀЉ?쪊疒????Ͽ?ï?孔I"/>
      <sheetName val="ประม___ࠀЉ_쪊疒?_?_Ͽ_ï_孔I"/>
      <sheetName val="P7_"/>
      <sheetName val="หน้า_ปมก"/>
      <sheetName val="SumP&amp;L_current_Sites"/>
      <sheetName val="เงินกู้_MGC"/>
      <sheetName val="2_1_1Take_pipe"/>
      <sheetName val="2_1_2Take_Copper_Pipe"/>
      <sheetName val="purchase_order"/>
      <sheetName val="H1_0"/>
      <sheetName val="S3_Architectural"/>
      <sheetName val="Unit_rate_Architecture"/>
      <sheetName val="ประม??_x0000"/>
      <sheetName val="ประมาณการประตูหน้าต่าง_10"/>
      <sheetName val="Book_1_Summary7"/>
      <sheetName val="BOQ1_(2)6"/>
      <sheetName val="EST-FOOTING_(G)6"/>
      <sheetName val="QUANTITY_COMPARISON6"/>
      <sheetName val="Bill_No__2_-_Carpark6"/>
      <sheetName val="Main_Sum_(Hotel_&amp;_Residences)6"/>
      <sheetName val="Summary_POL_Equip6"/>
      <sheetName val="Equipment_Rental_Price6"/>
      <sheetName val="BK_Unit_Rate6"/>
      <sheetName val="Cavity_Inputs5"/>
      <sheetName val="Replacement_Cost_4"/>
      <sheetName val="SAN_REDUCED_14"/>
      <sheetName val="SITE_OFFICE4"/>
      <sheetName val="Factor_F_Data4"/>
      <sheetName val="สรุปราคา_(EMC)4"/>
      <sheetName val="DETAIL_4"/>
      <sheetName val="Customize_Your_Purchase_Order3"/>
      <sheetName val="_Cover_090EPY3"/>
      <sheetName val="EPY_Jan_603"/>
      <sheetName val="D-สรุป_Plaza3"/>
      <sheetName val="E-Share_Parking3"/>
      <sheetName val="I-Soft_Cost3"/>
      <sheetName val="I-Detail_Soft3"/>
      <sheetName val="H-Share_M&amp;E3"/>
      <sheetName val="Final_Summary_-_Base1"/>
      <sheetName val="ตารางส่วนลด_EE_1"/>
      <sheetName val="covert_(2)1"/>
      <sheetName val="vendor_list1"/>
      <sheetName val="P7_1"/>
      <sheetName val="หน้า_ปมก1"/>
      <sheetName val="SumP&amp;L_current_Sites1"/>
      <sheetName val="เงินกู้_MGC1"/>
      <sheetName val="2_1_1Take_pipe1"/>
      <sheetName val="2_1_2Take_Copper_Pipe1"/>
      <sheetName val="ประม___ࠀЉ_쪊疒____Ͽ_ï_孔I"/>
      <sheetName val="H1_01"/>
      <sheetName val="S3_Architectural1"/>
      <sheetName val="Unit_rate_Architecture1"/>
      <sheetName val="purchase_order1"/>
      <sheetName val="?????????????????????? "/>
      <sheetName val="วิเคราะห์ (2)"/>
      <sheetName val="2"/>
      <sheetName val="ค่าดำเนินการ+ค่าเสื่อมราคา"/>
      <sheetName val="สรุปค่าขนส่ง"/>
      <sheetName val="D.MAKAN"/>
      <sheetName val="corbeldatail"/>
      <sheetName val="ตารางส่วนลด_EE_2"/>
      <sheetName val="Final_Summary_-_Base2"/>
      <sheetName val="covert_(2)2"/>
      <sheetName val="vendor_list2"/>
      <sheetName val="P7_2"/>
      <sheetName val="หน้า_ปมก2"/>
      <sheetName val="เงินกู้_MGC2"/>
      <sheetName val="SumP&amp;L_current_Sites2"/>
      <sheetName val="코드관리"/>
      <sheetName val="Boq(1)"/>
      <sheetName val="BU Item  1.1 to 1.2"/>
      <sheetName val="ประมาณการประตูหน้าต่าง_11"/>
      <sheetName val="Book_1_Summary8"/>
      <sheetName val="BOQ1_(2)7"/>
      <sheetName val="EST-FOOTING_(G)7"/>
      <sheetName val="QUANTITY_COMPARISON7"/>
      <sheetName val="Bill_No__2_-_Carpark7"/>
      <sheetName val="Main_Sum_(Hotel_&amp;_Residences)7"/>
      <sheetName val="Summary_POL_Equip7"/>
      <sheetName val="Equipment_Rental_Price7"/>
      <sheetName val="BK_Unit_Rate7"/>
      <sheetName val="Replacement_Cost_5"/>
      <sheetName val="Cavity_Inputs6"/>
      <sheetName val="SAN_REDUCED_15"/>
      <sheetName val="SITE_OFFICE5"/>
      <sheetName val="Factor_F_Data5"/>
      <sheetName val="สรุปราคา_(EMC)5"/>
      <sheetName val="DETAIL_5"/>
      <sheetName val="Customize_Your_Purchase_Order4"/>
      <sheetName val="_Cover_090EPY4"/>
      <sheetName val="EPY_Jan_604"/>
      <sheetName val="D-สรุป_Plaza4"/>
      <sheetName val="E-Share_Parking4"/>
      <sheetName val="I-Soft_Cost4"/>
      <sheetName val="I-Detail_Soft4"/>
      <sheetName val="H-Share_M&amp;E4"/>
      <sheetName val="Unit_rate_Architecture2"/>
      <sheetName val="2_1_1Take_pipe2"/>
      <sheetName val="2_1_2Take_Copper_Pipe2"/>
      <sheetName val="purchase_order2"/>
      <sheetName val="S3_Architectural2"/>
      <sheetName val="Bank_Covenants"/>
      <sheetName val="H1_02"/>
      <sheetName val="Reason_of_Difference"/>
      <sheetName val="Dwg_list_"/>
      <sheetName val="2_1Piling"/>
      <sheetName val="3_1_ST(basement)"/>
      <sheetName val="3_2Sky_Villa"/>
      <sheetName val="3_2IL_Condo1"/>
      <sheetName val="3_2IL_Condo2"/>
      <sheetName val="3_2IL_Condo3"/>
      <sheetName val="3_2HiCare"/>
      <sheetName val="3_2Clubhouse"/>
      <sheetName val="Footings-_Working"/>
      <sheetName val="3_3basement(AR)"/>
      <sheetName val="3_3basement(ID)"/>
      <sheetName val="3_3SkyVilla(SUM_AR,ID)"/>
      <sheetName val="3_3SkyVilla(AR)"/>
      <sheetName val="3_3SkyVilla(SUM_ID)"/>
      <sheetName val="3_3SkyVilla_(ID)"/>
      <sheetName val="3_3ILCondo_(SUM_AR,ID)"/>
      <sheetName val="3_3ILCondo(AR)"/>
      <sheetName val="3_3ILCondo_(_SUM_ID)"/>
      <sheetName val="3_3IL_(ID_Public)"/>
      <sheetName val="3_3ILCondo_(ID_Guest_Room)"/>
      <sheetName val="3_3HiCare_(AR)"/>
      <sheetName val="3_3HiCare_(ID)"/>
      <sheetName val="3_3Clubhouse(AR)"/>
      <sheetName val="3_3Clubhouse(ID)"/>
      <sheetName val="3_4SkyVilla(Facade)"/>
      <sheetName val="3_4ILCondo(Facade)"/>
      <sheetName val="3_4HiCare(Facade)"/>
      <sheetName val="3_4Clubhouse(Facade)"/>
      <sheetName val="3_5_Ext"/>
      <sheetName val="3_6_Pro_Sum"/>
      <sheetName val="ILCondoFacade_-_Working"/>
      <sheetName val="Staff_Sch"/>
      <sheetName val="UG_Consl"/>
      <sheetName val="UKG_All"/>
      <sheetName val="แบบ_A"/>
      <sheetName val="แบบ_B"/>
      <sheetName val="แบบ_C"/>
      <sheetName val="แบบ_D"/>
      <sheetName val="แบบ_E"/>
      <sheetName val="แบบ_G"/>
      <sheetName val="แบบ_H"/>
      <sheetName val="แบบ_L"/>
      <sheetName val="แบบ_M"/>
      <sheetName val="แบบ_N"/>
      <sheetName val="แบบ_P"/>
      <sheetName val="แบบ_S"/>
      <sheetName val="แบบ_T"/>
      <sheetName val="แบบ_TP"/>
      <sheetName val="แบบ_V"/>
      <sheetName val="แบบ_Y"/>
      <sheetName val="PRICE_LIST"/>
      <sheetName val="TrialBalance_Q3-2002"/>
      <sheetName val="bp_bill"/>
      <sheetName val="project_status_overview"/>
      <sheetName val="full_pot"/>
      <sheetName val="cover_page"/>
      <sheetName val="UKG__Consl"/>
      <sheetName val="UKG_(KG)"/>
      <sheetName val="Auto_Monthly_Inputs_"/>
      <sheetName val="ประมาณการประตูหน้าต่าง_12"/>
      <sheetName val="Book_1_Summary9"/>
      <sheetName val="BOQ1_(2)8"/>
      <sheetName val="EST-FOOTING_(G)8"/>
      <sheetName val="QUANTITY_COMPARISON8"/>
      <sheetName val="Bill_No__2_-_Carpark8"/>
      <sheetName val="Main_Sum_(Hotel_&amp;_Residences)8"/>
      <sheetName val="Summary_POL_Equip8"/>
      <sheetName val="Equipment_Rental_Price8"/>
      <sheetName val="BK_Unit_Rate8"/>
      <sheetName val="Replacement_Cost_6"/>
      <sheetName val="Cavity_Inputs7"/>
      <sheetName val="SAN_REDUCED_16"/>
      <sheetName val="SITE_OFFICE6"/>
      <sheetName val="Factor_F_Data6"/>
      <sheetName val="สรุปราคา_(EMC)6"/>
      <sheetName val="DETAIL_6"/>
      <sheetName val="Customize_Your_Purchase_Order5"/>
      <sheetName val="_Cover_090EPY5"/>
      <sheetName val="EPY_Jan_605"/>
      <sheetName val="D-สรุป_Plaza5"/>
      <sheetName val="E-Share_Parking5"/>
      <sheetName val="I-Soft_Cost5"/>
      <sheetName val="I-Detail_Soft5"/>
      <sheetName val="H-Share_M&amp;E5"/>
      <sheetName val="Final_Summary_-_Base3"/>
      <sheetName val="ตารางส่วนลด_EE_3"/>
      <sheetName val="covert_(2)3"/>
      <sheetName val="SumP&amp;L_current_Sites3"/>
      <sheetName val="vendor_list3"/>
      <sheetName val="P7_3"/>
      <sheetName val="หน้า_ปมก3"/>
      <sheetName val="Unit_rate_Architecture3"/>
      <sheetName val="เงินกู้_MGC3"/>
      <sheetName val="2_1_1Take_pipe3"/>
      <sheetName val="2_1_2Take_Copper_Pipe3"/>
      <sheetName val="purchase_order3"/>
      <sheetName val="S3_Architectural3"/>
      <sheetName val="Bank_Covenants1"/>
      <sheetName val="H1_03"/>
      <sheetName val="Reason_of_Difference1"/>
      <sheetName val="Dwg_list_1"/>
      <sheetName val="2_1Piling1"/>
      <sheetName val="3_1_ST(basement)1"/>
      <sheetName val="3_2Sky_Villa1"/>
      <sheetName val="3_2IL_Condo11"/>
      <sheetName val="3_2IL_Condo21"/>
      <sheetName val="3_2IL_Condo31"/>
      <sheetName val="3_2HiCare1"/>
      <sheetName val="3_2Clubhouse1"/>
      <sheetName val="Footings-_Working1"/>
      <sheetName val="3_3basement(AR)1"/>
      <sheetName val="3_3basement(ID)1"/>
      <sheetName val="3_3SkyVilla(SUM_AR,ID)1"/>
      <sheetName val="3_3SkyVilla(AR)1"/>
      <sheetName val="3_3SkyVilla(SUM_ID)1"/>
      <sheetName val="3_3SkyVilla_(ID)1"/>
      <sheetName val="3_3ILCondo_(SUM_AR,ID)1"/>
      <sheetName val="3_3ILCondo(AR)1"/>
      <sheetName val="3_3ILCondo_(_SUM_ID)1"/>
      <sheetName val="3_3IL_(ID_Public)1"/>
      <sheetName val="3_3ILCondo_(ID_Guest_Room)1"/>
      <sheetName val="3_3HiCare_(AR)1"/>
      <sheetName val="3_3HiCare_(ID)1"/>
      <sheetName val="3_3Clubhouse(AR)1"/>
      <sheetName val="3_3Clubhouse(ID)1"/>
      <sheetName val="3_4SkyVilla(Facade)1"/>
      <sheetName val="3_4ILCondo(Facade)1"/>
      <sheetName val="3_4HiCare(Facade)1"/>
      <sheetName val="3_4Clubhouse(Facade)1"/>
      <sheetName val="3_5_Ext1"/>
      <sheetName val="3_6_Pro_Sum1"/>
      <sheetName val="ILCondoFacade_-_Working1"/>
      <sheetName val="Staff_Sch1"/>
      <sheetName val="UG_Consl1"/>
      <sheetName val="UKG_All1"/>
      <sheetName val="แบบ_A1"/>
      <sheetName val="แบบ_B1"/>
      <sheetName val="แบบ_C1"/>
      <sheetName val="แบบ_D1"/>
      <sheetName val="แบบ_E1"/>
      <sheetName val="แบบ_G1"/>
      <sheetName val="แบบ_H1"/>
      <sheetName val="แบบ_L1"/>
      <sheetName val="แบบ_M1"/>
      <sheetName val="แบบ_N1"/>
      <sheetName val="แบบ_P1"/>
      <sheetName val="แบบ_S1"/>
      <sheetName val="แบบ_T1"/>
      <sheetName val="แบบ_TP1"/>
      <sheetName val="แบบ_V1"/>
      <sheetName val="แบบ_Y1"/>
      <sheetName val="PRICE_LIST1"/>
      <sheetName val="TrialBalance_Q3-20021"/>
      <sheetName val="bp_bill1"/>
      <sheetName val="project_status_overview1"/>
      <sheetName val="full_pot1"/>
      <sheetName val="cover_page1"/>
      <sheetName val="UKG__Consl1"/>
      <sheetName val="UKG_(KG)1"/>
      <sheetName val="Auto_Monthly_Inputs_1"/>
      <sheetName val="ประมาณการประตูหน้าต่าง_14"/>
      <sheetName val="Book_1_Summary11"/>
      <sheetName val="BOQ1_(2)10"/>
      <sheetName val="EST-FOOTING_(G)10"/>
      <sheetName val="QUANTITY_COMPARISON10"/>
      <sheetName val="Bill_No__2_-_Carpark10"/>
      <sheetName val="Main_Sum_(Hotel_&amp;_Residences)10"/>
      <sheetName val="Summary_POL_Equip10"/>
      <sheetName val="Equipment_Rental_Price10"/>
      <sheetName val="BK_Unit_Rate10"/>
      <sheetName val="Replacement_Cost_8"/>
      <sheetName val="Cavity_Inputs9"/>
      <sheetName val="SAN_REDUCED_18"/>
      <sheetName val="SITE_OFFICE8"/>
      <sheetName val="Factor_F_Data8"/>
      <sheetName val="สรุปราคา_(EMC)8"/>
      <sheetName val="DETAIL_8"/>
      <sheetName val="Customize_Your_Purchase_Order7"/>
      <sheetName val="_Cover_090EPY7"/>
      <sheetName val="EPY_Jan_607"/>
      <sheetName val="D-สรุป_Plaza7"/>
      <sheetName val="E-Share_Parking7"/>
      <sheetName val="I-Soft_Cost7"/>
      <sheetName val="I-Detail_Soft7"/>
      <sheetName val="H-Share_M&amp;E7"/>
      <sheetName val="Final_Summary_-_Base5"/>
      <sheetName val="ตารางส่วนลด_EE_5"/>
      <sheetName val="covert_(2)5"/>
      <sheetName val="SumP&amp;L_current_Sites5"/>
      <sheetName val="vendor_list5"/>
      <sheetName val="P7_5"/>
      <sheetName val="หน้า_ปมก5"/>
      <sheetName val="Unit_rate_Architecture5"/>
      <sheetName val="เงินกู้_MGC5"/>
      <sheetName val="2_1_1Take_pipe5"/>
      <sheetName val="2_1_2Take_Copper_Pipe5"/>
      <sheetName val="purchase_order5"/>
      <sheetName val="S3_Architectural5"/>
      <sheetName val="Bank_Covenants3"/>
      <sheetName val="H1_05"/>
      <sheetName val="Reason_of_Difference3"/>
      <sheetName val="Dwg_list_3"/>
      <sheetName val="2_1Piling3"/>
      <sheetName val="3_1_ST(basement)3"/>
      <sheetName val="3_2Sky_Villa3"/>
      <sheetName val="3_2IL_Condo13"/>
      <sheetName val="3_2IL_Condo23"/>
      <sheetName val="3_2IL_Condo33"/>
      <sheetName val="3_2HiCare3"/>
      <sheetName val="3_2Clubhouse3"/>
      <sheetName val="Footings-_Working3"/>
      <sheetName val="3_3basement(AR)3"/>
      <sheetName val="3_3basement(ID)3"/>
      <sheetName val="3_3SkyVilla(SUM_AR,ID)3"/>
      <sheetName val="3_3SkyVilla(AR)3"/>
      <sheetName val="3_3SkyVilla(SUM_ID)3"/>
      <sheetName val="3_3SkyVilla_(ID)3"/>
      <sheetName val="3_3ILCondo_(SUM_AR,ID)3"/>
      <sheetName val="3_3ILCondo(AR)3"/>
      <sheetName val="3_3ILCondo_(_SUM_ID)3"/>
      <sheetName val="3_3IL_(ID_Public)3"/>
      <sheetName val="3_3ILCondo_(ID_Guest_Room)3"/>
      <sheetName val="3_3HiCare_(AR)3"/>
      <sheetName val="3_3HiCare_(ID)3"/>
      <sheetName val="3_3Clubhouse(AR)3"/>
      <sheetName val="3_3Clubhouse(ID)3"/>
      <sheetName val="3_4SkyVilla(Facade)3"/>
      <sheetName val="3_4ILCondo(Facade)3"/>
      <sheetName val="3_4HiCare(Facade)3"/>
      <sheetName val="3_4Clubhouse(Facade)3"/>
      <sheetName val="3_5_Ext3"/>
      <sheetName val="3_6_Pro_Sum3"/>
      <sheetName val="ILCondoFacade_-_Working3"/>
      <sheetName val="Staff_Sch3"/>
      <sheetName val="UG_Consl3"/>
      <sheetName val="UKG_All3"/>
      <sheetName val="แบบ_A3"/>
      <sheetName val="แบบ_B3"/>
      <sheetName val="แบบ_C3"/>
      <sheetName val="แบบ_D3"/>
      <sheetName val="แบบ_E3"/>
      <sheetName val="แบบ_G3"/>
      <sheetName val="แบบ_H3"/>
      <sheetName val="แบบ_L3"/>
      <sheetName val="แบบ_M3"/>
      <sheetName val="แบบ_N3"/>
      <sheetName val="แบบ_P3"/>
      <sheetName val="แบบ_S3"/>
      <sheetName val="แบบ_T3"/>
      <sheetName val="แบบ_TP3"/>
      <sheetName val="แบบ_V3"/>
      <sheetName val="แบบ_Y3"/>
      <sheetName val="PRICE_LIST3"/>
      <sheetName val="TrialBalance_Q3-20023"/>
      <sheetName val="bp_bill3"/>
      <sheetName val="project_status_overview3"/>
      <sheetName val="full_pot3"/>
      <sheetName val="cover_page3"/>
      <sheetName val="UKG__Consl3"/>
      <sheetName val="UKG_(KG)3"/>
      <sheetName val="Auto_Monthly_Inputs_3"/>
      <sheetName val="??????????????????????_1"/>
      <sheetName val="ประมาณการประตูหน้าต่าง_13"/>
      <sheetName val="Book_1_Summary10"/>
      <sheetName val="BOQ1_(2)9"/>
      <sheetName val="EST-FOOTING_(G)9"/>
      <sheetName val="QUANTITY_COMPARISON9"/>
      <sheetName val="Bill_No__2_-_Carpark9"/>
      <sheetName val="Main_Sum_(Hotel_&amp;_Residences)9"/>
      <sheetName val="Summary_POL_Equip9"/>
      <sheetName val="Equipment_Rental_Price9"/>
      <sheetName val="BK_Unit_Rate9"/>
      <sheetName val="Replacement_Cost_7"/>
      <sheetName val="Cavity_Inputs8"/>
      <sheetName val="SAN_REDUCED_17"/>
      <sheetName val="SITE_OFFICE7"/>
      <sheetName val="Factor_F_Data7"/>
      <sheetName val="สรุปราคา_(EMC)7"/>
      <sheetName val="DETAIL_7"/>
      <sheetName val="Customize_Your_Purchase_Order6"/>
      <sheetName val="_Cover_090EPY6"/>
      <sheetName val="EPY_Jan_606"/>
      <sheetName val="D-สรุป_Plaza6"/>
      <sheetName val="E-Share_Parking6"/>
      <sheetName val="I-Soft_Cost6"/>
      <sheetName val="I-Detail_Soft6"/>
      <sheetName val="H-Share_M&amp;E6"/>
      <sheetName val="Final_Summary_-_Base4"/>
      <sheetName val="ตารางส่วนลด_EE_4"/>
      <sheetName val="covert_(2)4"/>
      <sheetName val="SumP&amp;L_current_Sites4"/>
      <sheetName val="vendor_list4"/>
      <sheetName val="P7_4"/>
      <sheetName val="หน้า_ปมก4"/>
      <sheetName val="Unit_rate_Architecture4"/>
      <sheetName val="เงินกู้_MGC4"/>
      <sheetName val="2_1_1Take_pipe4"/>
      <sheetName val="2_1_2Take_Copper_Pipe4"/>
      <sheetName val="purchase_order4"/>
      <sheetName val="S3_Architectural4"/>
      <sheetName val="Bank_Covenants2"/>
      <sheetName val="H1_04"/>
      <sheetName val="Reason_of_Difference2"/>
      <sheetName val="Dwg_list_2"/>
      <sheetName val="2_1Piling2"/>
      <sheetName val="3_1_ST(basement)2"/>
      <sheetName val="3_2Sky_Villa2"/>
      <sheetName val="3_2IL_Condo12"/>
      <sheetName val="3_2IL_Condo22"/>
      <sheetName val="3_2IL_Condo32"/>
      <sheetName val="3_2HiCare2"/>
      <sheetName val="3_2Clubhouse2"/>
      <sheetName val="Footings-_Working2"/>
      <sheetName val="3_3basement(AR)2"/>
      <sheetName val="3_3basement(ID)2"/>
      <sheetName val="3_3SkyVilla(SUM_AR,ID)2"/>
      <sheetName val="3_3SkyVilla(AR)2"/>
      <sheetName val="3_3SkyVilla(SUM_ID)2"/>
      <sheetName val="3_3SkyVilla_(ID)2"/>
      <sheetName val="3_3ILCondo_(SUM_AR,ID)2"/>
      <sheetName val="3_3ILCondo(AR)2"/>
      <sheetName val="3_3ILCondo_(_SUM_ID)2"/>
      <sheetName val="3_3IL_(ID_Public)2"/>
      <sheetName val="3_3ILCondo_(ID_Guest_Room)2"/>
      <sheetName val="3_3HiCare_(AR)2"/>
      <sheetName val="3_3HiCare_(ID)2"/>
      <sheetName val="3_3Clubhouse(AR)2"/>
      <sheetName val="3_3Clubhouse(ID)2"/>
      <sheetName val="3_4SkyVilla(Facade)2"/>
      <sheetName val="3_4ILCondo(Facade)2"/>
      <sheetName val="3_4HiCare(Facade)2"/>
      <sheetName val="3_4Clubhouse(Facade)2"/>
      <sheetName val="3_5_Ext2"/>
      <sheetName val="3_6_Pro_Sum2"/>
      <sheetName val="ILCondoFacade_-_Working2"/>
      <sheetName val="Staff_Sch2"/>
      <sheetName val="UG_Consl2"/>
      <sheetName val="UKG_All2"/>
      <sheetName val="แบบ_A2"/>
      <sheetName val="แบบ_B2"/>
      <sheetName val="แบบ_C2"/>
      <sheetName val="แบบ_D2"/>
      <sheetName val="แบบ_E2"/>
      <sheetName val="แบบ_G2"/>
      <sheetName val="แบบ_H2"/>
      <sheetName val="แบบ_L2"/>
      <sheetName val="แบบ_M2"/>
      <sheetName val="แบบ_N2"/>
      <sheetName val="แบบ_P2"/>
      <sheetName val="แบบ_S2"/>
      <sheetName val="แบบ_T2"/>
      <sheetName val="แบบ_TP2"/>
      <sheetName val="แบบ_V2"/>
      <sheetName val="แบบ_Y2"/>
      <sheetName val="PRICE_LIST2"/>
      <sheetName val="TrialBalance_Q3-20022"/>
      <sheetName val="bp_bill2"/>
      <sheetName val="project_status_overview2"/>
      <sheetName val="full_pot2"/>
      <sheetName val="cover_page2"/>
      <sheetName val="UKG__Consl2"/>
      <sheetName val="UKG_(KG)2"/>
      <sheetName val="Auto_Monthly_Inputs_2"/>
      <sheetName val="??????????????????????_"/>
      <sheetName val="schedule 10_build management"/>
      <sheetName val="Factor F งาน DB."/>
      <sheetName val="factors"/>
      <sheetName val="Schedule"/>
      <sheetName val="Arch"/>
      <sheetName val="Sheet2"/>
      <sheetName val="Sheet3"/>
      <sheetName val="คอนกรีต SW"/>
      <sheetName val="Discounted Cash Flow"/>
      <sheetName val="Lookups"/>
      <sheetName val="data-Hilton"/>
      <sheetName val="Database"/>
      <sheetName val="Output"/>
      <sheetName val="ประม___x0001__x0000"/>
      <sheetName val="Header"/>
      <sheetName val="หน้า 1"/>
      <sheetName val="5.อุบัติเหตุประจำสัปดาห์"/>
      <sheetName val="exec summary"/>
      <sheetName val="sensitivities"/>
      <sheetName val="Invoice"/>
      <sheetName val="Profit_Budget"/>
      <sheetName val="Definition"/>
      <sheetName val="งานบริหารโครงการ"/>
      <sheetName val="Master"/>
      <sheetName val="labour_unit_rates"/>
      <sheetName val="summary_level-2"/>
      <sheetName val="Bill 5 - Carpark"/>
      <sheetName val="HyperionEnt"/>
      <sheetName val="Import Det"/>
      <sheetName val="G"/>
      <sheetName val="1.R18 BF"/>
      <sheetName val="F-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Set>
  </externalBook>
</externalLink>
</file>

<file path=xl/externalLinks/externalLink313.xml><?xml version="1.0" encoding="utf-8"?>
<externalLink xmlns="http://schemas.openxmlformats.org/spreadsheetml/2006/main">
  <externalBook xmlns:r="http://schemas.openxmlformats.org/officeDocument/2006/relationships" r:id="rId1">
    <sheetNames>
      <sheetName val="개요"/>
      <sheetName val="자재선정"/>
      <sheetName val="산출분류"/>
      <sheetName val="부속자재"/>
      <sheetName val="코드관리"/>
      <sheetName val="산출서"/>
      <sheetName val="노무비"/>
      <sheetName val="자재관리"/>
      <sheetName val="사용자재"/>
      <sheetName val="단가조사"/>
      <sheetName val="물량집계"/>
      <sheetName val="물량산출"/>
      <sheetName val="내역서표지"/>
      <sheetName val="원가계산서"/>
      <sheetName val="총집계표"/>
      <sheetName val="내역집계"/>
      <sheetName val="내역서"/>
      <sheetName val="공량산출서"/>
      <sheetName val="공량산출관리"/>
      <sheetName val="Cover"/>
      <sheetName val="BOQ"/>
      <sheetName val="공량집계"/>
      <sheetName val="수량집계"/>
      <sheetName val="cost"/>
      <sheetName val="wordsdata"/>
      <sheetName val="SH-F"/>
      <sheetName val="전기"/>
      <sheetName val="Backlog Consol"/>
      <sheetName val="Input"/>
      <sheetName val="概総括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14.xml><?xml version="1.0" encoding="utf-8"?>
<externalLink xmlns="http://schemas.openxmlformats.org/spreadsheetml/2006/main">
  <externalBook xmlns:r="http://schemas.openxmlformats.org/officeDocument/2006/relationships" r:id="rId1">
    <sheetNames>
      <sheetName val="개요"/>
      <sheetName val="자재선정"/>
      <sheetName val="산출분류"/>
      <sheetName val="부속자재"/>
      <sheetName val="코드관리"/>
      <sheetName val="산출서"/>
      <sheetName val="노무비"/>
      <sheetName val="자재관리"/>
      <sheetName val="사용자재"/>
      <sheetName val="단가조사"/>
      <sheetName val="물량집계"/>
      <sheetName val="물량산출"/>
      <sheetName val="내역서표지"/>
      <sheetName val="원가계산서"/>
      <sheetName val="총집계표"/>
      <sheetName val="내역집계"/>
      <sheetName val="내역서"/>
      <sheetName val="공량산출서"/>
      <sheetName val="공량산출관리"/>
      <sheetName val="Cover"/>
      <sheetName val="BOQ"/>
      <sheetName val="공량집계"/>
      <sheetName val="수량집계"/>
      <sheetName val="cost"/>
      <sheetName val="ประมาณการประตูหน้าต่าง "/>
      <sheetName val="전기"/>
      <sheetName val="SH-F"/>
      <sheetName val="SH-A"/>
      <sheetName val="A"/>
      <sheetName val="Sto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15.xml><?xml version="1.0" encoding="utf-8"?>
<externalLink xmlns="http://schemas.openxmlformats.org/spreadsheetml/2006/main">
  <externalBook xmlns:r="http://schemas.openxmlformats.org/officeDocument/2006/relationships" r:id="rId1">
    <sheetNames>
      <sheetName val="LAB"/>
      <sheetName val="BID"/>
      <sheetName val="단가비교표_공통1"/>
      <sheetName val="SLABREINF-SCH"/>
      <sheetName val="MOTOR"/>
      <sheetName val="2000년1차"/>
      <sheetName val="산출내역서"/>
      <sheetName val="재료"/>
      <sheetName val="UP"/>
      <sheetName val="공사수행방안"/>
      <sheetName val="WORKER"/>
      <sheetName val="직접비_Origin(315,430)"/>
      <sheetName val="Earth"/>
      <sheetName val="Dist Controls"/>
      <sheetName val="Input"/>
      <sheetName val="File Settings"/>
      <sheetName val="Forecast"/>
      <sheetName val="코드관리"/>
      <sheetName val="SH-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16.xml><?xml version="1.0" encoding="utf-8"?>
<externalLink xmlns="http://schemas.openxmlformats.org/spreadsheetml/2006/main">
  <externalBook xmlns:r="http://schemas.openxmlformats.org/officeDocument/2006/relationships" r:id="rId1">
    <sheetNames>
      <sheetName val="見積書 8月５日提出"/>
      <sheetName val="見積書 8月７日変更"/>
      <sheetName val="表紙"/>
      <sheetName val="表紙 (2)"/>
      <sheetName val="見積書 11月20日"/>
      <sheetName val="細目"/>
      <sheetName val="見積書 11月20日 連動"/>
      <sheetName val="ドル移行"/>
      <sheetName val="準備期間経費"/>
      <sheetName val="見積金額一覧表"/>
      <sheetName val="코드관리"/>
      <sheetName val="ACMV"/>
      <sheetName val="Petrol Store &amp; Dispen Annex A11"/>
      <sheetName val="Cable Schedule Al_Cu"/>
      <sheetName val="Consolidated"/>
      <sheetName val="Diesel Fill_Dispense Annex A10"/>
      <sheetName val="Lift Station"/>
      <sheetName val="เตรียมการและบริหารโครงการ"/>
      <sheetName val="SH-F"/>
      <sheetName val="BOM"/>
      <sheetName val="LAB"/>
      <sheetName val="ประมาณการประตูหน้าต่าง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17.xml><?xml version="1.0" encoding="utf-8"?>
<externalLink xmlns="http://schemas.openxmlformats.org/spreadsheetml/2006/main">
  <externalBook xmlns:r="http://schemas.openxmlformats.org/officeDocument/2006/relationships" r:id="rId1">
    <sheetNames>
      <sheetName val="summary"/>
      <sheetName val="break"/>
      <sheetName val="BOQ"/>
      <sheetName val="Sheet3"/>
      <sheetName val="Sheet2"/>
      <sheetName val="Sheet1"/>
      <sheetName val="Raw Data"/>
      <sheetName val="Raw_Data"/>
      <sheetName val="Raw_Data2"/>
      <sheetName val="Raw_Data1"/>
      <sheetName val="Raw_Data3"/>
      <sheetName val="Raw_Data4"/>
      <sheetName val="Raw_Data5"/>
      <sheetName val="Raw_Data6"/>
      <sheetName val="ancillary"/>
      <sheetName val="Electrical"/>
      <sheetName val="INDEX"/>
      <sheetName val="Total"/>
      <sheetName val="ICAM_Prices_Raw"/>
      <sheetName val="OLD PRICES"/>
      <sheetName val="Material Prices"/>
      <sheetName val="LS Price List"/>
      <sheetName val="Factors"/>
      <sheetName val="BK Unit Rate"/>
      <sheetName val="Schedules"/>
      <sheetName val="BOQ ACMV-MU"/>
      <sheetName val="Variables"/>
      <sheetName val="Competitors"/>
      <sheetName val="NonPerp"/>
      <sheetName val="Perp"/>
      <sheetName val="Testing"/>
      <sheetName val="may_data"/>
      <sheetName val="NOV fx rates"/>
      <sheetName val="estimate"/>
      <sheetName val="SLS CM"/>
      <sheetName val="NATION"/>
      <sheetName val="PROGRESSAPPLTNMBC"/>
      <sheetName val="LET_BAFO"/>
      <sheetName val="概総括1"/>
      <sheetName val="4"/>
      <sheetName val="3.Labour"/>
      <sheetName val="1.Material"/>
      <sheetName val="MMI"/>
      <sheetName val="2.Machinery"/>
      <sheetName val="Factor Sheet"/>
      <sheetName val="DEP"/>
      <sheetName val="GEN"/>
      <sheetName val="MTC"/>
      <sheetName val="TFR"/>
      <sheetName val="細目"/>
      <sheetName val="SH-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318.xml><?xml version="1.0" encoding="utf-8"?>
<externalLink xmlns="http://schemas.openxmlformats.org/spreadsheetml/2006/main">
  <externalBook xmlns:r="http://schemas.openxmlformats.org/officeDocument/2006/relationships" r:id="rId1">
    <sheetNames>
      <sheetName val="Ragama"/>
      <sheetName val="Tangalle hos"/>
      <sheetName val="Material Prices"/>
      <sheetName val="Sheet1"/>
      <sheetName val="Keels-6.2.2014"/>
      <sheetName val="FlowHmgma Grds-9.7.2013-details"/>
      <sheetName val="Lookup"/>
      <sheetName val="ancillary"/>
      <sheetName val="Bill 5 - Carpark"/>
      <sheetName val="Furniture"/>
      <sheetName val="jul_data"/>
      <sheetName val="Rate Sheet"/>
      <sheetName val="Electrical"/>
      <sheetName val="total components with Rates"/>
      <sheetName val="INPUT SHEET"/>
      <sheetName val="Zones"/>
      <sheetName val="MAIN"/>
      <sheetName val="Oracle Account Master"/>
      <sheetName val="Variables"/>
      <sheetName val="OLD PRICES"/>
      <sheetName val="A"/>
      <sheetName val="Product Groups"/>
      <sheetName val="sys_System"/>
      <sheetName val="概総括1"/>
      <sheetName val="Factor"/>
      <sheetName val="Rates"/>
      <sheetName val="MDB-25.8.2014"/>
      <sheetName val="코드관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19.xml><?xml version="1.0" encoding="utf-8"?>
<externalLink xmlns="http://schemas.openxmlformats.org/spreadsheetml/2006/main">
  <externalBook xmlns:r="http://schemas.openxmlformats.org/officeDocument/2006/relationships" r:id="rId1">
    <sheetNames>
      <sheetName val="Cover"/>
      <sheetName val="TERMS &amp; CONDITIONS"/>
      <sheetName val="Summary"/>
      <sheetName val="Knitting Building"/>
      <sheetName val="CALCULATION1"/>
      <sheetName val="CALCULATION2"/>
      <sheetName val="Sheet4"/>
      <sheetName val="Sheet2"/>
      <sheetName val="T.C"/>
      <sheetName val="概総括1"/>
      <sheetName val="코드관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20.xml><?xml version="1.0" encoding="utf-8"?>
<externalLink xmlns="http://schemas.openxmlformats.org/spreadsheetml/2006/main">
  <externalBook xmlns:r="http://schemas.openxmlformats.org/officeDocument/2006/relationships" r:id="rId1">
    <sheetNames>
      <sheetName val="Basic Prices"/>
      <sheetName val="Basic Rates"/>
      <sheetName val="Activity"/>
      <sheetName val="01"/>
      <sheetName val="02"/>
      <sheetName val="03"/>
      <sheetName val="04"/>
      <sheetName val="05"/>
      <sheetName val="06"/>
      <sheetName val="07"/>
      <sheetName val="08"/>
      <sheetName val="09"/>
      <sheetName val="10"/>
      <sheetName val="11"/>
      <sheetName val="12"/>
      <sheetName val="13"/>
      <sheetName val="14"/>
      <sheetName val="15"/>
      <sheetName val="16"/>
      <sheetName val="LA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S58"/>
  <sheetViews>
    <sheetView tabSelected="1" view="pageBreakPreview" zoomScaleNormal="110" topLeftCell="A16" workbookViewId="0">
      <selection activeCell="B18" sqref="B18"/>
    </sheetView>
  </sheetViews>
  <sheetFormatPr defaultColWidth="9" defaultRowHeight="13.8"/>
  <cols>
    <col min="1" max="1" width="7.86111111111111" style="173" customWidth="1"/>
    <col min="2" max="2" width="43.712962962963" style="173" customWidth="1"/>
    <col min="3" max="3" width="9" style="173"/>
    <col min="4" max="4" width="9.42592592592593" style="173" customWidth="1"/>
    <col min="5" max="5" width="12.5740740740741" style="174" customWidth="1"/>
    <col min="6" max="8" width="12.5740740740741" style="175" customWidth="1"/>
    <col min="9" max="9" width="15.287037037037" style="175" customWidth="1"/>
    <col min="10" max="10" width="20.287037037037" style="176" customWidth="1"/>
    <col min="11" max="11" width="13.4259259259259" style="177" customWidth="1"/>
    <col min="12" max="12" width="14.287037037037" style="177" customWidth="1"/>
    <col min="13" max="13" width="13.5740740740741" style="177" customWidth="1"/>
    <col min="14" max="14" width="11.5740740740741" style="177" customWidth="1"/>
    <col min="15" max="15" width="11.712962962963" style="177" customWidth="1"/>
    <col min="16" max="16" width="11.4259259259259" style="177" customWidth="1"/>
    <col min="17" max="17" width="13.712962962963" style="177" customWidth="1"/>
    <col min="18" max="18" width="13.4259259259259" style="177" customWidth="1"/>
    <col min="19" max="19" width="14.287037037037" style="177" customWidth="1"/>
    <col min="20" max="20" width="15.8611111111111" style="177" customWidth="1"/>
    <col min="21" max="16384" width="9" style="177"/>
  </cols>
  <sheetData>
    <row r="1" ht="24" customHeight="1" spans="1:12">
      <c r="A1" s="178" t="s">
        <v>0</v>
      </c>
      <c r="B1" s="179"/>
      <c r="C1" s="179"/>
      <c r="D1" s="179"/>
      <c r="E1" s="179"/>
      <c r="F1" s="179"/>
      <c r="G1" s="179"/>
      <c r="H1" s="179"/>
      <c r="I1" s="179"/>
      <c r="J1" s="227"/>
      <c r="L1" s="228" t="s">
        <v>1</v>
      </c>
    </row>
    <row r="2" spans="1:12">
      <c r="A2" s="180" t="s">
        <v>2</v>
      </c>
      <c r="B2" s="180" t="s">
        <v>3</v>
      </c>
      <c r="C2" s="180" t="s">
        <v>4</v>
      </c>
      <c r="D2" s="180" t="s">
        <v>5</v>
      </c>
      <c r="E2" s="181" t="s">
        <v>6</v>
      </c>
      <c r="F2" s="182" t="s">
        <v>7</v>
      </c>
      <c r="G2" s="182" t="s">
        <v>1</v>
      </c>
      <c r="H2" s="182" t="s">
        <v>8</v>
      </c>
      <c r="I2" s="229" t="s">
        <v>9</v>
      </c>
      <c r="J2" s="230" t="s">
        <v>10</v>
      </c>
      <c r="K2" s="10">
        <v>0.1</v>
      </c>
      <c r="L2" s="10">
        <v>0.28</v>
      </c>
    </row>
    <row r="3" spans="1:10">
      <c r="A3" s="183"/>
      <c r="B3" s="183"/>
      <c r="C3" s="183"/>
      <c r="D3" s="183"/>
      <c r="E3" s="184" t="s">
        <v>11</v>
      </c>
      <c r="F3" s="185"/>
      <c r="G3" s="185"/>
      <c r="H3" s="184" t="s">
        <v>11</v>
      </c>
      <c r="I3" s="185" t="s">
        <v>11</v>
      </c>
      <c r="J3" s="231"/>
    </row>
    <row r="4" ht="21.75" customHeight="1" spans="1:10">
      <c r="A4" s="186" t="s">
        <v>12</v>
      </c>
      <c r="B4" s="187" t="s">
        <v>13</v>
      </c>
      <c r="C4" s="188" t="s">
        <v>14</v>
      </c>
      <c r="D4" s="188" t="s">
        <v>14</v>
      </c>
      <c r="E4" s="189" t="s">
        <v>14</v>
      </c>
      <c r="F4" s="190"/>
      <c r="G4" s="190"/>
      <c r="H4" s="190"/>
      <c r="I4" s="229" t="s">
        <v>14</v>
      </c>
      <c r="J4" s="230"/>
    </row>
    <row r="5" ht="98" customHeight="1" spans="1:10">
      <c r="A5" s="186" t="s">
        <v>12</v>
      </c>
      <c r="B5" s="191" t="s">
        <v>15</v>
      </c>
      <c r="C5" s="188" t="s">
        <v>14</v>
      </c>
      <c r="D5" s="188" t="s">
        <v>14</v>
      </c>
      <c r="E5" s="189" t="s">
        <v>14</v>
      </c>
      <c r="F5" s="190"/>
      <c r="G5" s="190"/>
      <c r="H5" s="190"/>
      <c r="I5" s="229" t="s">
        <v>14</v>
      </c>
      <c r="J5" s="230"/>
    </row>
    <row r="6" ht="21" customHeight="1" spans="1:10">
      <c r="A6" s="192"/>
      <c r="B6" s="193" t="s">
        <v>16</v>
      </c>
      <c r="C6" s="194"/>
      <c r="D6" s="194"/>
      <c r="E6" s="195"/>
      <c r="F6" s="196"/>
      <c r="G6" s="196"/>
      <c r="H6" s="196"/>
      <c r="I6" s="232"/>
      <c r="J6" s="233"/>
    </row>
    <row r="7" ht="190" customHeight="1" spans="1:13">
      <c r="A7" s="186" t="s">
        <v>12</v>
      </c>
      <c r="B7" s="197" t="s">
        <v>17</v>
      </c>
      <c r="C7" s="188" t="s">
        <v>14</v>
      </c>
      <c r="D7" s="188" t="s">
        <v>14</v>
      </c>
      <c r="E7" s="189" t="s">
        <v>14</v>
      </c>
      <c r="F7" s="190"/>
      <c r="G7" s="190"/>
      <c r="H7" s="190"/>
      <c r="I7" s="229" t="s">
        <v>14</v>
      </c>
      <c r="J7" s="230"/>
      <c r="M7" s="234"/>
    </row>
    <row r="8" ht="21.75" customHeight="1" spans="1:10">
      <c r="A8" s="192" t="s">
        <v>18</v>
      </c>
      <c r="B8" s="198" t="s">
        <v>19</v>
      </c>
      <c r="C8" s="194"/>
      <c r="D8" s="194"/>
      <c r="E8" s="195"/>
      <c r="F8" s="196"/>
      <c r="G8" s="196"/>
      <c r="H8" s="196"/>
      <c r="I8" s="232"/>
      <c r="J8" s="233"/>
    </row>
    <row r="9" ht="61.5" customHeight="1" spans="1:10">
      <c r="A9" s="199" t="s">
        <v>12</v>
      </c>
      <c r="B9" s="191" t="s">
        <v>20</v>
      </c>
      <c r="C9" s="188" t="s">
        <v>14</v>
      </c>
      <c r="D9" s="188" t="s">
        <v>14</v>
      </c>
      <c r="E9" s="189" t="s">
        <v>14</v>
      </c>
      <c r="F9" s="190"/>
      <c r="G9" s="190"/>
      <c r="H9" s="190"/>
      <c r="I9" s="229" t="s">
        <v>14</v>
      </c>
      <c r="J9" s="230"/>
    </row>
    <row r="10" ht="47.25" customHeight="1" spans="1:17">
      <c r="A10" s="200" t="s">
        <v>21</v>
      </c>
      <c r="B10" s="197" t="s">
        <v>22</v>
      </c>
      <c r="C10" s="201" t="s">
        <v>23</v>
      </c>
      <c r="D10" s="202">
        <v>1</v>
      </c>
      <c r="E10" s="203">
        <f>'Rate beak up'!I14</f>
        <v>149200</v>
      </c>
      <c r="F10" s="204">
        <f>E10*K$2</f>
        <v>14920</v>
      </c>
      <c r="G10" s="204">
        <f>(E10+F10)*L$2</f>
        <v>45953.6</v>
      </c>
      <c r="H10" s="204">
        <f>G10+F10+E10</f>
        <v>210073.6</v>
      </c>
      <c r="I10" s="215">
        <f t="shared" ref="I10:I33" si="0">H10*D10</f>
        <v>210073.6</v>
      </c>
      <c r="J10" s="210"/>
      <c r="K10" s="235"/>
      <c r="L10" s="236">
        <f>E10*D10</f>
        <v>149200</v>
      </c>
      <c r="M10" s="235"/>
      <c r="N10" s="235"/>
      <c r="O10" s="235"/>
      <c r="P10" s="236">
        <f>F10*D10</f>
        <v>14920</v>
      </c>
      <c r="Q10" s="235"/>
    </row>
    <row r="11" ht="20.25" customHeight="1" spans="1:17">
      <c r="A11" s="192" t="s">
        <v>24</v>
      </c>
      <c r="B11" s="198" t="s">
        <v>25</v>
      </c>
      <c r="C11" s="205"/>
      <c r="D11" s="205"/>
      <c r="E11" s="206"/>
      <c r="F11" s="207"/>
      <c r="G11" s="207"/>
      <c r="H11" s="207"/>
      <c r="I11" s="237"/>
      <c r="J11" s="237"/>
      <c r="K11" s="235"/>
      <c r="L11" s="236">
        <f t="shared" ref="L11:L47" si="1">E11*D11</f>
        <v>0</v>
      </c>
      <c r="M11" s="235"/>
      <c r="N11" s="235"/>
      <c r="O11" s="235"/>
      <c r="P11" s="236">
        <f t="shared" ref="P11:P46" si="2">F11*D11</f>
        <v>0</v>
      </c>
      <c r="Q11" s="235"/>
    </row>
    <row r="12" ht="57" customHeight="1" spans="1:17">
      <c r="A12" s="200" t="s">
        <v>26</v>
      </c>
      <c r="B12" s="208" t="s">
        <v>27</v>
      </c>
      <c r="C12" s="209" t="s">
        <v>28</v>
      </c>
      <c r="D12" s="210">
        <v>35</v>
      </c>
      <c r="E12" s="211">
        <f>'Rate beak up'!I38</f>
        <v>1378.07142857143</v>
      </c>
      <c r="F12" s="204">
        <f>E12*K$2</f>
        <v>137.807142857143</v>
      </c>
      <c r="G12" s="204">
        <f>(E12+F12)*L$2</f>
        <v>424.446</v>
      </c>
      <c r="H12" s="204">
        <f t="shared" ref="H10:H47" si="3">G12+F12+E12</f>
        <v>1940.32457142857</v>
      </c>
      <c r="I12" s="215">
        <f>H12*D12</f>
        <v>67911.36</v>
      </c>
      <c r="J12" s="210"/>
      <c r="K12" s="235"/>
      <c r="L12" s="236">
        <f t="shared" si="1"/>
        <v>48232.5</v>
      </c>
      <c r="M12" s="238"/>
      <c r="N12" s="238"/>
      <c r="O12" s="235"/>
      <c r="P12" s="236">
        <f t="shared" si="2"/>
        <v>4823.25</v>
      </c>
      <c r="Q12" s="235"/>
    </row>
    <row r="13" ht="84" customHeight="1" spans="1:17">
      <c r="A13" s="212" t="s">
        <v>29</v>
      </c>
      <c r="B13" s="213" t="s">
        <v>30</v>
      </c>
      <c r="C13" s="214" t="s">
        <v>31</v>
      </c>
      <c r="D13" s="215">
        <v>8.5</v>
      </c>
      <c r="E13" s="211">
        <f>'Rate beak up'!I59</f>
        <v>7202.05882352941</v>
      </c>
      <c r="F13" s="204">
        <f>E13*K$2</f>
        <v>720.205882352941</v>
      </c>
      <c r="G13" s="204">
        <f>(E13+F13)*L$2</f>
        <v>2218.23411764706</v>
      </c>
      <c r="H13" s="204">
        <f t="shared" si="3"/>
        <v>10140.4988235294</v>
      </c>
      <c r="I13" s="215">
        <f t="shared" si="0"/>
        <v>86194.24</v>
      </c>
      <c r="J13" s="210"/>
      <c r="K13" s="239"/>
      <c r="L13" s="236">
        <f t="shared" si="1"/>
        <v>61217.5</v>
      </c>
      <c r="M13" s="240"/>
      <c r="N13" s="240"/>
      <c r="O13" s="235"/>
      <c r="P13" s="236">
        <f t="shared" si="2"/>
        <v>6121.75</v>
      </c>
      <c r="Q13" s="235"/>
    </row>
    <row r="14" ht="54" customHeight="1" spans="1:17">
      <c r="A14" s="212" t="s">
        <v>32</v>
      </c>
      <c r="B14" s="216" t="s">
        <v>33</v>
      </c>
      <c r="C14" s="214" t="s">
        <v>31</v>
      </c>
      <c r="D14" s="211">
        <v>2.25</v>
      </c>
      <c r="E14" s="211">
        <f>'Rate beak up'!I81</f>
        <v>19103.038869258</v>
      </c>
      <c r="F14" s="204">
        <f>E14*K$2</f>
        <v>1910.3038869258</v>
      </c>
      <c r="G14" s="204">
        <f>(E14+F14)*L$2</f>
        <v>5883.73597173145</v>
      </c>
      <c r="H14" s="204">
        <f t="shared" si="3"/>
        <v>26897.0787279152</v>
      </c>
      <c r="I14" s="215">
        <f t="shared" si="0"/>
        <v>60518.4271378092</v>
      </c>
      <c r="J14" s="210"/>
      <c r="K14" s="239"/>
      <c r="L14" s="236">
        <f t="shared" si="1"/>
        <v>42981.8374558304</v>
      </c>
      <c r="M14" s="240"/>
      <c r="N14" s="240"/>
      <c r="O14" s="235"/>
      <c r="P14" s="236">
        <f t="shared" si="2"/>
        <v>4298.18374558304</v>
      </c>
      <c r="Q14" s="235"/>
    </row>
    <row r="15" ht="45" customHeight="1" spans="1:17">
      <c r="A15" s="212" t="s">
        <v>34</v>
      </c>
      <c r="B15" s="216" t="s">
        <v>35</v>
      </c>
      <c r="C15" s="214" t="s">
        <v>31</v>
      </c>
      <c r="D15" s="215">
        <v>3.5</v>
      </c>
      <c r="E15" s="217">
        <f>'Rate beak up'!I101</f>
        <v>6740.81713780919</v>
      </c>
      <c r="F15" s="204">
        <f>E15*K$2</f>
        <v>674.081713780919</v>
      </c>
      <c r="G15" s="204">
        <f>(E15+F15)*L$2</f>
        <v>2076.17167844523</v>
      </c>
      <c r="H15" s="204">
        <f t="shared" si="3"/>
        <v>9491.07053003534</v>
      </c>
      <c r="I15" s="215">
        <f t="shared" si="0"/>
        <v>33218.7468551237</v>
      </c>
      <c r="J15" s="210"/>
      <c r="K15" s="235"/>
      <c r="L15" s="236">
        <f t="shared" si="1"/>
        <v>23592.8599823322</v>
      </c>
      <c r="M15" s="235"/>
      <c r="N15" s="235"/>
      <c r="O15" s="235"/>
      <c r="P15" s="236">
        <f t="shared" si="2"/>
        <v>2359.28599823322</v>
      </c>
      <c r="Q15" s="235"/>
    </row>
    <row r="16" ht="28" customHeight="1" spans="1:17">
      <c r="A16" s="212" t="s">
        <v>36</v>
      </c>
      <c r="B16" s="191" t="s">
        <v>37</v>
      </c>
      <c r="C16" s="218" t="s">
        <v>38</v>
      </c>
      <c r="D16" s="218"/>
      <c r="E16" s="211">
        <v>200000</v>
      </c>
      <c r="F16" s="204">
        <f>E16*K$2</f>
        <v>20000</v>
      </c>
      <c r="G16" s="204">
        <f>(E16+F16)*L$2</f>
        <v>61600</v>
      </c>
      <c r="H16" s="204">
        <f t="shared" si="3"/>
        <v>281600</v>
      </c>
      <c r="I16" s="215">
        <f>E16</f>
        <v>200000</v>
      </c>
      <c r="J16" s="210"/>
      <c r="K16" s="235"/>
      <c r="L16" s="236">
        <f t="shared" si="1"/>
        <v>0</v>
      </c>
      <c r="M16" s="235"/>
      <c r="N16" s="235"/>
      <c r="O16" s="235"/>
      <c r="P16" s="236">
        <f t="shared" si="2"/>
        <v>0</v>
      </c>
      <c r="Q16" s="235"/>
    </row>
    <row r="17" ht="20.25" customHeight="1" spans="1:17">
      <c r="A17" s="192" t="s">
        <v>39</v>
      </c>
      <c r="B17" s="198" t="s">
        <v>40</v>
      </c>
      <c r="C17" s="205"/>
      <c r="D17" s="205"/>
      <c r="E17" s="206"/>
      <c r="F17" s="204">
        <f>E17*K$2</f>
        <v>0</v>
      </c>
      <c r="G17" s="204">
        <f>(E17+F17)*L$2</f>
        <v>0</v>
      </c>
      <c r="H17" s="204">
        <f t="shared" si="3"/>
        <v>0</v>
      </c>
      <c r="I17" s="215">
        <f t="shared" si="0"/>
        <v>0</v>
      </c>
      <c r="J17" s="210"/>
      <c r="K17" s="235"/>
      <c r="L17" s="236">
        <f t="shared" si="1"/>
        <v>0</v>
      </c>
      <c r="M17" s="235"/>
      <c r="N17" s="235"/>
      <c r="O17" s="235"/>
      <c r="P17" s="236">
        <f t="shared" si="2"/>
        <v>0</v>
      </c>
      <c r="Q17" s="235"/>
    </row>
    <row r="18" ht="61.5" customHeight="1" spans="1:19">
      <c r="A18" s="186" t="s">
        <v>12</v>
      </c>
      <c r="B18" s="191" t="s">
        <v>41</v>
      </c>
      <c r="C18" s="214" t="s">
        <v>14</v>
      </c>
      <c r="D18" s="214" t="s">
        <v>14</v>
      </c>
      <c r="E18" s="211" t="s">
        <v>14</v>
      </c>
      <c r="F18" s="204"/>
      <c r="G18" s="204"/>
      <c r="H18" s="204"/>
      <c r="I18" s="215"/>
      <c r="J18" s="210"/>
      <c r="K18" s="235"/>
      <c r="L18" s="236"/>
      <c r="M18" s="241"/>
      <c r="N18" s="235"/>
      <c r="O18" s="241"/>
      <c r="P18" s="236"/>
      <c r="Q18" s="235"/>
      <c r="S18" s="253"/>
    </row>
    <row r="19" ht="61.5" customHeight="1" spans="1:19">
      <c r="A19" s="219" t="s">
        <v>12</v>
      </c>
      <c r="B19" s="191" t="s">
        <v>42</v>
      </c>
      <c r="C19" s="214" t="s">
        <v>14</v>
      </c>
      <c r="D19" s="214" t="s">
        <v>14</v>
      </c>
      <c r="E19" s="211" t="s">
        <v>14</v>
      </c>
      <c r="F19" s="204"/>
      <c r="G19" s="204"/>
      <c r="H19" s="204"/>
      <c r="I19" s="215"/>
      <c r="J19" s="210"/>
      <c r="K19" s="235"/>
      <c r="L19" s="236"/>
      <c r="M19" s="238"/>
      <c r="N19" s="235"/>
      <c r="O19" s="241"/>
      <c r="P19" s="236"/>
      <c r="Q19" s="235"/>
      <c r="S19" s="253"/>
    </row>
    <row r="20" ht="48" customHeight="1" spans="1:17">
      <c r="A20" s="212" t="s">
        <v>43</v>
      </c>
      <c r="B20" s="191" t="s">
        <v>44</v>
      </c>
      <c r="C20" s="209" t="s">
        <v>28</v>
      </c>
      <c r="D20" s="220">
        <v>7.5</v>
      </c>
      <c r="E20" s="217">
        <f>'Rate beak up'!I142</f>
        <v>2936.11749116608</v>
      </c>
      <c r="F20" s="204">
        <f>E20*K$2</f>
        <v>293.611749116608</v>
      </c>
      <c r="G20" s="204">
        <f>(E20+F20)*L$2</f>
        <v>904.324187279152</v>
      </c>
      <c r="H20" s="204">
        <f t="shared" si="3"/>
        <v>4134.05342756184</v>
      </c>
      <c r="I20" s="215">
        <f t="shared" si="0"/>
        <v>31005.4007067138</v>
      </c>
      <c r="J20" s="210"/>
      <c r="K20" s="236"/>
      <c r="L20" s="236">
        <f t="shared" si="1"/>
        <v>22020.8811837456</v>
      </c>
      <c r="M20" s="240"/>
      <c r="N20" s="240"/>
      <c r="O20" s="236"/>
      <c r="P20" s="236">
        <f t="shared" si="2"/>
        <v>2202.08811837456</v>
      </c>
      <c r="Q20" s="235"/>
    </row>
    <row r="21" ht="64.5" customHeight="1" spans="1:17">
      <c r="A21" s="212" t="s">
        <v>45</v>
      </c>
      <c r="B21" s="191" t="s">
        <v>46</v>
      </c>
      <c r="C21" s="214" t="s">
        <v>31</v>
      </c>
      <c r="D21" s="220">
        <v>1.75</v>
      </c>
      <c r="E21" s="217">
        <f>'Rate beak up'!I141</f>
        <v>39148.2332155477</v>
      </c>
      <c r="F21" s="204">
        <f>E21*K$2</f>
        <v>3914.82332155477</v>
      </c>
      <c r="G21" s="204">
        <f>(E21+F21)*L$2</f>
        <v>12057.6558303887</v>
      </c>
      <c r="H21" s="204">
        <f t="shared" si="3"/>
        <v>55120.7123674912</v>
      </c>
      <c r="I21" s="215">
        <f t="shared" si="0"/>
        <v>96461.2466431096</v>
      </c>
      <c r="J21" s="210"/>
      <c r="K21" s="235"/>
      <c r="L21" s="236">
        <f t="shared" si="1"/>
        <v>68509.4081272085</v>
      </c>
      <c r="M21" s="236"/>
      <c r="N21" s="235"/>
      <c r="O21" s="236"/>
      <c r="P21" s="236">
        <f t="shared" si="2"/>
        <v>6850.94081272085</v>
      </c>
      <c r="Q21" s="235"/>
    </row>
    <row r="22" ht="57" customHeight="1" spans="1:17">
      <c r="A22" s="212" t="s">
        <v>47</v>
      </c>
      <c r="B22" s="191" t="s">
        <v>48</v>
      </c>
      <c r="C22" s="214" t="s">
        <v>31</v>
      </c>
      <c r="D22" s="220">
        <v>1.75</v>
      </c>
      <c r="E22" s="217">
        <f>'Rate beak up'!I141</f>
        <v>39148.2332155477</v>
      </c>
      <c r="F22" s="204">
        <f>E22*K$2</f>
        <v>3914.82332155477</v>
      </c>
      <c r="G22" s="204">
        <f>(E22+F22)*L$2</f>
        <v>12057.6558303887</v>
      </c>
      <c r="H22" s="204">
        <f t="shared" si="3"/>
        <v>55120.7123674912</v>
      </c>
      <c r="I22" s="215">
        <f t="shared" si="0"/>
        <v>96461.2466431096</v>
      </c>
      <c r="J22" s="210"/>
      <c r="K22" s="235"/>
      <c r="L22" s="236">
        <f t="shared" si="1"/>
        <v>68509.4081272085</v>
      </c>
      <c r="M22" s="236"/>
      <c r="N22" s="235"/>
      <c r="O22" s="236"/>
      <c r="P22" s="236">
        <f t="shared" si="2"/>
        <v>6850.94081272085</v>
      </c>
      <c r="Q22" s="235"/>
    </row>
    <row r="23" ht="75.75" customHeight="1" spans="1:17">
      <c r="A23" s="200" t="s">
        <v>49</v>
      </c>
      <c r="B23" s="191" t="s">
        <v>50</v>
      </c>
      <c r="C23" s="214" t="s">
        <v>51</v>
      </c>
      <c r="D23" s="220">
        <v>32.5</v>
      </c>
      <c r="E23" s="217">
        <f>'Rate beak up'!I179</f>
        <v>5888.60647000752</v>
      </c>
      <c r="F23" s="204">
        <f>E23*K$2</f>
        <v>588.860647000752</v>
      </c>
      <c r="G23" s="204">
        <f>(E23+F23)*L$2</f>
        <v>1813.69079276232</v>
      </c>
      <c r="H23" s="204">
        <f t="shared" si="3"/>
        <v>8291.15790977059</v>
      </c>
      <c r="I23" s="215">
        <f t="shared" si="0"/>
        <v>269462.632067544</v>
      </c>
      <c r="J23" s="210"/>
      <c r="K23" s="235"/>
      <c r="L23" s="236">
        <f t="shared" si="1"/>
        <v>191379.710275244</v>
      </c>
      <c r="M23" s="236"/>
      <c r="N23" s="235"/>
      <c r="O23" s="236"/>
      <c r="P23" s="236">
        <f t="shared" si="2"/>
        <v>19137.9710275244</v>
      </c>
      <c r="Q23" s="235"/>
    </row>
    <row r="24" ht="75.75" customHeight="1" spans="1:17">
      <c r="A24" s="212" t="s">
        <v>52</v>
      </c>
      <c r="B24" s="191" t="s">
        <v>53</v>
      </c>
      <c r="C24" s="214" t="s">
        <v>51</v>
      </c>
      <c r="D24" s="220">
        <v>6</v>
      </c>
      <c r="E24" s="217">
        <f>'Rate beak up'!I197</f>
        <v>4265.91592636217</v>
      </c>
      <c r="F24" s="204">
        <f>E24*K$2</f>
        <v>426.591592636217</v>
      </c>
      <c r="G24" s="204">
        <f>(E24+F24)*L$2</f>
        <v>1313.90210531955</v>
      </c>
      <c r="H24" s="204">
        <f t="shared" si="3"/>
        <v>6006.40962431793</v>
      </c>
      <c r="I24" s="215">
        <f t="shared" si="0"/>
        <v>36038.4577459076</v>
      </c>
      <c r="J24" s="210"/>
      <c r="K24" s="235"/>
      <c r="L24" s="236">
        <f t="shared" si="1"/>
        <v>25595.495558173</v>
      </c>
      <c r="M24" s="236"/>
      <c r="N24" s="235"/>
      <c r="O24" s="236"/>
      <c r="P24" s="236">
        <f t="shared" si="2"/>
        <v>2559.5495558173</v>
      </c>
      <c r="Q24" s="235"/>
    </row>
    <row r="25" ht="61" customHeight="1" spans="1:17">
      <c r="A25" s="212" t="s">
        <v>54</v>
      </c>
      <c r="B25" s="221" t="s">
        <v>55</v>
      </c>
      <c r="C25" s="214" t="s">
        <v>31</v>
      </c>
      <c r="D25" s="220">
        <v>1.25</v>
      </c>
      <c r="E25" s="217">
        <f>'Rate beak up'!I216</f>
        <v>71298.2291414736</v>
      </c>
      <c r="F25" s="204">
        <f>E25*K$2</f>
        <v>7129.82291414736</v>
      </c>
      <c r="G25" s="204">
        <f>(E25+F25)*L$2</f>
        <v>21959.8545755739</v>
      </c>
      <c r="H25" s="204">
        <f t="shared" si="3"/>
        <v>100387.906631195</v>
      </c>
      <c r="I25" s="215">
        <f t="shared" si="0"/>
        <v>125484.883288994</v>
      </c>
      <c r="J25" s="210"/>
      <c r="K25" s="235"/>
      <c r="L25" s="236">
        <f t="shared" si="1"/>
        <v>89122.786426842</v>
      </c>
      <c r="M25" s="236"/>
      <c r="N25" s="235"/>
      <c r="O25" s="236"/>
      <c r="P25" s="236">
        <f t="shared" si="2"/>
        <v>8912.2786426842</v>
      </c>
      <c r="Q25" s="235"/>
    </row>
    <row r="26" ht="54" customHeight="1" spans="1:17">
      <c r="A26" s="212" t="s">
        <v>56</v>
      </c>
      <c r="B26" s="191" t="s">
        <v>57</v>
      </c>
      <c r="C26" s="214" t="s">
        <v>31</v>
      </c>
      <c r="D26" s="220">
        <v>3.75</v>
      </c>
      <c r="E26" s="217">
        <f>'Rate beak up'!I234</f>
        <v>48535.4091414736</v>
      </c>
      <c r="F26" s="204">
        <f>E26*K$2</f>
        <v>4853.54091414736</v>
      </c>
      <c r="G26" s="204">
        <f>(E26+F26)*L$2</f>
        <v>14948.9060155739</v>
      </c>
      <c r="H26" s="204">
        <f t="shared" si="3"/>
        <v>68337.8560711949</v>
      </c>
      <c r="I26" s="215">
        <f t="shared" si="0"/>
        <v>256266.960266981</v>
      </c>
      <c r="J26" s="210"/>
      <c r="K26" s="235"/>
      <c r="L26" s="236">
        <f t="shared" si="1"/>
        <v>182007.784280526</v>
      </c>
      <c r="M26" s="236"/>
      <c r="N26" s="235"/>
      <c r="O26" s="236"/>
      <c r="P26" s="236">
        <f t="shared" si="2"/>
        <v>18200.7784280526</v>
      </c>
      <c r="Q26" s="235"/>
    </row>
    <row r="27" ht="75" customHeight="1" spans="1:17">
      <c r="A27" s="212" t="s">
        <v>58</v>
      </c>
      <c r="B27" s="191" t="s">
        <v>59</v>
      </c>
      <c r="C27" s="214" t="s">
        <v>51</v>
      </c>
      <c r="D27" s="220">
        <v>32.5</v>
      </c>
      <c r="E27" s="217">
        <f>'Rate beak up'!I252</f>
        <v>9741.11142506677</v>
      </c>
      <c r="F27" s="204">
        <f>E27*K$2</f>
        <v>974.111142506677</v>
      </c>
      <c r="G27" s="204">
        <f>(E27+F27)*L$2</f>
        <v>3000.26231892057</v>
      </c>
      <c r="H27" s="204">
        <f t="shared" si="3"/>
        <v>13715.484886494</v>
      </c>
      <c r="I27" s="215">
        <f t="shared" si="0"/>
        <v>445753.258811055</v>
      </c>
      <c r="J27" s="210"/>
      <c r="K27" s="235"/>
      <c r="L27" s="236">
        <f t="shared" si="1"/>
        <v>316586.12131467</v>
      </c>
      <c r="M27" s="236"/>
      <c r="N27" s="235"/>
      <c r="O27" s="236"/>
      <c r="P27" s="236">
        <f t="shared" si="2"/>
        <v>31658.612131467</v>
      </c>
      <c r="Q27" s="235"/>
    </row>
    <row r="28" ht="42" customHeight="1" spans="1:17">
      <c r="A28" s="212" t="s">
        <v>60</v>
      </c>
      <c r="B28" s="191" t="s">
        <v>61</v>
      </c>
      <c r="C28" s="214" t="s">
        <v>31</v>
      </c>
      <c r="D28" s="220">
        <v>4.75</v>
      </c>
      <c r="E28" s="217">
        <f>'Rate beak up'!I162</f>
        <v>41626.8551236749</v>
      </c>
      <c r="F28" s="204">
        <f>E28*K$2</f>
        <v>4162.68551236749</v>
      </c>
      <c r="G28" s="204">
        <f>(E28+F28)*L$2</f>
        <v>12821.0713780919</v>
      </c>
      <c r="H28" s="204">
        <f t="shared" si="3"/>
        <v>58610.6120141343</v>
      </c>
      <c r="I28" s="215">
        <f t="shared" si="0"/>
        <v>278400.407067138</v>
      </c>
      <c r="J28" s="210"/>
      <c r="K28" s="235"/>
      <c r="L28" s="236">
        <f t="shared" si="1"/>
        <v>197727.561837456</v>
      </c>
      <c r="M28" s="236"/>
      <c r="N28" s="235"/>
      <c r="O28" s="236"/>
      <c r="P28" s="236">
        <f t="shared" si="2"/>
        <v>19772.7561837456</v>
      </c>
      <c r="Q28" s="235"/>
    </row>
    <row r="29" ht="59" customHeight="1" spans="1:17">
      <c r="A29" s="212" t="s">
        <v>62</v>
      </c>
      <c r="B29" s="191" t="s">
        <v>63</v>
      </c>
      <c r="C29" s="209" t="s">
        <v>64</v>
      </c>
      <c r="D29" s="220">
        <v>65</v>
      </c>
      <c r="E29" s="217">
        <f>'Rate beak up'!I349</f>
        <v>548.98</v>
      </c>
      <c r="F29" s="204">
        <f>E29*K$2</f>
        <v>54.898</v>
      </c>
      <c r="G29" s="204">
        <f>(E29+F29)*L$2</f>
        <v>169.08584</v>
      </c>
      <c r="H29" s="204">
        <f t="shared" si="3"/>
        <v>772.96384</v>
      </c>
      <c r="I29" s="215">
        <f t="shared" si="0"/>
        <v>50242.6496</v>
      </c>
      <c r="J29" s="210"/>
      <c r="K29" s="235"/>
      <c r="L29" s="236">
        <f t="shared" si="1"/>
        <v>35683.7</v>
      </c>
      <c r="M29" s="242"/>
      <c r="N29" s="243"/>
      <c r="O29" s="236"/>
      <c r="P29" s="236">
        <f t="shared" si="2"/>
        <v>3568.37</v>
      </c>
      <c r="Q29" s="235"/>
    </row>
    <row r="30" ht="47" customHeight="1" spans="1:17">
      <c r="A30" s="212" t="s">
        <v>65</v>
      </c>
      <c r="B30" s="191" t="s">
        <v>66</v>
      </c>
      <c r="C30" s="209" t="s">
        <v>64</v>
      </c>
      <c r="D30" s="220">
        <v>225</v>
      </c>
      <c r="E30" s="217">
        <f>'Rate beak up'!I349</f>
        <v>548.98</v>
      </c>
      <c r="F30" s="204">
        <f>E30*K$2</f>
        <v>54.898</v>
      </c>
      <c r="G30" s="204">
        <f>(E30+F30)*L$2</f>
        <v>169.08584</v>
      </c>
      <c r="H30" s="204">
        <f t="shared" si="3"/>
        <v>772.96384</v>
      </c>
      <c r="I30" s="215">
        <f t="shared" si="0"/>
        <v>173916.864</v>
      </c>
      <c r="J30" s="210"/>
      <c r="K30" s="236"/>
      <c r="L30" s="236">
        <f t="shared" si="1"/>
        <v>123520.5</v>
      </c>
      <c r="M30" s="235"/>
      <c r="N30" s="235"/>
      <c r="O30" s="236"/>
      <c r="P30" s="236">
        <f t="shared" si="2"/>
        <v>12352.05</v>
      </c>
      <c r="Q30" s="235"/>
    </row>
    <row r="31" ht="47" customHeight="1" spans="1:17">
      <c r="A31" s="212" t="s">
        <v>67</v>
      </c>
      <c r="B31" s="191" t="s">
        <v>68</v>
      </c>
      <c r="C31" s="209" t="s">
        <v>64</v>
      </c>
      <c r="D31" s="220">
        <v>325</v>
      </c>
      <c r="E31" s="217">
        <f>'Rate beak up'!I349</f>
        <v>548.98</v>
      </c>
      <c r="F31" s="204">
        <f>E31*K$2</f>
        <v>54.898</v>
      </c>
      <c r="G31" s="204">
        <f>(E31+F31)*L$2</f>
        <v>169.08584</v>
      </c>
      <c r="H31" s="204">
        <f t="shared" si="3"/>
        <v>772.96384</v>
      </c>
      <c r="I31" s="215">
        <f t="shared" si="0"/>
        <v>251213.248</v>
      </c>
      <c r="J31" s="210"/>
      <c r="K31" s="235"/>
      <c r="L31" s="236">
        <f t="shared" si="1"/>
        <v>178418.5</v>
      </c>
      <c r="M31" s="236"/>
      <c r="N31" s="235"/>
      <c r="O31" s="236"/>
      <c r="P31" s="236">
        <f t="shared" si="2"/>
        <v>17841.85</v>
      </c>
      <c r="Q31" s="235"/>
    </row>
    <row r="32" ht="63" customHeight="1" spans="1:17">
      <c r="A32" s="212" t="s">
        <v>69</v>
      </c>
      <c r="B32" s="191" t="s">
        <v>70</v>
      </c>
      <c r="C32" s="209" t="s">
        <v>28</v>
      </c>
      <c r="D32" s="210">
        <v>30</v>
      </c>
      <c r="E32" s="217">
        <f>'Rate beak up'!I332</f>
        <v>4686.80555555556</v>
      </c>
      <c r="F32" s="204">
        <f>E32*K$2</f>
        <v>468.680555555556</v>
      </c>
      <c r="G32" s="204">
        <f>(E32+F32)*L$2</f>
        <v>1443.53611111111</v>
      </c>
      <c r="H32" s="204">
        <f t="shared" si="3"/>
        <v>6599.02222222222</v>
      </c>
      <c r="I32" s="215">
        <f t="shared" si="0"/>
        <v>197970.666666667</v>
      </c>
      <c r="J32" s="210"/>
      <c r="K32" s="235"/>
      <c r="L32" s="236">
        <f t="shared" si="1"/>
        <v>140604.166666667</v>
      </c>
      <c r="M32" s="238"/>
      <c r="N32" s="235"/>
      <c r="O32" s="236"/>
      <c r="P32" s="236">
        <f t="shared" si="2"/>
        <v>14060.4166666667</v>
      </c>
      <c r="Q32" s="235"/>
    </row>
    <row r="33" ht="76.5" customHeight="1" spans="1:17">
      <c r="A33" s="200" t="s">
        <v>71</v>
      </c>
      <c r="B33" s="191" t="s">
        <v>72</v>
      </c>
      <c r="C33" s="209" t="s">
        <v>28</v>
      </c>
      <c r="D33" s="220">
        <v>35.75</v>
      </c>
      <c r="E33" s="217">
        <f>'Rate beak up'!I332</f>
        <v>4686.80555555556</v>
      </c>
      <c r="F33" s="204">
        <f>E33*K$2</f>
        <v>468.680555555556</v>
      </c>
      <c r="G33" s="204">
        <f>(E33+F33)*L$2</f>
        <v>1443.53611111111</v>
      </c>
      <c r="H33" s="204">
        <f t="shared" si="3"/>
        <v>6599.02222222222</v>
      </c>
      <c r="I33" s="215">
        <f t="shared" si="0"/>
        <v>235915.044444444</v>
      </c>
      <c r="J33" s="210"/>
      <c r="K33" s="235"/>
      <c r="L33" s="236">
        <f t="shared" si="1"/>
        <v>167553.298611111</v>
      </c>
      <c r="M33" s="238"/>
      <c r="N33" s="238"/>
      <c r="O33" s="236"/>
      <c r="P33" s="236">
        <f t="shared" si="2"/>
        <v>16755.3298611111</v>
      </c>
      <c r="Q33" s="235"/>
    </row>
    <row r="34" ht="21.75" customHeight="1" spans="1:17">
      <c r="A34" s="192" t="s">
        <v>73</v>
      </c>
      <c r="B34" s="198" t="s">
        <v>74</v>
      </c>
      <c r="C34" s="205"/>
      <c r="D34" s="205"/>
      <c r="E34" s="206"/>
      <c r="F34" s="206"/>
      <c r="G34" s="206"/>
      <c r="H34" s="206"/>
      <c r="I34" s="206"/>
      <c r="J34" s="206"/>
      <c r="K34" s="235"/>
      <c r="L34" s="236">
        <f t="shared" si="1"/>
        <v>0</v>
      </c>
      <c r="M34" s="238"/>
      <c r="N34" s="238"/>
      <c r="O34" s="236"/>
      <c r="P34" s="236">
        <f t="shared" si="2"/>
        <v>0</v>
      </c>
      <c r="Q34" s="235"/>
    </row>
    <row r="35" ht="33.75" customHeight="1" spans="1:17">
      <c r="A35" s="212" t="s">
        <v>75</v>
      </c>
      <c r="B35" s="191" t="s">
        <v>76</v>
      </c>
      <c r="C35" s="209" t="s">
        <v>28</v>
      </c>
      <c r="D35" s="220">
        <v>84</v>
      </c>
      <c r="E35" s="217">
        <f>'Rate beak up'!I405</f>
        <v>4089.25192</v>
      </c>
      <c r="F35" s="204">
        <f>E35*K$2</f>
        <v>408.925192</v>
      </c>
      <c r="G35" s="204">
        <f>(E35+F35)*L$2</f>
        <v>1259.48959136</v>
      </c>
      <c r="H35" s="204">
        <f t="shared" si="3"/>
        <v>5757.66670336</v>
      </c>
      <c r="I35" s="244">
        <f>H35*D35</f>
        <v>483644.00308224</v>
      </c>
      <c r="J35" s="245"/>
      <c r="K35" s="235"/>
      <c r="L35" s="236">
        <f t="shared" si="1"/>
        <v>343497.16128</v>
      </c>
      <c r="M35" s="238"/>
      <c r="N35" s="238"/>
      <c r="O35" s="236"/>
      <c r="P35" s="236">
        <f t="shared" si="2"/>
        <v>34349.716128</v>
      </c>
      <c r="Q35" s="235"/>
    </row>
    <row r="36" ht="46.5" customHeight="1" spans="1:17">
      <c r="A36" s="212" t="s">
        <v>77</v>
      </c>
      <c r="B36" s="191" t="s">
        <v>78</v>
      </c>
      <c r="C36" s="209" t="s">
        <v>28</v>
      </c>
      <c r="D36" s="220">
        <v>90</v>
      </c>
      <c r="E36" s="217">
        <f>'Rate beak up'!I447</f>
        <v>1988.2328</v>
      </c>
      <c r="F36" s="204">
        <f>E36*K$2</f>
        <v>198.82328</v>
      </c>
      <c r="G36" s="204">
        <f>(E36+F36)*L$2</f>
        <v>612.3757024</v>
      </c>
      <c r="H36" s="204">
        <f t="shared" si="3"/>
        <v>2799.4317824</v>
      </c>
      <c r="I36" s="244">
        <f>H36*D36</f>
        <v>251948.860416</v>
      </c>
      <c r="J36" s="245"/>
      <c r="K36" s="235"/>
      <c r="L36" s="236">
        <f t="shared" si="1"/>
        <v>178940.952</v>
      </c>
      <c r="M36" s="238"/>
      <c r="N36" s="238"/>
      <c r="O36" s="236"/>
      <c r="P36" s="236">
        <f t="shared" si="2"/>
        <v>17894.0952</v>
      </c>
      <c r="Q36" s="235"/>
    </row>
    <row r="37" ht="47.25" customHeight="1" spans="1:17">
      <c r="A37" s="212" t="s">
        <v>79</v>
      </c>
      <c r="B37" s="191" t="s">
        <v>80</v>
      </c>
      <c r="C37" s="209" t="s">
        <v>28</v>
      </c>
      <c r="D37" s="220">
        <v>80</v>
      </c>
      <c r="E37" s="217">
        <f>'Rate beak up'!I468</f>
        <v>1885.4748</v>
      </c>
      <c r="F37" s="204">
        <f>E37*K$2</f>
        <v>188.54748</v>
      </c>
      <c r="G37" s="204">
        <f>(E37+F37)*L$2</f>
        <v>580.7262384</v>
      </c>
      <c r="H37" s="204">
        <f t="shared" si="3"/>
        <v>2654.7485184</v>
      </c>
      <c r="I37" s="244">
        <f>H37*D37</f>
        <v>212379.881472</v>
      </c>
      <c r="J37" s="245"/>
      <c r="K37" s="235"/>
      <c r="L37" s="236">
        <f t="shared" si="1"/>
        <v>150837.984</v>
      </c>
      <c r="M37" s="238"/>
      <c r="N37" s="238"/>
      <c r="O37" s="236"/>
      <c r="P37" s="236">
        <f t="shared" si="2"/>
        <v>15083.7984</v>
      </c>
      <c r="Q37" s="235"/>
    </row>
    <row r="38" ht="76.5" customHeight="1" spans="1:17">
      <c r="A38" s="212" t="s">
        <v>81</v>
      </c>
      <c r="B38" s="191" t="s">
        <v>82</v>
      </c>
      <c r="C38" s="214" t="s">
        <v>83</v>
      </c>
      <c r="D38" s="220">
        <f>D36</f>
        <v>90</v>
      </c>
      <c r="E38" s="217">
        <f>'Rate beak up'!I508</f>
        <v>1100.1024</v>
      </c>
      <c r="F38" s="204">
        <f>E38*K$2</f>
        <v>110.01024</v>
      </c>
      <c r="G38" s="204">
        <f>(E38+F38)*L$2</f>
        <v>338.8315392</v>
      </c>
      <c r="H38" s="204">
        <f t="shared" si="3"/>
        <v>1548.9441792</v>
      </c>
      <c r="I38" s="244">
        <f>H38*D38</f>
        <v>139404.976128</v>
      </c>
      <c r="J38" s="245"/>
      <c r="K38" s="235"/>
      <c r="L38" s="236">
        <f t="shared" si="1"/>
        <v>99009.216</v>
      </c>
      <c r="M38" s="238"/>
      <c r="N38" s="238"/>
      <c r="O38" s="236"/>
      <c r="P38" s="236">
        <f t="shared" si="2"/>
        <v>9900.9216</v>
      </c>
      <c r="Q38" s="235"/>
    </row>
    <row r="39" ht="77.25" customHeight="1" spans="1:17">
      <c r="A39" s="212" t="s">
        <v>84</v>
      </c>
      <c r="B39" s="191" t="s">
        <v>85</v>
      </c>
      <c r="C39" s="214" t="s">
        <v>83</v>
      </c>
      <c r="D39" s="220">
        <f>D37</f>
        <v>80</v>
      </c>
      <c r="E39" s="217">
        <f>'Rate beak up'!I530</f>
        <v>1910.3304</v>
      </c>
      <c r="F39" s="204">
        <f>E39*K$2</f>
        <v>191.03304</v>
      </c>
      <c r="G39" s="204">
        <f>(E39+F39)*L$2</f>
        <v>588.3817632</v>
      </c>
      <c r="H39" s="204">
        <f t="shared" si="3"/>
        <v>2689.7452032</v>
      </c>
      <c r="I39" s="244">
        <f>H39*D39</f>
        <v>215179.616256</v>
      </c>
      <c r="J39" s="245"/>
      <c r="K39" s="235"/>
      <c r="L39" s="236">
        <f t="shared" si="1"/>
        <v>152826.432</v>
      </c>
      <c r="M39" s="238"/>
      <c r="N39" s="238"/>
      <c r="O39" s="236"/>
      <c r="P39" s="236">
        <f t="shared" si="2"/>
        <v>15282.6432</v>
      </c>
      <c r="Q39" s="235"/>
    </row>
    <row r="40" ht="61.5" customHeight="1" spans="1:17">
      <c r="A40" s="212" t="s">
        <v>86</v>
      </c>
      <c r="B40" s="191" t="s">
        <v>87</v>
      </c>
      <c r="C40" s="214" t="s">
        <v>83</v>
      </c>
      <c r="D40" s="220">
        <v>35</v>
      </c>
      <c r="E40" s="222">
        <f>'Rate beak up'!I552</f>
        <v>1960.45855</v>
      </c>
      <c r="F40" s="204">
        <f>E40*K$2</f>
        <v>196.045855</v>
      </c>
      <c r="G40" s="204">
        <f>(E40+F40)*L$2</f>
        <v>603.8212334</v>
      </c>
      <c r="H40" s="204">
        <f t="shared" si="3"/>
        <v>2760.3256384</v>
      </c>
      <c r="I40" s="244">
        <f t="shared" ref="I40:I46" si="4">H40*D40</f>
        <v>96611.397344</v>
      </c>
      <c r="J40" s="245"/>
      <c r="K40" s="235"/>
      <c r="L40" s="236">
        <f t="shared" si="1"/>
        <v>68616.04925</v>
      </c>
      <c r="M40" s="238"/>
      <c r="N40" s="238"/>
      <c r="O40" s="236"/>
      <c r="P40" s="236">
        <f t="shared" si="2"/>
        <v>6861.604925</v>
      </c>
      <c r="Q40" s="235"/>
    </row>
    <row r="41" ht="23.25" customHeight="1" spans="1:17">
      <c r="A41" s="192" t="s">
        <v>88</v>
      </c>
      <c r="B41" s="198" t="s">
        <v>89</v>
      </c>
      <c r="C41" s="205"/>
      <c r="D41" s="205"/>
      <c r="E41" s="206"/>
      <c r="F41" s="204">
        <f>E41*K$2</f>
        <v>0</v>
      </c>
      <c r="G41" s="204">
        <f>(E41+F41)*L$2</f>
        <v>0</v>
      </c>
      <c r="H41" s="204">
        <f t="shared" si="3"/>
        <v>0</v>
      </c>
      <c r="I41" s="237"/>
      <c r="J41" s="237"/>
      <c r="K41" s="235"/>
      <c r="L41" s="236">
        <f t="shared" si="1"/>
        <v>0</v>
      </c>
      <c r="M41" s="238"/>
      <c r="N41" s="238"/>
      <c r="O41" s="236"/>
      <c r="P41" s="236">
        <f t="shared" si="2"/>
        <v>0</v>
      </c>
      <c r="Q41" s="235"/>
    </row>
    <row r="42" ht="190" customHeight="1" spans="1:17">
      <c r="A42" s="212" t="s">
        <v>90</v>
      </c>
      <c r="B42" s="223" t="s">
        <v>91</v>
      </c>
      <c r="C42" s="214" t="s">
        <v>92</v>
      </c>
      <c r="D42" s="215">
        <v>2</v>
      </c>
      <c r="E42" s="217">
        <f>'Rate beak up'!I574</f>
        <v>549600</v>
      </c>
      <c r="F42" s="204">
        <f>E42*K$2</f>
        <v>54960</v>
      </c>
      <c r="G42" s="204">
        <f>(E42+F42)*L$2</f>
        <v>169276.8</v>
      </c>
      <c r="H42" s="204">
        <f t="shared" si="3"/>
        <v>773836.8</v>
      </c>
      <c r="I42" s="244">
        <f t="shared" si="4"/>
        <v>1547673.6</v>
      </c>
      <c r="J42" s="210" t="s">
        <v>93</v>
      </c>
      <c r="K42" s="246"/>
      <c r="L42" s="236">
        <f t="shared" si="1"/>
        <v>1099200</v>
      </c>
      <c r="M42" s="238"/>
      <c r="N42" s="238"/>
      <c r="O42" s="236"/>
      <c r="P42" s="236">
        <f t="shared" si="2"/>
        <v>109920</v>
      </c>
      <c r="Q42" s="235"/>
    </row>
    <row r="43" ht="190" customHeight="1" spans="1:17">
      <c r="A43" s="212" t="s">
        <v>94</v>
      </c>
      <c r="B43" s="223" t="s">
        <v>95</v>
      </c>
      <c r="C43" s="214" t="s">
        <v>92</v>
      </c>
      <c r="D43" s="215">
        <v>1</v>
      </c>
      <c r="E43" s="217">
        <f>'Rate beak up'!I595</f>
        <v>635400</v>
      </c>
      <c r="F43" s="204">
        <f>E43*K$2</f>
        <v>63540</v>
      </c>
      <c r="G43" s="204">
        <f>(E43+F43)*L$2</f>
        <v>195703.2</v>
      </c>
      <c r="H43" s="204">
        <f t="shared" si="3"/>
        <v>894643.2</v>
      </c>
      <c r="I43" s="244">
        <f t="shared" si="4"/>
        <v>894643.2</v>
      </c>
      <c r="J43" s="210"/>
      <c r="K43" s="246"/>
      <c r="L43" s="236">
        <f t="shared" si="1"/>
        <v>635400</v>
      </c>
      <c r="M43" s="238"/>
      <c r="N43" s="238"/>
      <c r="O43" s="236"/>
      <c r="P43" s="236">
        <f t="shared" si="2"/>
        <v>63540</v>
      </c>
      <c r="Q43" s="235"/>
    </row>
    <row r="44" ht="21.75" customHeight="1" spans="1:17">
      <c r="A44" s="192" t="s">
        <v>96</v>
      </c>
      <c r="B44" s="198" t="s">
        <v>97</v>
      </c>
      <c r="C44" s="205"/>
      <c r="D44" s="205"/>
      <c r="E44" s="206"/>
      <c r="F44" s="204">
        <f>E44*K$2</f>
        <v>0</v>
      </c>
      <c r="G44" s="204">
        <f>(E44+F44)*L$2</f>
        <v>0</v>
      </c>
      <c r="H44" s="204">
        <f t="shared" si="3"/>
        <v>0</v>
      </c>
      <c r="I44" s="237"/>
      <c r="J44" s="237"/>
      <c r="K44" s="235"/>
      <c r="L44" s="236">
        <f t="shared" si="1"/>
        <v>0</v>
      </c>
      <c r="M44" s="235"/>
      <c r="N44" s="235"/>
      <c r="O44" s="235"/>
      <c r="P44" s="236">
        <f t="shared" si="2"/>
        <v>0</v>
      </c>
      <c r="Q44" s="235"/>
    </row>
    <row r="45" ht="104" customHeight="1" spans="1:17">
      <c r="A45" s="200" t="s">
        <v>98</v>
      </c>
      <c r="B45" s="191" t="s">
        <v>99</v>
      </c>
      <c r="C45" s="214" t="s">
        <v>100</v>
      </c>
      <c r="D45" s="210">
        <v>35</v>
      </c>
      <c r="E45" s="217">
        <f>'Rate beak up'!I617</f>
        <v>11079.3568</v>
      </c>
      <c r="F45" s="204">
        <f>E45*K$2</f>
        <v>1107.93568</v>
      </c>
      <c r="G45" s="204">
        <f>(E45+F45)*L$2</f>
        <v>3412.4418944</v>
      </c>
      <c r="H45" s="204">
        <f t="shared" si="3"/>
        <v>15599.7343744</v>
      </c>
      <c r="I45" s="244">
        <f t="shared" si="4"/>
        <v>545990.703104</v>
      </c>
      <c r="J45" s="245"/>
      <c r="K45" s="235"/>
      <c r="L45" s="236">
        <f t="shared" si="1"/>
        <v>387777.488</v>
      </c>
      <c r="M45" s="235"/>
      <c r="N45" s="235"/>
      <c r="O45" s="235"/>
      <c r="P45" s="236">
        <f t="shared" si="2"/>
        <v>38777.7488</v>
      </c>
      <c r="Q45" s="235"/>
    </row>
    <row r="46" ht="56" customHeight="1" spans="1:17">
      <c r="A46" s="200" t="s">
        <v>101</v>
      </c>
      <c r="B46" s="191" t="s">
        <v>102</v>
      </c>
      <c r="C46" s="214" t="s">
        <v>100</v>
      </c>
      <c r="D46" s="210">
        <v>10</v>
      </c>
      <c r="E46" s="217">
        <f>'Rate beak up'!I385</f>
        <v>2816.8604</v>
      </c>
      <c r="F46" s="204">
        <f>E46*K$2</f>
        <v>281.68604</v>
      </c>
      <c r="G46" s="204">
        <f>(E46+F46)*L$2</f>
        <v>867.5930032</v>
      </c>
      <c r="H46" s="204">
        <f t="shared" si="3"/>
        <v>3966.1394432</v>
      </c>
      <c r="I46" s="244">
        <f t="shared" si="4"/>
        <v>39661.394432</v>
      </c>
      <c r="J46" s="245"/>
      <c r="K46" s="235"/>
      <c r="L46" s="236">
        <f t="shared" si="1"/>
        <v>28168.604</v>
      </c>
      <c r="M46" s="235"/>
      <c r="N46" s="235"/>
      <c r="O46" s="235"/>
      <c r="P46" s="236">
        <f t="shared" si="2"/>
        <v>2816.8604</v>
      </c>
      <c r="Q46" s="235"/>
    </row>
    <row r="47" ht="22.5" customHeight="1" spans="1:17">
      <c r="A47" s="200" t="s">
        <v>103</v>
      </c>
      <c r="B47" s="191" t="s">
        <v>104</v>
      </c>
      <c r="C47" s="218" t="s">
        <v>38</v>
      </c>
      <c r="D47" s="218"/>
      <c r="E47" s="211">
        <v>300000</v>
      </c>
      <c r="F47" s="204"/>
      <c r="G47" s="204"/>
      <c r="H47" s="204">
        <f t="shared" si="3"/>
        <v>300000</v>
      </c>
      <c r="I47" s="215">
        <f>E47</f>
        <v>300000</v>
      </c>
      <c r="J47" s="210"/>
      <c r="K47" s="235"/>
      <c r="L47" s="236">
        <f t="shared" si="1"/>
        <v>0</v>
      </c>
      <c r="M47" s="235"/>
      <c r="N47" s="235"/>
      <c r="O47" s="235"/>
      <c r="P47" s="235"/>
      <c r="Q47" s="235"/>
    </row>
    <row r="48" ht="20.25" customHeight="1" spans="1:17">
      <c r="A48" s="224" t="s">
        <v>105</v>
      </c>
      <c r="B48" s="224"/>
      <c r="C48" s="224"/>
      <c r="D48" s="224"/>
      <c r="E48" s="225"/>
      <c r="F48" s="226"/>
      <c r="G48" s="226"/>
      <c r="H48" s="226"/>
      <c r="I48" s="247">
        <f>SUM(I5:I47)</f>
        <v>7929646.97217883</v>
      </c>
      <c r="J48" s="248"/>
      <c r="K48" s="235"/>
      <c r="L48" s="249">
        <f>SUM(L5:L47)</f>
        <v>5276737.90637701</v>
      </c>
      <c r="M48" s="236">
        <f>L48</f>
        <v>5276737.90637701</v>
      </c>
      <c r="N48" s="235"/>
      <c r="O48" s="235"/>
      <c r="P48" s="249">
        <f>SUM(P5:P47)</f>
        <v>527673.790637701</v>
      </c>
      <c r="Q48" s="235"/>
    </row>
    <row r="49" ht="14.55" spans="13:13">
      <c r="M49" s="250">
        <f>Sheet1!I25</f>
        <v>576000</v>
      </c>
    </row>
    <row r="50" spans="6:6">
      <c r="F50" s="175">
        <f>SUM(F10:F47)</f>
        <v>186906.33165906</v>
      </c>
    </row>
    <row r="51" spans="12:12">
      <c r="L51" s="251">
        <f>I48</f>
        <v>7929646.97217883</v>
      </c>
    </row>
    <row r="52" ht="39" customHeight="1" spans="13:13">
      <c r="M52" s="252">
        <f>M49/L48</f>
        <v>0.109158349385497</v>
      </c>
    </row>
    <row r="54" ht="24" customHeight="1" spans="9:9">
      <c r="I54" s="175">
        <f>L48*1.12*1.27</f>
        <v>7505631.99803067</v>
      </c>
    </row>
    <row r="56" ht="16.5" customHeight="1"/>
    <row r="58" spans="12:12">
      <c r="L58" s="251"/>
    </row>
  </sheetData>
  <mergeCells count="9">
    <mergeCell ref="A1:J1"/>
    <mergeCell ref="C16:D16"/>
    <mergeCell ref="C47:D47"/>
    <mergeCell ref="A48:E48"/>
    <mergeCell ref="A2:A3"/>
    <mergeCell ref="B2:B3"/>
    <mergeCell ref="C2:C3"/>
    <mergeCell ref="D2:D3"/>
    <mergeCell ref="J42:J43"/>
  </mergeCells>
  <pageMargins left="0.700694444444445" right="0.700694444444445" top="0.751388888888889" bottom="0.751388888888889" header="0.298611111111111" footer="0.298611111111111"/>
  <pageSetup paperSize="1" scale="58" fitToHeight="0" orientation="portrait" horizont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25"/>
    <pageSetUpPr fitToPage="1"/>
  </sheetPr>
  <dimension ref="B2:L52"/>
  <sheetViews>
    <sheetView view="pageBreakPreview" zoomScaleNormal="100" workbookViewId="0">
      <selection activeCell="E15" sqref="E15"/>
    </sheetView>
  </sheetViews>
  <sheetFormatPr defaultColWidth="9.13888888888889" defaultRowHeight="13.8"/>
  <cols>
    <col min="1" max="2" width="9.13888888888889" style="118"/>
    <col min="3" max="3" width="43.4259259259259" style="118" customWidth="1"/>
    <col min="4" max="4" width="17.8611111111111" style="116" customWidth="1"/>
    <col min="5" max="5" width="11.5740740740741" style="119" customWidth="1"/>
    <col min="6" max="6" width="16.4259259259259" style="118" customWidth="1"/>
    <col min="7" max="8" width="9.13888888888889" style="118"/>
    <col min="9" max="9" width="12.8611111111111" style="118"/>
    <col min="10" max="10" width="9.13888888888889" style="118"/>
    <col min="11" max="12" width="12.8611111111111" style="118"/>
    <col min="13" max="16384" width="9.13888888888889" style="118"/>
  </cols>
  <sheetData>
    <row r="2" ht="15.6" spans="2:6">
      <c r="B2" s="120" t="s">
        <v>106</v>
      </c>
      <c r="C2" s="121"/>
      <c r="D2" s="121"/>
      <c r="E2" s="121"/>
      <c r="F2" s="122"/>
    </row>
    <row r="3" spans="3:6">
      <c r="C3" s="123"/>
      <c r="D3" s="124"/>
      <c r="E3" s="125"/>
      <c r="F3" s="123"/>
    </row>
    <row r="4" s="116" customFormat="1" ht="15.6" spans="2:6">
      <c r="B4" s="126" t="s">
        <v>107</v>
      </c>
      <c r="C4" s="127" t="s">
        <v>2</v>
      </c>
      <c r="D4" s="126" t="s">
        <v>4</v>
      </c>
      <c r="E4" s="128" t="s">
        <v>108</v>
      </c>
      <c r="F4" s="126" t="s">
        <v>109</v>
      </c>
    </row>
    <row r="5" s="116" customFormat="1" spans="2:6">
      <c r="B5" s="129"/>
      <c r="C5" s="130"/>
      <c r="D5" s="129"/>
      <c r="E5" s="131"/>
      <c r="F5" s="129"/>
    </row>
    <row r="6" s="116" customFormat="1" spans="2:6">
      <c r="B6" s="129"/>
      <c r="C6" s="132" t="s">
        <v>1</v>
      </c>
      <c r="D6" s="129"/>
      <c r="E6" s="133"/>
      <c r="F6" s="129"/>
    </row>
    <row r="7" s="116" customFormat="1" spans="2:6">
      <c r="B7" s="134"/>
      <c r="C7" s="135"/>
      <c r="D7" s="129"/>
      <c r="E7" s="131"/>
      <c r="F7" s="129"/>
    </row>
    <row r="8" s="116" customFormat="1" ht="15.6" spans="2:6">
      <c r="B8" s="136"/>
      <c r="C8" s="137" t="s">
        <v>110</v>
      </c>
      <c r="D8" s="126"/>
      <c r="E8" s="128"/>
      <c r="F8" s="126"/>
    </row>
    <row r="9" s="117" customFormat="1" ht="15" customHeight="1" spans="2:6">
      <c r="B9" s="138">
        <f>COUNT(B$4:B6)+1</f>
        <v>1</v>
      </c>
      <c r="C9" s="139" t="s">
        <v>111</v>
      </c>
      <c r="D9" s="138" t="s">
        <v>112</v>
      </c>
      <c r="E9" s="140">
        <v>24000</v>
      </c>
      <c r="F9" s="141"/>
    </row>
    <row r="10" s="117" customFormat="1" ht="15" customHeight="1" spans="2:6">
      <c r="B10" s="142">
        <f>COUNT(B$4:B9)+1</f>
        <v>2</v>
      </c>
      <c r="C10" s="143" t="s">
        <v>113</v>
      </c>
      <c r="D10" s="142" t="s">
        <v>112</v>
      </c>
      <c r="E10" s="144">
        <v>0</v>
      </c>
      <c r="F10" s="145"/>
    </row>
    <row r="11" s="117" customFormat="1" ht="15" customHeight="1" spans="2:6">
      <c r="B11" s="142">
        <f>COUNT(B$4:B10)+1</f>
        <v>3</v>
      </c>
      <c r="C11" s="143" t="s">
        <v>114</v>
      </c>
      <c r="D11" s="142" t="s">
        <v>112</v>
      </c>
      <c r="E11" s="144">
        <v>0</v>
      </c>
      <c r="F11" s="145"/>
    </row>
    <row r="12" s="117" customFormat="1" ht="15" customHeight="1" spans="2:6">
      <c r="B12" s="142">
        <f>COUNT(B$4:B11)+1</f>
        <v>4</v>
      </c>
      <c r="C12" s="143" t="s">
        <v>115</v>
      </c>
      <c r="D12" s="142" t="s">
        <v>112</v>
      </c>
      <c r="E12" s="146">
        <v>32000</v>
      </c>
      <c r="F12" s="145"/>
    </row>
    <row r="13" s="117" customFormat="1" ht="15" customHeight="1" spans="2:6">
      <c r="B13" s="142">
        <f>COUNT(B$4:B12)+1</f>
        <v>5</v>
      </c>
      <c r="C13" s="143" t="s">
        <v>116</v>
      </c>
      <c r="D13" s="142" t="s">
        <v>112</v>
      </c>
      <c r="E13" s="144"/>
      <c r="F13" s="145"/>
    </row>
    <row r="14" s="117" customFormat="1" ht="15" customHeight="1" spans="2:10">
      <c r="B14" s="142">
        <f>COUNT(B$4:B13)+1</f>
        <v>6</v>
      </c>
      <c r="C14" s="143" t="s">
        <v>117</v>
      </c>
      <c r="D14" s="142" t="s">
        <v>112</v>
      </c>
      <c r="E14" s="144"/>
      <c r="F14" s="145"/>
      <c r="J14" s="117">
        <f>22500+(10500/1.5)</f>
        <v>29500</v>
      </c>
    </row>
    <row r="15" s="117" customFormat="1" ht="15" customHeight="1" spans="2:6">
      <c r="B15" s="142">
        <f>COUNT(B$4:B14)+1</f>
        <v>7</v>
      </c>
      <c r="C15" s="143" t="s">
        <v>118</v>
      </c>
      <c r="D15" s="142" t="s">
        <v>119</v>
      </c>
      <c r="E15" s="147">
        <f>2350+75</f>
        <v>2425</v>
      </c>
      <c r="F15" s="145"/>
    </row>
    <row r="16" s="117" customFormat="1" ht="15" customHeight="1" spans="2:8">
      <c r="B16" s="142">
        <f>COUNT(B$4:B15)+1</f>
        <v>8</v>
      </c>
      <c r="C16" s="143" t="s">
        <v>120</v>
      </c>
      <c r="D16" s="142" t="s">
        <v>121</v>
      </c>
      <c r="E16" s="147">
        <f>21500+3500</f>
        <v>25000</v>
      </c>
      <c r="F16" s="145"/>
      <c r="H16" s="117">
        <f>7000/50</f>
        <v>140</v>
      </c>
    </row>
    <row r="17" s="117" customFormat="1" ht="15" customHeight="1" spans="2:6">
      <c r="B17" s="142">
        <f>COUNT(B$4:B16)+1</f>
        <v>9</v>
      </c>
      <c r="C17" s="143" t="s">
        <v>122</v>
      </c>
      <c r="D17" s="142" t="s">
        <v>121</v>
      </c>
      <c r="E17" s="144">
        <f>11500+1500</f>
        <v>13000</v>
      </c>
      <c r="F17" s="145"/>
    </row>
    <row r="18" s="117" customFormat="1" ht="15" customHeight="1" spans="2:6">
      <c r="B18" s="142">
        <f>COUNT(B$4:B17)+1</f>
        <v>10</v>
      </c>
      <c r="C18" s="143" t="s">
        <v>123</v>
      </c>
      <c r="D18" s="142" t="s">
        <v>121</v>
      </c>
      <c r="E18" s="144">
        <f>11500+1500</f>
        <v>13000</v>
      </c>
      <c r="F18" s="145"/>
    </row>
    <row r="19" s="117" customFormat="1" ht="15" customHeight="1" spans="2:6">
      <c r="B19" s="142">
        <f>COUNT(B$4:B18)+1</f>
        <v>11</v>
      </c>
      <c r="C19" s="143" t="s">
        <v>124</v>
      </c>
      <c r="D19" s="142" t="s">
        <v>121</v>
      </c>
      <c r="E19" s="147">
        <f>16500+500</f>
        <v>17000</v>
      </c>
      <c r="F19" s="145"/>
    </row>
    <row r="20" s="117" customFormat="1" ht="15" customHeight="1" spans="2:6">
      <c r="B20" s="142">
        <f>COUNT(B$4:B19)+1</f>
        <v>12</v>
      </c>
      <c r="C20" s="143" t="s">
        <v>125</v>
      </c>
      <c r="D20" s="142" t="s">
        <v>126</v>
      </c>
      <c r="E20" s="146">
        <v>600</v>
      </c>
      <c r="F20" s="145"/>
    </row>
    <row r="21" s="117" customFormat="1" ht="15" customHeight="1" spans="2:11">
      <c r="B21" s="142">
        <f>COUNT(B$4:B20)+1</f>
        <v>13</v>
      </c>
      <c r="C21" s="143" t="s">
        <v>127</v>
      </c>
      <c r="D21" s="142" t="s">
        <v>121</v>
      </c>
      <c r="E21" s="144">
        <v>11000</v>
      </c>
      <c r="F21" s="145"/>
      <c r="K21" s="117">
        <f>22/7*25</f>
        <v>78.5714285714286</v>
      </c>
    </row>
    <row r="22" s="117" customFormat="1" ht="15" customHeight="1" spans="2:6">
      <c r="B22" s="142">
        <f>COUNT(B$4:B21)+1</f>
        <v>14</v>
      </c>
      <c r="C22" s="143" t="s">
        <v>128</v>
      </c>
      <c r="D22" s="142" t="s">
        <v>129</v>
      </c>
      <c r="E22" s="144">
        <v>9500</v>
      </c>
      <c r="F22" s="145"/>
    </row>
    <row r="23" s="117" customFormat="1" ht="15" customHeight="1" spans="2:6">
      <c r="B23" s="142">
        <f>COUNT(B$4:B22)+1</f>
        <v>15</v>
      </c>
      <c r="C23" s="143" t="s">
        <v>130</v>
      </c>
      <c r="D23" s="142" t="s">
        <v>131</v>
      </c>
      <c r="E23" s="144">
        <v>50</v>
      </c>
      <c r="F23" s="145"/>
    </row>
    <row r="24" s="117" customFormat="1" ht="15" customHeight="1" spans="2:6">
      <c r="B24" s="142">
        <f>COUNT(B$4:B23)+1</f>
        <v>16</v>
      </c>
      <c r="C24" s="143" t="s">
        <v>132</v>
      </c>
      <c r="D24" s="142" t="s">
        <v>131</v>
      </c>
      <c r="E24" s="144">
        <v>90</v>
      </c>
      <c r="F24" s="145"/>
    </row>
    <row r="25" s="117" customFormat="1" ht="15" customHeight="1" spans="2:6">
      <c r="B25" s="142">
        <f>COUNT(B$4:B24)+1</f>
        <v>17</v>
      </c>
      <c r="C25" s="143" t="s">
        <v>133</v>
      </c>
      <c r="D25" s="142" t="s">
        <v>64</v>
      </c>
      <c r="E25" s="144">
        <v>800</v>
      </c>
      <c r="F25" s="145"/>
    </row>
    <row r="26" s="117" customFormat="1" ht="15" customHeight="1" spans="2:11">
      <c r="B26" s="142">
        <f>COUNT(B$4:B25)+1</f>
        <v>18</v>
      </c>
      <c r="C26" s="143" t="s">
        <v>134</v>
      </c>
      <c r="D26" s="142" t="s">
        <v>64</v>
      </c>
      <c r="E26" s="146">
        <f>345+30</f>
        <v>375</v>
      </c>
      <c r="F26" s="145"/>
      <c r="I26" s="117">
        <f>3189</f>
        <v>3189</v>
      </c>
      <c r="K26" s="117">
        <v>1779</v>
      </c>
    </row>
    <row r="27" s="117" customFormat="1" ht="15" customHeight="1" spans="2:12">
      <c r="B27" s="142">
        <f>COUNT(B$4:B26)+1</f>
        <v>19</v>
      </c>
      <c r="C27" s="143" t="s">
        <v>135</v>
      </c>
      <c r="D27" s="142" t="s">
        <v>64</v>
      </c>
      <c r="E27" s="144">
        <v>900</v>
      </c>
      <c r="F27" s="145"/>
      <c r="I27" s="117">
        <f>16*16*6/162</f>
        <v>9.48148148148148</v>
      </c>
      <c r="K27" s="117">
        <f>144/162*6</f>
        <v>5.33333333333333</v>
      </c>
      <c r="L27" s="117">
        <f>100*6/162</f>
        <v>3.7037037037037</v>
      </c>
    </row>
    <row r="28" s="117" customFormat="1" ht="15" customHeight="1" spans="2:12">
      <c r="B28" s="142">
        <f>COUNT(B$4:B27)+1</f>
        <v>20</v>
      </c>
      <c r="C28" s="143" t="s">
        <v>136</v>
      </c>
      <c r="D28" s="142" t="s">
        <v>129</v>
      </c>
      <c r="E28" s="144">
        <f>202+25</f>
        <v>227</v>
      </c>
      <c r="F28" s="145"/>
      <c r="I28" s="117">
        <f>I26/I27</f>
        <v>336.33984375</v>
      </c>
      <c r="K28" s="117">
        <f>K26/K27</f>
        <v>333.5625</v>
      </c>
      <c r="L28" s="117">
        <f>1000/L27</f>
        <v>270</v>
      </c>
    </row>
    <row r="29" s="117" customFormat="1" ht="15" customHeight="1" spans="2:6">
      <c r="B29" s="142">
        <f>COUNT(B$4:B28)+1</f>
        <v>21</v>
      </c>
      <c r="C29" s="143" t="s">
        <v>137</v>
      </c>
      <c r="D29" s="142" t="s">
        <v>138</v>
      </c>
      <c r="E29" s="144">
        <v>3</v>
      </c>
      <c r="F29" s="145"/>
    </row>
    <row r="30" s="117" customFormat="1" ht="15" customHeight="1" spans="2:6">
      <c r="B30" s="142">
        <f>COUNT(B$4:B29)+1</f>
        <v>22</v>
      </c>
      <c r="C30" s="143" t="s">
        <v>139</v>
      </c>
      <c r="D30" s="142" t="s">
        <v>140</v>
      </c>
      <c r="E30" s="144">
        <f>945+200</f>
        <v>1145</v>
      </c>
      <c r="F30" s="145"/>
    </row>
    <row r="31" s="117" customFormat="1" ht="15" customHeight="1" spans="2:6">
      <c r="B31" s="142">
        <f>COUNT(B$4:B30)+1</f>
        <v>23</v>
      </c>
      <c r="C31" s="143" t="s">
        <v>141</v>
      </c>
      <c r="D31" s="142" t="s">
        <v>140</v>
      </c>
      <c r="E31" s="144">
        <f>2490</f>
        <v>2490</v>
      </c>
      <c r="F31" s="145"/>
    </row>
    <row r="32" s="117" customFormat="1" ht="15" customHeight="1" spans="2:6">
      <c r="B32" s="142">
        <f>COUNT(B$4:B31)+1</f>
        <v>24</v>
      </c>
      <c r="C32" s="143" t="s">
        <v>142</v>
      </c>
      <c r="D32" s="142" t="s">
        <v>140</v>
      </c>
      <c r="E32" s="147">
        <f>7465/4+200</f>
        <v>2066.25</v>
      </c>
      <c r="F32" s="145"/>
    </row>
    <row r="33" s="117" customFormat="1" ht="15" customHeight="1" spans="2:7">
      <c r="B33" s="142">
        <f>COUNT(B$4:B32)+1</f>
        <v>25</v>
      </c>
      <c r="C33" s="143" t="s">
        <v>143</v>
      </c>
      <c r="D33" s="142" t="s">
        <v>64</v>
      </c>
      <c r="E33" s="147">
        <v>150</v>
      </c>
      <c r="F33" s="145"/>
      <c r="G33" s="117">
        <f>1000/20</f>
        <v>50</v>
      </c>
    </row>
    <row r="34" s="117" customFormat="1" ht="15" customHeight="1" spans="2:6">
      <c r="B34" s="142">
        <f>COUNT(B$4:B33)+1</f>
        <v>26</v>
      </c>
      <c r="C34" s="143" t="s">
        <v>144</v>
      </c>
      <c r="D34" s="142" t="s">
        <v>140</v>
      </c>
      <c r="E34" s="147">
        <f>10950/4+200</f>
        <v>2937.5</v>
      </c>
      <c r="F34" s="145"/>
    </row>
    <row r="35" s="117" customFormat="1" ht="15" customHeight="1" spans="2:6">
      <c r="B35" s="142">
        <f>COUNT(B$4:B34)+1</f>
        <v>27</v>
      </c>
      <c r="C35" s="143" t="s">
        <v>145</v>
      </c>
      <c r="D35" s="142" t="s">
        <v>129</v>
      </c>
      <c r="E35" s="144">
        <v>450</v>
      </c>
      <c r="F35" s="145"/>
    </row>
    <row r="36" s="117" customFormat="1" ht="15" customHeight="1" spans="2:6">
      <c r="B36" s="142">
        <f>COUNT(B$4:B35)+1</f>
        <v>28</v>
      </c>
      <c r="C36" s="143" t="s">
        <v>146</v>
      </c>
      <c r="D36" s="142"/>
      <c r="E36" s="144">
        <v>8000</v>
      </c>
      <c r="F36" s="145"/>
    </row>
    <row r="37" s="117" customFormat="1" ht="15" customHeight="1" spans="2:6">
      <c r="B37" s="142">
        <f>COUNT(B$4:B36)+1</f>
        <v>29</v>
      </c>
      <c r="C37" s="148" t="s">
        <v>147</v>
      </c>
      <c r="D37" s="149" t="s">
        <v>129</v>
      </c>
      <c r="E37" s="147">
        <f>1004+200</f>
        <v>1204</v>
      </c>
      <c r="F37" s="150"/>
    </row>
    <row r="38" s="117" customFormat="1" ht="15" customHeight="1" spans="2:6">
      <c r="B38" s="142">
        <f>COUNT(B$4:B37)+1</f>
        <v>30</v>
      </c>
      <c r="C38" s="151" t="s">
        <v>148</v>
      </c>
      <c r="D38" s="152"/>
      <c r="E38" s="153">
        <v>25</v>
      </c>
      <c r="F38" s="154"/>
    </row>
    <row r="39" ht="15.6" spans="2:6">
      <c r="B39" s="155"/>
      <c r="C39" s="156" t="s">
        <v>149</v>
      </c>
      <c r="D39" s="136"/>
      <c r="E39" s="157"/>
      <c r="F39" s="155"/>
    </row>
    <row r="40" ht="15" customHeight="1" spans="2:6">
      <c r="B40" s="142">
        <f>COUNT(B$4:B39)+1</f>
        <v>31</v>
      </c>
      <c r="C40" s="158" t="s">
        <v>150</v>
      </c>
      <c r="D40" s="159" t="s">
        <v>151</v>
      </c>
      <c r="E40" s="160">
        <f t="shared" ref="E40:E43" si="0">3500+500</f>
        <v>4000</v>
      </c>
      <c r="F40" s="161"/>
    </row>
    <row r="41" ht="15" customHeight="1" spans="2:6">
      <c r="B41" s="142">
        <f>COUNT(B$4:B40)+1</f>
        <v>32</v>
      </c>
      <c r="C41" s="162" t="s">
        <v>152</v>
      </c>
      <c r="D41" s="163" t="s">
        <v>151</v>
      </c>
      <c r="E41" s="164">
        <f t="shared" si="0"/>
        <v>4000</v>
      </c>
      <c r="F41" s="165"/>
    </row>
    <row r="42" ht="15" customHeight="1" spans="2:6">
      <c r="B42" s="142">
        <f>COUNT(B$4:B41)+1</f>
        <v>33</v>
      </c>
      <c r="C42" s="162" t="s">
        <v>153</v>
      </c>
      <c r="D42" s="163" t="s">
        <v>151</v>
      </c>
      <c r="E42" s="164">
        <f t="shared" si="0"/>
        <v>4000</v>
      </c>
      <c r="F42" s="165"/>
    </row>
    <row r="43" ht="15" customHeight="1" spans="2:6">
      <c r="B43" s="142">
        <f>COUNT(B$4:B42)+1</f>
        <v>34</v>
      </c>
      <c r="C43" s="162" t="s">
        <v>154</v>
      </c>
      <c r="D43" s="163" t="s">
        <v>151</v>
      </c>
      <c r="E43" s="164">
        <f t="shared" si="0"/>
        <v>4000</v>
      </c>
      <c r="F43" s="165"/>
    </row>
    <row r="44" ht="15" customHeight="1" spans="2:6">
      <c r="B44" s="142">
        <f>COUNT(B$4:B43)+1</f>
        <v>35</v>
      </c>
      <c r="C44" s="162" t="s">
        <v>155</v>
      </c>
      <c r="D44" s="163" t="s">
        <v>151</v>
      </c>
      <c r="E44" s="164">
        <f>1800+500</f>
        <v>2300</v>
      </c>
      <c r="F44" s="165"/>
    </row>
    <row r="45" ht="15" customHeight="1" spans="2:6">
      <c r="B45" s="165"/>
      <c r="C45" s="162"/>
      <c r="D45" s="163"/>
      <c r="E45" s="164"/>
      <c r="F45" s="165"/>
    </row>
    <row r="46" ht="15" customHeight="1" spans="2:6">
      <c r="B46" s="165"/>
      <c r="C46" s="162"/>
      <c r="D46" s="163"/>
      <c r="E46" s="164"/>
      <c r="F46" s="165"/>
    </row>
    <row r="47" ht="15" customHeight="1" spans="2:6">
      <c r="B47" s="166"/>
      <c r="C47" s="167"/>
      <c r="D47" s="168"/>
      <c r="E47" s="169"/>
      <c r="F47" s="166"/>
    </row>
    <row r="48" ht="15.6" spans="2:6">
      <c r="B48" s="155"/>
      <c r="C48" s="170" t="s">
        <v>156</v>
      </c>
      <c r="D48" s="136"/>
      <c r="E48" s="157"/>
      <c r="F48" s="155"/>
    </row>
    <row r="49" ht="15" customHeight="1" spans="2:6">
      <c r="B49" s="159">
        <f>COUNT(B$4:B48)+1</f>
        <v>36</v>
      </c>
      <c r="C49" s="158" t="s">
        <v>157</v>
      </c>
      <c r="D49" s="159"/>
      <c r="E49" s="171">
        <f>4000+(370*6)</f>
        <v>6220</v>
      </c>
      <c r="F49" s="161"/>
    </row>
    <row r="50" ht="15" customHeight="1" spans="2:6">
      <c r="B50" s="163">
        <f>COUNT(B$4:B49)+1</f>
        <v>37</v>
      </c>
      <c r="C50" s="162" t="s">
        <v>158</v>
      </c>
      <c r="D50" s="163"/>
      <c r="E50" s="164">
        <f>3000+500</f>
        <v>3500</v>
      </c>
      <c r="F50" s="165"/>
    </row>
    <row r="51" ht="15" customHeight="1" spans="2:6">
      <c r="B51" s="163">
        <f>COUNT(B$4:B50)+1</f>
        <v>38</v>
      </c>
      <c r="C51" s="162" t="s">
        <v>159</v>
      </c>
      <c r="D51" s="163"/>
      <c r="E51" s="164">
        <v>4500</v>
      </c>
      <c r="F51" s="165"/>
    </row>
    <row r="52" ht="15" customHeight="1" spans="2:6">
      <c r="B52" s="168">
        <f>COUNT(B$4:B51)+1</f>
        <v>39</v>
      </c>
      <c r="C52" s="172" t="s">
        <v>160</v>
      </c>
      <c r="D52" s="168"/>
      <c r="E52" s="169">
        <v>12000</v>
      </c>
      <c r="F52" s="166"/>
    </row>
  </sheetData>
  <mergeCells count="1">
    <mergeCell ref="B2:F2"/>
  </mergeCells>
  <pageMargins left="0.751388888888889" right="0.751388888888889" top="1" bottom="1" header="0.5" footer="0.5"/>
  <pageSetup paperSize="9" scale="87" fitToHeight="0" orientation="portrait" horizontalDpi="6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5"/>
    <pageSetUpPr fitToPage="1"/>
  </sheetPr>
  <dimension ref="B1:R623"/>
  <sheetViews>
    <sheetView view="pageBreakPreview" zoomScaleNormal="100" topLeftCell="A181" workbookViewId="0">
      <selection activeCell="E15" sqref="E15"/>
    </sheetView>
  </sheetViews>
  <sheetFormatPr defaultColWidth="9.13888888888889" defaultRowHeight="13.8"/>
  <cols>
    <col min="1" max="3" width="9.13888888888889" style="1"/>
    <col min="4" max="4" width="21.4259259259259" style="1" customWidth="1"/>
    <col min="5" max="5" width="9.13888888888889" style="1"/>
    <col min="6" max="6" width="11.4259259259259" style="7"/>
    <col min="7" max="7" width="11" style="4"/>
    <col min="8" max="8" width="11.4259259259259" style="1"/>
    <col min="9" max="9" width="14.5740740740741" style="4" customWidth="1"/>
    <col min="10" max="11" width="12.8611111111111" style="1"/>
    <col min="12" max="12" width="9.57407407407407" style="1" customWidth="1"/>
    <col min="13" max="13" width="10.5740740740741" style="1" customWidth="1"/>
    <col min="14" max="15" width="7.71296296296296" style="1" customWidth="1"/>
    <col min="16" max="17" width="12.8611111111111" style="1"/>
    <col min="18" max="16384" width="9.13888888888889" style="1"/>
  </cols>
  <sheetData>
    <row r="1" spans="7:8">
      <c r="G1" s="4" t="s">
        <v>1</v>
      </c>
      <c r="H1" s="10">
        <f>Rates!E6</f>
        <v>0</v>
      </c>
    </row>
    <row r="4" spans="2:9">
      <c r="B4" s="11"/>
      <c r="C4" s="12"/>
      <c r="D4" s="13" t="s">
        <v>22</v>
      </c>
      <c r="E4" s="13"/>
      <c r="F4" s="13"/>
      <c r="G4" s="13"/>
      <c r="H4" s="13"/>
      <c r="I4" s="13"/>
    </row>
    <row r="5" spans="2:9">
      <c r="B5" s="14"/>
      <c r="C5" s="14"/>
      <c r="D5" s="14"/>
      <c r="E5" s="15"/>
      <c r="F5" s="16" t="s">
        <v>161</v>
      </c>
      <c r="G5" s="15">
        <v>1</v>
      </c>
      <c r="H5" s="16" t="s">
        <v>121</v>
      </c>
      <c r="I5" s="40"/>
    </row>
    <row r="6" spans="2:9">
      <c r="B6" s="17"/>
      <c r="C6" s="18" t="s">
        <v>162</v>
      </c>
      <c r="D6" s="18" t="s">
        <v>163</v>
      </c>
      <c r="E6" s="18" t="s">
        <v>164</v>
      </c>
      <c r="F6" s="18" t="s">
        <v>165</v>
      </c>
      <c r="G6" s="18" t="s">
        <v>166</v>
      </c>
      <c r="H6" s="18" t="s">
        <v>8</v>
      </c>
      <c r="I6" s="41" t="s">
        <v>167</v>
      </c>
    </row>
    <row r="7" spans="2:9">
      <c r="B7" s="17"/>
      <c r="C7" s="18"/>
      <c r="D7" s="19" t="s">
        <v>168</v>
      </c>
      <c r="E7" s="18"/>
      <c r="F7" s="18" t="s">
        <v>129</v>
      </c>
      <c r="G7" s="18">
        <v>2</v>
      </c>
      <c r="H7" s="20">
        <v>20000</v>
      </c>
      <c r="I7" s="42">
        <f>G7*H7</f>
        <v>40000</v>
      </c>
    </row>
    <row r="8" spans="2:9">
      <c r="B8" s="17"/>
      <c r="C8" s="18"/>
      <c r="D8" s="19" t="s">
        <v>169</v>
      </c>
      <c r="E8" s="18"/>
      <c r="F8" s="18" t="s">
        <v>170</v>
      </c>
      <c r="G8" s="18">
        <v>1</v>
      </c>
      <c r="H8" s="20">
        <v>100000</v>
      </c>
      <c r="I8" s="42">
        <f>G8*H8</f>
        <v>100000</v>
      </c>
    </row>
    <row r="9" spans="2:9">
      <c r="B9" s="17"/>
      <c r="C9" s="18"/>
      <c r="D9" s="19" t="s">
        <v>171</v>
      </c>
      <c r="E9" s="18"/>
      <c r="F9" s="18" t="s">
        <v>151</v>
      </c>
      <c r="G9" s="18">
        <v>2</v>
      </c>
      <c r="H9" s="20">
        <f>Rates!E44</f>
        <v>2300</v>
      </c>
      <c r="I9" s="42">
        <f>G9*H9</f>
        <v>4600</v>
      </c>
    </row>
    <row r="10" spans="2:9">
      <c r="B10" s="17"/>
      <c r="C10" s="18"/>
      <c r="D10" s="19" t="s">
        <v>172</v>
      </c>
      <c r="E10" s="18"/>
      <c r="F10" s="18" t="s">
        <v>151</v>
      </c>
      <c r="G10" s="18">
        <v>2</v>
      </c>
      <c r="H10" s="20">
        <f>H9</f>
        <v>2300</v>
      </c>
      <c r="I10" s="42">
        <f>G10*H10</f>
        <v>4600</v>
      </c>
    </row>
    <row r="11" spans="2:9">
      <c r="B11" s="17"/>
      <c r="C11" s="18"/>
      <c r="D11" s="19"/>
      <c r="E11" s="18"/>
      <c r="F11" s="18"/>
      <c r="G11" s="18"/>
      <c r="H11" s="20"/>
      <c r="I11" s="42"/>
    </row>
    <row r="12" spans="2:9">
      <c r="B12" s="17"/>
      <c r="C12" s="21"/>
      <c r="D12" s="21"/>
      <c r="E12" s="22" t="s">
        <v>173</v>
      </c>
      <c r="F12" s="23">
        <f ca="1">$F$54</f>
        <v>1</v>
      </c>
      <c r="G12" s="23" t="s">
        <v>170</v>
      </c>
      <c r="H12" s="24"/>
      <c r="I12" s="42">
        <f>SUM(I7:I11)</f>
        <v>149200</v>
      </c>
    </row>
    <row r="13" spans="2:9">
      <c r="B13" s="17"/>
      <c r="C13" s="21"/>
      <c r="D13" s="21"/>
      <c r="E13" s="22" t="s">
        <v>174</v>
      </c>
      <c r="F13" s="23" t="s">
        <v>170</v>
      </c>
      <c r="G13" s="23"/>
      <c r="H13" s="24">
        <f>H1</f>
        <v>0</v>
      </c>
      <c r="I13" s="42">
        <f>I12*H13</f>
        <v>0</v>
      </c>
    </row>
    <row r="14" spans="2:9">
      <c r="B14" s="25"/>
      <c r="C14" s="26"/>
      <c r="D14" s="26"/>
      <c r="E14" s="27"/>
      <c r="F14" s="28"/>
      <c r="G14" s="28"/>
      <c r="H14" s="29"/>
      <c r="I14" s="43">
        <f>I12+I13</f>
        <v>149200</v>
      </c>
    </row>
    <row r="17" spans="2:9">
      <c r="B17" s="11"/>
      <c r="C17" s="12"/>
      <c r="D17" s="13" t="s">
        <v>27</v>
      </c>
      <c r="E17" s="13"/>
      <c r="F17" s="13"/>
      <c r="G17" s="13"/>
      <c r="H17" s="13"/>
      <c r="I17" s="13"/>
    </row>
    <row r="18" spans="2:9">
      <c r="B18" s="14"/>
      <c r="C18" s="14"/>
      <c r="D18" s="14"/>
      <c r="E18" s="15"/>
      <c r="F18" s="16" t="s">
        <v>161</v>
      </c>
      <c r="G18" s="15">
        <v>1</v>
      </c>
      <c r="H18" s="16">
        <v>35</v>
      </c>
      <c r="I18" s="40"/>
    </row>
    <row r="19" spans="2:9">
      <c r="B19" s="17"/>
      <c r="C19" s="18" t="s">
        <v>162</v>
      </c>
      <c r="D19" s="18" t="s">
        <v>163</v>
      </c>
      <c r="E19" s="18" t="s">
        <v>164</v>
      </c>
      <c r="F19" s="18" t="s">
        <v>165</v>
      </c>
      <c r="G19" s="18" t="s">
        <v>166</v>
      </c>
      <c r="H19" s="18" t="s">
        <v>8</v>
      </c>
      <c r="I19" s="41" t="s">
        <v>167</v>
      </c>
    </row>
    <row r="20" spans="2:9">
      <c r="B20" s="17"/>
      <c r="C20" s="18"/>
      <c r="D20" s="30" t="s">
        <v>175</v>
      </c>
      <c r="E20" s="18"/>
      <c r="F20" s="18"/>
      <c r="G20" s="18"/>
      <c r="H20" s="18"/>
      <c r="I20" s="41"/>
    </row>
    <row r="21" spans="2:9">
      <c r="B21" s="17"/>
      <c r="C21" s="18"/>
      <c r="D21" s="19" t="s">
        <v>176</v>
      </c>
      <c r="E21" s="18"/>
      <c r="F21" s="18" t="s">
        <v>177</v>
      </c>
      <c r="G21" s="18">
        <v>1</v>
      </c>
      <c r="H21" s="20">
        <f>Rates!E40</f>
        <v>4000</v>
      </c>
      <c r="I21" s="42">
        <f t="shared" ref="I21:I23" si="0">G21*H21</f>
        <v>4000</v>
      </c>
    </row>
    <row r="22" spans="2:9">
      <c r="B22" s="17"/>
      <c r="C22" s="18"/>
      <c r="D22" s="19" t="s">
        <v>178</v>
      </c>
      <c r="E22" s="18"/>
      <c r="F22" s="18" t="s">
        <v>177</v>
      </c>
      <c r="G22" s="18">
        <v>5</v>
      </c>
      <c r="H22" s="20">
        <f>Rates!E44</f>
        <v>2300</v>
      </c>
      <c r="I22" s="42">
        <f t="shared" si="0"/>
        <v>11500</v>
      </c>
    </row>
    <row r="23" spans="2:9">
      <c r="B23" s="17"/>
      <c r="C23" s="18"/>
      <c r="D23" s="19" t="s">
        <v>179</v>
      </c>
      <c r="E23" s="18"/>
      <c r="F23" s="18" t="s">
        <v>177</v>
      </c>
      <c r="G23" s="18"/>
      <c r="H23" s="20">
        <f>Rates!E44</f>
        <v>2300</v>
      </c>
      <c r="I23" s="42">
        <f t="shared" si="0"/>
        <v>0</v>
      </c>
    </row>
    <row r="24" spans="2:9">
      <c r="B24" s="17"/>
      <c r="C24" s="18"/>
      <c r="D24" s="19" t="s">
        <v>169</v>
      </c>
      <c r="E24" s="18"/>
      <c r="F24" s="18" t="s">
        <v>170</v>
      </c>
      <c r="G24" s="18">
        <v>1</v>
      </c>
      <c r="H24" s="20">
        <v>5000</v>
      </c>
      <c r="I24" s="42">
        <f t="shared" ref="I24:I29" si="1">G24*H24</f>
        <v>5000</v>
      </c>
    </row>
    <row r="25" spans="2:9">
      <c r="B25" s="17"/>
      <c r="C25" s="18"/>
      <c r="D25" s="30" t="s">
        <v>180</v>
      </c>
      <c r="E25" s="18"/>
      <c r="F25" s="18"/>
      <c r="G25" s="18"/>
      <c r="H25" s="20"/>
      <c r="I25" s="42"/>
    </row>
    <row r="26" spans="2:9">
      <c r="B26" s="17"/>
      <c r="C26" s="18"/>
      <c r="D26" s="18"/>
      <c r="E26" s="18"/>
      <c r="F26" s="18"/>
      <c r="G26" s="18"/>
      <c r="H26" s="20"/>
      <c r="I26" s="42"/>
    </row>
    <row r="27" spans="2:9">
      <c r="B27" s="17"/>
      <c r="C27" s="18"/>
      <c r="D27" s="19" t="s">
        <v>176</v>
      </c>
      <c r="E27" s="18"/>
      <c r="F27" s="18" t="s">
        <v>177</v>
      </c>
      <c r="G27" s="18">
        <v>2</v>
      </c>
      <c r="H27" s="20">
        <f>H21</f>
        <v>4000</v>
      </c>
      <c r="I27" s="42">
        <f t="shared" si="1"/>
        <v>8000</v>
      </c>
    </row>
    <row r="28" spans="2:9">
      <c r="B28" s="17"/>
      <c r="C28" s="18"/>
      <c r="D28" s="19" t="s">
        <v>178</v>
      </c>
      <c r="E28" s="18"/>
      <c r="F28" s="18" t="s">
        <v>177</v>
      </c>
      <c r="G28" s="18">
        <v>6</v>
      </c>
      <c r="H28" s="20">
        <f>H22</f>
        <v>2300</v>
      </c>
      <c r="I28" s="42">
        <f t="shared" si="1"/>
        <v>13800</v>
      </c>
    </row>
    <row r="29" spans="2:9">
      <c r="B29" s="17"/>
      <c r="C29" s="18"/>
      <c r="D29" s="19" t="s">
        <v>169</v>
      </c>
      <c r="E29" s="18"/>
      <c r="F29" s="18" t="s">
        <v>170</v>
      </c>
      <c r="G29" s="18">
        <v>1</v>
      </c>
      <c r="H29" s="20">
        <v>5000</v>
      </c>
      <c r="I29" s="42">
        <f t="shared" si="1"/>
        <v>5000</v>
      </c>
    </row>
    <row r="30" spans="2:9">
      <c r="B30" s="17"/>
      <c r="C30" s="18"/>
      <c r="D30" s="19"/>
      <c r="E30" s="18"/>
      <c r="F30" s="18"/>
      <c r="G30" s="18"/>
      <c r="H30" s="20"/>
      <c r="I30" s="42"/>
    </row>
    <row r="31" ht="26.4" spans="2:9">
      <c r="B31" s="17"/>
      <c r="C31" s="18"/>
      <c r="D31" s="19" t="s">
        <v>181</v>
      </c>
      <c r="E31" s="18"/>
      <c r="F31" s="18"/>
      <c r="G31" s="18"/>
      <c r="H31" s="20"/>
      <c r="I31" s="42">
        <f>(I22+I21+I27+I28)*2.5/100</f>
        <v>932.5</v>
      </c>
    </row>
    <row r="32" spans="2:9">
      <c r="B32" s="17"/>
      <c r="C32" s="21"/>
      <c r="D32" s="21"/>
      <c r="E32" s="22" t="s">
        <v>173</v>
      </c>
      <c r="F32" s="23">
        <f ca="1">$F$54</f>
        <v>1</v>
      </c>
      <c r="G32" s="23" t="str">
        <f>$G$54</f>
        <v>m3</v>
      </c>
      <c r="H32" s="24"/>
      <c r="I32" s="42">
        <f>SUM(I21:I31)</f>
        <v>48232.5</v>
      </c>
    </row>
    <row r="33" spans="2:9">
      <c r="B33" s="17"/>
      <c r="C33" s="21"/>
      <c r="D33" s="21"/>
      <c r="E33" s="22" t="s">
        <v>174</v>
      </c>
      <c r="F33" s="23" t="str">
        <f>$G$54</f>
        <v>m3</v>
      </c>
      <c r="G33" s="23"/>
      <c r="H33" s="24"/>
      <c r="I33" s="42">
        <f>I32/G18</f>
        <v>48232.5</v>
      </c>
    </row>
    <row r="34" spans="2:9">
      <c r="B34" s="31"/>
      <c r="C34" s="32"/>
      <c r="D34" s="32"/>
      <c r="E34" s="33" t="s">
        <v>182</v>
      </c>
      <c r="F34" s="34"/>
      <c r="G34" s="34"/>
      <c r="H34" s="35"/>
      <c r="I34" s="44">
        <f>I33</f>
        <v>48232.5</v>
      </c>
    </row>
    <row r="35" spans="2:13">
      <c r="B35" s="31"/>
      <c r="C35" s="32"/>
      <c r="D35" s="32"/>
      <c r="E35" s="33" t="s">
        <v>182</v>
      </c>
      <c r="F35" s="34"/>
      <c r="G35" s="34"/>
      <c r="H35" s="35" t="s">
        <v>126</v>
      </c>
      <c r="I35" s="44">
        <f>I34/H18</f>
        <v>1378.07142857143</v>
      </c>
      <c r="M35" s="45">
        <f>16*I38</f>
        <v>22049.1428571429</v>
      </c>
    </row>
    <row r="36" spans="2:9">
      <c r="B36" s="31"/>
      <c r="C36" s="32"/>
      <c r="D36" s="32"/>
      <c r="E36" s="33"/>
      <c r="F36" s="34"/>
      <c r="G36" s="34"/>
      <c r="H36" s="35"/>
      <c r="I36" s="44"/>
    </row>
    <row r="37" spans="5:9">
      <c r="E37" s="33" t="s">
        <v>1</v>
      </c>
      <c r="F37" s="34"/>
      <c r="G37" s="36"/>
      <c r="H37" s="37">
        <f>H1</f>
        <v>0</v>
      </c>
      <c r="I37" s="46">
        <f>I35*H37</f>
        <v>0</v>
      </c>
    </row>
    <row r="38" spans="5:9">
      <c r="E38" s="33" t="s">
        <v>183</v>
      </c>
      <c r="F38" s="34"/>
      <c r="G38" s="36"/>
      <c r="H38" s="35"/>
      <c r="I38" s="46">
        <f>I35+I37</f>
        <v>1378.07142857143</v>
      </c>
    </row>
    <row r="39" spans="6:9">
      <c r="F39" s="1"/>
      <c r="G39" s="1"/>
      <c r="I39" s="1"/>
    </row>
    <row r="41" ht="29" customHeight="1" spans="2:9">
      <c r="B41" s="11"/>
      <c r="C41" s="12"/>
      <c r="D41" s="13" t="s">
        <v>184</v>
      </c>
      <c r="E41" s="13"/>
      <c r="F41" s="13"/>
      <c r="G41" s="13"/>
      <c r="H41" s="13"/>
      <c r="I41" s="13"/>
    </row>
    <row r="42" spans="2:9">
      <c r="B42" s="14"/>
      <c r="C42" s="14"/>
      <c r="D42" s="14"/>
      <c r="E42" s="15"/>
      <c r="F42" s="16" t="s">
        <v>161</v>
      </c>
      <c r="G42" s="15">
        <f>8.5</f>
        <v>8.5</v>
      </c>
      <c r="H42" s="16" t="s">
        <v>112</v>
      </c>
      <c r="I42" s="40"/>
    </row>
    <row r="43" spans="2:9">
      <c r="B43" s="14"/>
      <c r="C43" s="14"/>
      <c r="D43" s="14"/>
      <c r="E43" s="15"/>
      <c r="F43" s="16"/>
      <c r="G43" s="15"/>
      <c r="H43" s="16"/>
      <c r="I43" s="40"/>
    </row>
    <row r="44" spans="2:9">
      <c r="B44" s="17"/>
      <c r="C44" s="18" t="s">
        <v>162</v>
      </c>
      <c r="D44" s="18" t="s">
        <v>163</v>
      </c>
      <c r="E44" s="18" t="s">
        <v>164</v>
      </c>
      <c r="F44" s="18" t="s">
        <v>165</v>
      </c>
      <c r="G44" s="18" t="s">
        <v>166</v>
      </c>
      <c r="H44" s="18" t="s">
        <v>8</v>
      </c>
      <c r="I44" s="41" t="s">
        <v>167</v>
      </c>
    </row>
    <row r="45" spans="2:9">
      <c r="B45" s="17"/>
      <c r="C45" s="18"/>
      <c r="D45" s="38"/>
      <c r="E45" s="18"/>
      <c r="F45" s="18"/>
      <c r="G45" s="18"/>
      <c r="H45" s="39"/>
      <c r="I45" s="41"/>
    </row>
    <row r="46" spans="2:9">
      <c r="B46" s="17"/>
      <c r="C46" s="18"/>
      <c r="D46" s="19"/>
      <c r="E46" s="18"/>
      <c r="F46" s="18"/>
      <c r="G46" s="18"/>
      <c r="H46" s="20"/>
      <c r="I46" s="42">
        <f t="shared" ref="I46:I51" si="2">G46*H46</f>
        <v>0</v>
      </c>
    </row>
    <row r="47" spans="2:9">
      <c r="B47" s="17"/>
      <c r="C47" s="18"/>
      <c r="D47" s="19" t="s">
        <v>185</v>
      </c>
      <c r="E47" s="18"/>
      <c r="F47" s="18" t="s">
        <v>151</v>
      </c>
      <c r="G47" s="18">
        <f>3*3</f>
        <v>9</v>
      </c>
      <c r="H47" s="20">
        <f>Rates!E44</f>
        <v>2300</v>
      </c>
      <c r="I47" s="42">
        <f t="shared" si="2"/>
        <v>20700</v>
      </c>
    </row>
    <row r="48" spans="2:9">
      <c r="B48" s="17"/>
      <c r="C48" s="18"/>
      <c r="D48" s="19" t="s">
        <v>186</v>
      </c>
      <c r="E48" s="18"/>
      <c r="F48" s="18" t="s">
        <v>151</v>
      </c>
      <c r="G48" s="18">
        <v>2</v>
      </c>
      <c r="H48" s="20">
        <v>8000</v>
      </c>
      <c r="I48" s="42">
        <f t="shared" si="2"/>
        <v>16000</v>
      </c>
    </row>
    <row r="49" spans="2:9">
      <c r="B49" s="17"/>
      <c r="C49" s="18"/>
      <c r="D49" s="19" t="s">
        <v>187</v>
      </c>
      <c r="E49" s="18"/>
      <c r="F49" s="18" t="s">
        <v>151</v>
      </c>
      <c r="G49" s="18">
        <v>2</v>
      </c>
      <c r="H49" s="20">
        <f>5000</f>
        <v>5000</v>
      </c>
      <c r="I49" s="42">
        <f t="shared" si="2"/>
        <v>10000</v>
      </c>
    </row>
    <row r="50" spans="2:9">
      <c r="B50" s="17"/>
      <c r="C50" s="18"/>
      <c r="D50" s="19" t="s">
        <v>188</v>
      </c>
      <c r="E50" s="18"/>
      <c r="F50" s="18" t="s">
        <v>151</v>
      </c>
      <c r="G50" s="18">
        <v>2</v>
      </c>
      <c r="H50" s="20">
        <v>1000</v>
      </c>
      <c r="I50" s="42">
        <f t="shared" si="2"/>
        <v>2000</v>
      </c>
    </row>
    <row r="51" spans="2:9">
      <c r="B51" s="17"/>
      <c r="C51" s="18"/>
      <c r="D51" s="19" t="s">
        <v>189</v>
      </c>
      <c r="E51" s="18"/>
      <c r="F51" s="18" t="s">
        <v>151</v>
      </c>
      <c r="G51" s="18">
        <f>1</f>
        <v>1</v>
      </c>
      <c r="H51" s="20">
        <f>Rates!E52</f>
        <v>12000</v>
      </c>
      <c r="I51" s="42">
        <f t="shared" si="2"/>
        <v>12000</v>
      </c>
    </row>
    <row r="52" spans="2:9">
      <c r="B52" s="17"/>
      <c r="C52" s="18"/>
      <c r="D52" s="19"/>
      <c r="E52" s="18"/>
      <c r="F52" s="18"/>
      <c r="G52" s="18"/>
      <c r="H52" s="20"/>
      <c r="I52" s="42"/>
    </row>
    <row r="53" ht="26.4" spans="2:9">
      <c r="B53" s="17"/>
      <c r="C53" s="18"/>
      <c r="D53" s="19" t="s">
        <v>181</v>
      </c>
      <c r="E53" s="18"/>
      <c r="F53" s="18"/>
      <c r="G53" s="18"/>
      <c r="H53" s="20"/>
      <c r="I53" s="42">
        <f>(I46+I47)*2.5/100</f>
        <v>517.5</v>
      </c>
    </row>
    <row r="54" spans="2:9">
      <c r="B54" s="17"/>
      <c r="C54" s="21"/>
      <c r="D54" s="21"/>
      <c r="E54" s="22" t="s">
        <v>173</v>
      </c>
      <c r="F54" s="23">
        <f ca="1">$F$54</f>
        <v>1</v>
      </c>
      <c r="G54" s="23" t="s">
        <v>112</v>
      </c>
      <c r="H54" s="24"/>
      <c r="I54" s="42">
        <f>SUM(I45:I53)</f>
        <v>61217.5</v>
      </c>
    </row>
    <row r="55" spans="2:9">
      <c r="B55" s="17"/>
      <c r="C55" s="21"/>
      <c r="D55" s="21"/>
      <c r="E55" s="22" t="s">
        <v>174</v>
      </c>
      <c r="F55" s="23" t="str">
        <f>$G$54</f>
        <v>m3</v>
      </c>
      <c r="G55" s="23"/>
      <c r="H55" s="24"/>
      <c r="I55" s="42">
        <f>I54/G42</f>
        <v>7202.05882352941</v>
      </c>
    </row>
    <row r="56" spans="2:9">
      <c r="B56" s="31"/>
      <c r="C56" s="32"/>
      <c r="D56" s="32"/>
      <c r="E56" s="33" t="s">
        <v>182</v>
      </c>
      <c r="F56" s="34"/>
      <c r="G56" s="34"/>
      <c r="H56" s="35" t="s">
        <v>190</v>
      </c>
      <c r="I56" s="44">
        <f>I55</f>
        <v>7202.05882352941</v>
      </c>
    </row>
    <row r="57" ht="14.4" spans="2:11">
      <c r="B57" s="31"/>
      <c r="C57" s="32"/>
      <c r="D57" s="32"/>
      <c r="E57" s="33" t="s">
        <v>182</v>
      </c>
      <c r="F57" s="34"/>
      <c r="G57" s="34"/>
      <c r="H57" s="35" t="s">
        <v>191</v>
      </c>
      <c r="I57" s="44">
        <f>I56</f>
        <v>7202.05882352941</v>
      </c>
      <c r="K57" s="45">
        <f>I56/2.83</f>
        <v>2544.89711078778</v>
      </c>
    </row>
    <row r="58" spans="5:9">
      <c r="E58" s="33" t="s">
        <v>1</v>
      </c>
      <c r="F58" s="34"/>
      <c r="G58" s="36"/>
      <c r="H58" s="37">
        <f>H1</f>
        <v>0</v>
      </c>
      <c r="I58" s="46">
        <f>I57*H58</f>
        <v>0</v>
      </c>
    </row>
    <row r="59" spans="5:9">
      <c r="E59" s="33" t="s">
        <v>183</v>
      </c>
      <c r="F59" s="34"/>
      <c r="G59" s="36"/>
      <c r="H59" s="35"/>
      <c r="I59" s="46">
        <f>I57+I58</f>
        <v>7202.05882352941</v>
      </c>
    </row>
    <row r="64" ht="30" customHeight="1" spans="2:9">
      <c r="B64" s="11"/>
      <c r="C64" s="12"/>
      <c r="D64" s="13" t="s">
        <v>192</v>
      </c>
      <c r="E64" s="13"/>
      <c r="F64" s="13"/>
      <c r="G64" s="13"/>
      <c r="H64" s="13"/>
      <c r="I64" s="13"/>
    </row>
    <row r="65" spans="2:9">
      <c r="B65" s="14"/>
      <c r="C65" s="14"/>
      <c r="D65" s="14"/>
      <c r="E65" s="15"/>
      <c r="F65" s="16" t="s">
        <v>161</v>
      </c>
      <c r="G65" s="15">
        <v>2.25</v>
      </c>
      <c r="H65" s="16" t="s">
        <v>112</v>
      </c>
      <c r="I65" s="40"/>
    </row>
    <row r="66" spans="2:9">
      <c r="B66" s="14"/>
      <c r="C66" s="14"/>
      <c r="D66" s="14"/>
      <c r="E66" s="15"/>
      <c r="F66" s="16"/>
      <c r="G66" s="15"/>
      <c r="H66" s="16"/>
      <c r="I66" s="40"/>
    </row>
    <row r="67" spans="2:9">
      <c r="B67" s="17"/>
      <c r="C67" s="18" t="s">
        <v>162</v>
      </c>
      <c r="D67" s="18" t="s">
        <v>163</v>
      </c>
      <c r="E67" s="18" t="s">
        <v>164</v>
      </c>
      <c r="F67" s="18" t="s">
        <v>165</v>
      </c>
      <c r="G67" s="18" t="s">
        <v>166</v>
      </c>
      <c r="H67" s="18" t="s">
        <v>8</v>
      </c>
      <c r="I67" s="41" t="s">
        <v>167</v>
      </c>
    </row>
    <row r="68" spans="2:9">
      <c r="B68" s="17"/>
      <c r="C68" s="18"/>
      <c r="D68" s="38" t="s">
        <v>124</v>
      </c>
      <c r="E68" s="18"/>
      <c r="F68" s="18" t="s">
        <v>193</v>
      </c>
      <c r="G68" s="47">
        <f>2.25*1.42*1.1/2.83</f>
        <v>1.24187279151943</v>
      </c>
      <c r="H68" s="39">
        <f>Rates!E19</f>
        <v>17000</v>
      </c>
      <c r="I68" s="42">
        <f>G68*H68</f>
        <v>21111.8374558304</v>
      </c>
    </row>
    <row r="69" spans="2:9">
      <c r="B69" s="17"/>
      <c r="C69" s="18"/>
      <c r="D69" s="19" t="s">
        <v>178</v>
      </c>
      <c r="E69" s="18"/>
      <c r="F69" s="18" t="s">
        <v>151</v>
      </c>
      <c r="G69" s="48"/>
      <c r="H69" s="20">
        <f>Rates!E40</f>
        <v>4000</v>
      </c>
      <c r="I69" s="42">
        <f>G69*H69</f>
        <v>0</v>
      </c>
    </row>
    <row r="70" spans="2:9">
      <c r="B70" s="17"/>
      <c r="C70" s="18"/>
      <c r="D70" s="19" t="s">
        <v>194</v>
      </c>
      <c r="E70" s="18"/>
      <c r="F70" s="18" t="s">
        <v>151</v>
      </c>
      <c r="G70" s="48">
        <v>4</v>
      </c>
      <c r="H70" s="20">
        <f>Rates!E44</f>
        <v>2300</v>
      </c>
      <c r="I70" s="42">
        <f>G70*H70</f>
        <v>9200</v>
      </c>
    </row>
    <row r="71" spans="2:9">
      <c r="B71" s="17"/>
      <c r="C71" s="18"/>
      <c r="D71" s="19" t="s">
        <v>195</v>
      </c>
      <c r="E71" s="18"/>
      <c r="F71" s="18" t="s">
        <v>151</v>
      </c>
      <c r="G71" s="48">
        <v>2</v>
      </c>
      <c r="H71" s="20">
        <f>Rates!E49</f>
        <v>6220</v>
      </c>
      <c r="I71" s="42">
        <f>G71*H71</f>
        <v>12440</v>
      </c>
    </row>
    <row r="72" spans="2:9">
      <c r="B72" s="17"/>
      <c r="C72" s="18"/>
      <c r="D72" s="19"/>
      <c r="E72" s="18"/>
      <c r="F72" s="18"/>
      <c r="G72" s="18"/>
      <c r="H72" s="20"/>
      <c r="I72" s="42"/>
    </row>
    <row r="73" spans="2:9">
      <c r="B73" s="17"/>
      <c r="C73" s="18"/>
      <c r="D73" s="19"/>
      <c r="E73" s="18"/>
      <c r="F73" s="18"/>
      <c r="G73" s="18"/>
      <c r="H73" s="20"/>
      <c r="I73" s="42"/>
    </row>
    <row r="74" spans="2:9">
      <c r="B74" s="17"/>
      <c r="C74" s="18"/>
      <c r="D74" s="19"/>
      <c r="E74" s="18"/>
      <c r="F74" s="18"/>
      <c r="G74" s="18"/>
      <c r="H74" s="20"/>
      <c r="I74" s="42"/>
    </row>
    <row r="75" ht="26.4" spans="2:9">
      <c r="B75" s="17"/>
      <c r="C75" s="18"/>
      <c r="D75" s="19" t="s">
        <v>181</v>
      </c>
      <c r="E75" s="18"/>
      <c r="F75" s="18"/>
      <c r="G75" s="18"/>
      <c r="H75" s="20"/>
      <c r="I75" s="42">
        <f>(I69+I70)*2.5/100</f>
        <v>230</v>
      </c>
    </row>
    <row r="76" spans="2:13">
      <c r="B76" s="17"/>
      <c r="C76" s="21"/>
      <c r="D76" s="21"/>
      <c r="E76" s="22" t="s">
        <v>173</v>
      </c>
      <c r="F76" s="23">
        <f ca="1">$F$54</f>
        <v>1</v>
      </c>
      <c r="G76" s="23" t="s">
        <v>112</v>
      </c>
      <c r="H76" s="24"/>
      <c r="I76" s="42">
        <f>SUM(I68:I75)</f>
        <v>42981.8374558304</v>
      </c>
      <c r="M76" s="1">
        <f>1/0.3</f>
        <v>3.33333333333333</v>
      </c>
    </row>
    <row r="77" spans="2:9">
      <c r="B77" s="17"/>
      <c r="C77" s="21"/>
      <c r="D77" s="21"/>
      <c r="E77" s="22" t="s">
        <v>174</v>
      </c>
      <c r="F77" s="23" t="str">
        <f>$G$54</f>
        <v>m3</v>
      </c>
      <c r="G77" s="23"/>
      <c r="H77" s="24"/>
      <c r="I77" s="42">
        <f>I76/G65</f>
        <v>19103.038869258</v>
      </c>
    </row>
    <row r="78" spans="2:9">
      <c r="B78" s="31"/>
      <c r="C78" s="32"/>
      <c r="D78" s="32"/>
      <c r="E78" s="33" t="s">
        <v>182</v>
      </c>
      <c r="F78" s="34"/>
      <c r="G78" s="34"/>
      <c r="H78" s="35" t="s">
        <v>190</v>
      </c>
      <c r="I78" s="44">
        <f>I77</f>
        <v>19103.038869258</v>
      </c>
    </row>
    <row r="79" ht="14.4" spans="2:9">
      <c r="B79" s="31"/>
      <c r="C79" s="32"/>
      <c r="D79" s="32"/>
      <c r="E79" s="33" t="s">
        <v>182</v>
      </c>
      <c r="F79" s="34"/>
      <c r="G79" s="34"/>
      <c r="H79" s="35" t="s">
        <v>191</v>
      </c>
      <c r="I79" s="44">
        <f>I78</f>
        <v>19103.038869258</v>
      </c>
    </row>
    <row r="80" spans="5:9">
      <c r="E80" s="33" t="s">
        <v>1</v>
      </c>
      <c r="F80" s="34"/>
      <c r="G80" s="36"/>
      <c r="H80" s="37">
        <f>H1</f>
        <v>0</v>
      </c>
      <c r="I80" s="46">
        <f>I79*H80</f>
        <v>0</v>
      </c>
    </row>
    <row r="81" spans="5:9">
      <c r="E81" s="33" t="s">
        <v>183</v>
      </c>
      <c r="F81" s="34"/>
      <c r="G81" s="36"/>
      <c r="H81" s="35"/>
      <c r="I81" s="46">
        <f>I79+I80</f>
        <v>19103.038869258</v>
      </c>
    </row>
    <row r="84" spans="2:9">
      <c r="B84" s="11"/>
      <c r="C84" s="12"/>
      <c r="D84" s="13" t="s">
        <v>196</v>
      </c>
      <c r="E84" s="13"/>
      <c r="F84" s="13"/>
      <c r="G84" s="13"/>
      <c r="H84" s="13"/>
      <c r="I84" s="13"/>
    </row>
    <row r="85" spans="2:9">
      <c r="B85" s="14"/>
      <c r="C85" s="14"/>
      <c r="D85" s="14"/>
      <c r="E85" s="15"/>
      <c r="F85" s="16" t="s">
        <v>161</v>
      </c>
      <c r="G85" s="15">
        <v>2</v>
      </c>
      <c r="H85" s="16" t="s">
        <v>112</v>
      </c>
      <c r="I85" s="40"/>
    </row>
    <row r="86" spans="2:9">
      <c r="B86" s="14"/>
      <c r="C86" s="14"/>
      <c r="D86" s="14"/>
      <c r="E86" s="15"/>
      <c r="F86" s="16"/>
      <c r="G86" s="15"/>
      <c r="H86" s="16"/>
      <c r="I86" s="40"/>
    </row>
    <row r="87" spans="2:9">
      <c r="B87" s="17"/>
      <c r="C87" s="18" t="s">
        <v>162</v>
      </c>
      <c r="D87" s="18" t="s">
        <v>163</v>
      </c>
      <c r="E87" s="18" t="s">
        <v>164</v>
      </c>
      <c r="F87" s="18" t="s">
        <v>165</v>
      </c>
      <c r="G87" s="18" t="s">
        <v>166</v>
      </c>
      <c r="H87" s="18" t="s">
        <v>8</v>
      </c>
      <c r="I87" s="41" t="s">
        <v>167</v>
      </c>
    </row>
    <row r="88" spans="2:9">
      <c r="B88" s="17"/>
      <c r="C88" s="18"/>
      <c r="D88" s="38" t="s">
        <v>146</v>
      </c>
      <c r="E88" s="18"/>
      <c r="F88" s="18" t="s">
        <v>193</v>
      </c>
      <c r="G88" s="47">
        <f>2*1.35*1.05/2.83</f>
        <v>1.0017667844523</v>
      </c>
      <c r="H88" s="39">
        <f>Rates!E36</f>
        <v>8000</v>
      </c>
      <c r="I88" s="42">
        <f t="shared" ref="I88:I91" si="3">G88*H88</f>
        <v>8014.13427561837</v>
      </c>
    </row>
    <row r="89" spans="2:9">
      <c r="B89" s="17"/>
      <c r="C89" s="18"/>
      <c r="D89" s="19" t="s">
        <v>178</v>
      </c>
      <c r="E89" s="18"/>
      <c r="F89" s="18" t="s">
        <v>151</v>
      </c>
      <c r="G89" s="48"/>
      <c r="H89" s="20">
        <f>Rates!E40</f>
        <v>4000</v>
      </c>
      <c r="I89" s="42">
        <f t="shared" si="3"/>
        <v>0</v>
      </c>
    </row>
    <row r="90" spans="2:9">
      <c r="B90" s="17"/>
      <c r="C90" s="18"/>
      <c r="D90" s="19" t="s">
        <v>194</v>
      </c>
      <c r="E90" s="18"/>
      <c r="F90" s="18" t="s">
        <v>151</v>
      </c>
      <c r="G90" s="48">
        <f>2*0.5</f>
        <v>1</v>
      </c>
      <c r="H90" s="20">
        <f>Rates!E44</f>
        <v>2300</v>
      </c>
      <c r="I90" s="42">
        <f t="shared" si="3"/>
        <v>2300</v>
      </c>
    </row>
    <row r="91" spans="2:9">
      <c r="B91" s="17"/>
      <c r="C91" s="18"/>
      <c r="D91" s="19" t="s">
        <v>195</v>
      </c>
      <c r="E91" s="18"/>
      <c r="F91" s="18" t="s">
        <v>151</v>
      </c>
      <c r="G91" s="48">
        <v>0.5</v>
      </c>
      <c r="H91" s="20">
        <f>Rates!E49</f>
        <v>6220</v>
      </c>
      <c r="I91" s="42">
        <f t="shared" si="3"/>
        <v>3110</v>
      </c>
    </row>
    <row r="92" spans="2:9">
      <c r="B92" s="17"/>
      <c r="C92" s="18"/>
      <c r="D92" s="19"/>
      <c r="E92" s="18"/>
      <c r="F92" s="18"/>
      <c r="G92" s="18"/>
      <c r="H92" s="20"/>
      <c r="I92" s="42"/>
    </row>
    <row r="93" spans="2:9">
      <c r="B93" s="17"/>
      <c r="C93" s="18"/>
      <c r="D93" s="19"/>
      <c r="E93" s="18"/>
      <c r="F93" s="18"/>
      <c r="G93" s="18"/>
      <c r="H93" s="20"/>
      <c r="I93" s="42"/>
    </row>
    <row r="94" spans="2:9">
      <c r="B94" s="17"/>
      <c r="C94" s="18"/>
      <c r="D94" s="19"/>
      <c r="E94" s="18"/>
      <c r="F94" s="18"/>
      <c r="G94" s="18"/>
      <c r="H94" s="20"/>
      <c r="I94" s="42"/>
    </row>
    <row r="95" ht="26.4" spans="2:9">
      <c r="B95" s="17"/>
      <c r="C95" s="18"/>
      <c r="D95" s="19" t="s">
        <v>181</v>
      </c>
      <c r="E95" s="18"/>
      <c r="F95" s="18"/>
      <c r="G95" s="18"/>
      <c r="H95" s="20"/>
      <c r="I95" s="42">
        <f>(I89+I90)*2.5/100</f>
        <v>57.5</v>
      </c>
    </row>
    <row r="96" spans="2:9">
      <c r="B96" s="17"/>
      <c r="C96" s="21"/>
      <c r="D96" s="21"/>
      <c r="E96" s="22" t="s">
        <v>173</v>
      </c>
      <c r="F96" s="23">
        <f ca="1">$F$54</f>
        <v>1</v>
      </c>
      <c r="G96" s="23" t="s">
        <v>112</v>
      </c>
      <c r="H96" s="24"/>
      <c r="I96" s="42">
        <f>SUM(I88:I95)</f>
        <v>13481.6342756184</v>
      </c>
    </row>
    <row r="97" spans="2:9">
      <c r="B97" s="17"/>
      <c r="C97" s="21"/>
      <c r="D97" s="21"/>
      <c r="E97" s="22" t="s">
        <v>174</v>
      </c>
      <c r="F97" s="23" t="str">
        <f>$G$54</f>
        <v>m3</v>
      </c>
      <c r="G97" s="23"/>
      <c r="H97" s="24"/>
      <c r="I97" s="42">
        <f>I96/G85</f>
        <v>6740.81713780919</v>
      </c>
    </row>
    <row r="98" spans="2:9">
      <c r="B98" s="31"/>
      <c r="C98" s="32"/>
      <c r="D98" s="32"/>
      <c r="E98" s="33" t="s">
        <v>182</v>
      </c>
      <c r="F98" s="34"/>
      <c r="G98" s="34"/>
      <c r="H98" s="35" t="s">
        <v>190</v>
      </c>
      <c r="I98" s="44">
        <f>I97</f>
        <v>6740.81713780919</v>
      </c>
    </row>
    <row r="99" ht="14.4" spans="2:9">
      <c r="B99" s="31"/>
      <c r="C99" s="32"/>
      <c r="D99" s="32"/>
      <c r="E99" s="33" t="s">
        <v>182</v>
      </c>
      <c r="F99" s="34"/>
      <c r="G99" s="34"/>
      <c r="H99" s="35" t="s">
        <v>191</v>
      </c>
      <c r="I99" s="44">
        <f>I98</f>
        <v>6740.81713780919</v>
      </c>
    </row>
    <row r="100" spans="5:9">
      <c r="E100" s="33" t="s">
        <v>1</v>
      </c>
      <c r="F100" s="34"/>
      <c r="G100" s="36"/>
      <c r="H100" s="37">
        <f>H1</f>
        <v>0</v>
      </c>
      <c r="I100" s="46">
        <f>I99*H100</f>
        <v>0</v>
      </c>
    </row>
    <row r="101" spans="5:9">
      <c r="E101" s="33" t="s">
        <v>183</v>
      </c>
      <c r="F101" s="34"/>
      <c r="G101" s="36"/>
      <c r="H101" s="35"/>
      <c r="I101" s="46">
        <f>I99+I100</f>
        <v>6740.81713780919</v>
      </c>
    </row>
    <row r="106" spans="2:9">
      <c r="B106" s="49"/>
      <c r="C106" s="49"/>
      <c r="D106" s="13" t="s">
        <v>197</v>
      </c>
      <c r="E106" s="13"/>
      <c r="F106" s="13"/>
      <c r="G106" s="50"/>
      <c r="H106" s="13"/>
      <c r="I106" s="13"/>
    </row>
    <row r="107" spans="2:9">
      <c r="B107" s="14"/>
      <c r="C107" s="14"/>
      <c r="D107" s="14"/>
      <c r="E107" s="15"/>
      <c r="F107" s="16" t="s">
        <v>161</v>
      </c>
      <c r="G107" s="51">
        <v>1</v>
      </c>
      <c r="H107" s="16" t="s">
        <v>121</v>
      </c>
      <c r="I107" s="56"/>
    </row>
    <row r="108" spans="2:9">
      <c r="B108" s="17"/>
      <c r="C108" s="18" t="s">
        <v>198</v>
      </c>
      <c r="D108" s="18" t="s">
        <v>163</v>
      </c>
      <c r="E108" s="18" t="s">
        <v>164</v>
      </c>
      <c r="F108" s="18" t="s">
        <v>165</v>
      </c>
      <c r="G108" s="52" t="s">
        <v>166</v>
      </c>
      <c r="H108" s="18" t="s">
        <v>8</v>
      </c>
      <c r="I108" s="52" t="s">
        <v>167</v>
      </c>
    </row>
    <row r="109" ht="26.4" spans="2:9">
      <c r="B109" s="17"/>
      <c r="C109" s="18"/>
      <c r="D109" s="19" t="s">
        <v>199</v>
      </c>
      <c r="E109" s="18"/>
      <c r="F109" s="18" t="s">
        <v>112</v>
      </c>
      <c r="G109" s="52">
        <f>2.83*1.05</f>
        <v>2.9715</v>
      </c>
      <c r="H109" s="20">
        <f>Rates!E9</f>
        <v>24000</v>
      </c>
      <c r="I109" s="42">
        <f t="shared" ref="I109:I111" si="4">H109*G109</f>
        <v>71316</v>
      </c>
    </row>
    <row r="110" ht="26.4" spans="2:9">
      <c r="B110" s="17"/>
      <c r="C110" s="18"/>
      <c r="D110" s="19" t="s">
        <v>200</v>
      </c>
      <c r="E110" s="18"/>
      <c r="F110" s="18" t="s">
        <v>112</v>
      </c>
      <c r="G110" s="52">
        <f>G109</f>
        <v>2.9715</v>
      </c>
      <c r="H110" s="20">
        <f>Rates!E10</f>
        <v>0</v>
      </c>
      <c r="I110" s="42">
        <f t="shared" si="4"/>
        <v>0</v>
      </c>
    </row>
    <row r="111" spans="2:9">
      <c r="B111" s="17"/>
      <c r="C111" s="18"/>
      <c r="D111" s="19" t="s">
        <v>201</v>
      </c>
      <c r="E111" s="18"/>
      <c r="F111" s="18" t="s">
        <v>112</v>
      </c>
      <c r="G111" s="52">
        <f>G109</f>
        <v>2.9715</v>
      </c>
      <c r="H111" s="20">
        <f>Rates!E11</f>
        <v>0</v>
      </c>
      <c r="I111" s="42">
        <f t="shared" si="4"/>
        <v>0</v>
      </c>
    </row>
    <row r="112" spans="2:9">
      <c r="B112" s="17"/>
      <c r="C112" s="18"/>
      <c r="D112" s="19"/>
      <c r="E112" s="18"/>
      <c r="F112" s="18"/>
      <c r="G112" s="52"/>
      <c r="H112" s="20"/>
      <c r="I112" s="42"/>
    </row>
    <row r="113" spans="2:11">
      <c r="B113" s="17"/>
      <c r="C113" s="18"/>
      <c r="D113" s="19" t="s">
        <v>176</v>
      </c>
      <c r="E113" s="18"/>
      <c r="F113" s="18" t="s">
        <v>177</v>
      </c>
      <c r="G113" s="52">
        <v>0.5</v>
      </c>
      <c r="H113" s="20">
        <f>Rates!E41</f>
        <v>4000</v>
      </c>
      <c r="I113" s="42">
        <f>H113*G113</f>
        <v>2000</v>
      </c>
      <c r="K113" s="1">
        <f>8600/2.83</f>
        <v>3038.86925795053</v>
      </c>
    </row>
    <row r="114" spans="2:12">
      <c r="B114" s="17"/>
      <c r="C114" s="18"/>
      <c r="D114" s="19" t="s">
        <v>178</v>
      </c>
      <c r="E114" s="18"/>
      <c r="F114" s="18" t="s">
        <v>177</v>
      </c>
      <c r="G114" s="52">
        <v>0.5</v>
      </c>
      <c r="H114" s="20">
        <f>Rates!E44</f>
        <v>2300</v>
      </c>
      <c r="I114" s="42">
        <f>H114*G114</f>
        <v>1150</v>
      </c>
      <c r="K114" s="45"/>
      <c r="L114" s="45">
        <f>I113+I114</f>
        <v>3150</v>
      </c>
    </row>
    <row r="115" s="1" customFormat="1" spans="2:12">
      <c r="B115" s="17"/>
      <c r="C115" s="18"/>
      <c r="D115" s="19"/>
      <c r="E115" s="18"/>
      <c r="F115" s="18"/>
      <c r="G115" s="52"/>
      <c r="H115" s="20"/>
      <c r="I115" s="42"/>
      <c r="K115" s="45">
        <f>6300/2.83</f>
        <v>2226.14840989399</v>
      </c>
      <c r="L115" s="45">
        <f>L114/2.83</f>
        <v>1113.074204947</v>
      </c>
    </row>
    <row r="116" s="1" customFormat="1" spans="2:9">
      <c r="B116" s="17"/>
      <c r="C116" s="18"/>
      <c r="D116" s="19" t="s">
        <v>202</v>
      </c>
      <c r="E116" s="18"/>
      <c r="F116" s="18"/>
      <c r="G116" s="52"/>
      <c r="H116" s="20"/>
      <c r="I116" s="42">
        <f>(I113+I114)*0.03</f>
        <v>94.5</v>
      </c>
    </row>
    <row r="117" spans="2:9">
      <c r="B117" s="17"/>
      <c r="C117" s="21"/>
      <c r="D117" s="21"/>
      <c r="E117" s="38" t="s">
        <v>173</v>
      </c>
      <c r="F117" s="18"/>
      <c r="G117" s="52">
        <f>$G$119</f>
        <v>0</v>
      </c>
      <c r="H117" s="53"/>
      <c r="I117" s="42">
        <f>SUM(I109:I116)</f>
        <v>74560.5</v>
      </c>
    </row>
    <row r="118" spans="2:9">
      <c r="B118" s="17"/>
      <c r="C118" s="21"/>
      <c r="D118" s="21"/>
      <c r="E118" s="38" t="s">
        <v>174</v>
      </c>
      <c r="F118" s="18"/>
      <c r="G118" s="52"/>
      <c r="H118" s="53"/>
      <c r="I118" s="42">
        <f>I117/G107</f>
        <v>74560.5</v>
      </c>
    </row>
    <row r="119" spans="2:9">
      <c r="B119" s="31"/>
      <c r="C119" s="32"/>
      <c r="D119" s="32"/>
      <c r="E119" s="33" t="s">
        <v>182</v>
      </c>
      <c r="F119" s="34"/>
      <c r="G119" s="36"/>
      <c r="H119" s="35" t="s">
        <v>203</v>
      </c>
      <c r="I119" s="46">
        <f>ROUND(I118,1)</f>
        <v>74560.5</v>
      </c>
    </row>
    <row r="120" ht="14.4" spans="2:9">
      <c r="B120" s="31"/>
      <c r="C120" s="32"/>
      <c r="D120" s="32"/>
      <c r="E120" s="33" t="s">
        <v>182</v>
      </c>
      <c r="F120" s="34"/>
      <c r="G120" s="36"/>
      <c r="H120" s="35" t="s">
        <v>191</v>
      </c>
      <c r="I120" s="46">
        <f>I119/2.83</f>
        <v>26346.4664310954</v>
      </c>
    </row>
    <row r="121" spans="2:9">
      <c r="B121" s="54"/>
      <c r="C121" s="55"/>
      <c r="D121" s="55"/>
      <c r="E121" s="33" t="s">
        <v>1</v>
      </c>
      <c r="F121" s="34"/>
      <c r="G121" s="36"/>
      <c r="H121" s="37">
        <f>H1</f>
        <v>0</v>
      </c>
      <c r="I121" s="46">
        <f>I120*H121</f>
        <v>0</v>
      </c>
    </row>
    <row r="122" spans="2:11">
      <c r="B122" s="54"/>
      <c r="C122" s="55"/>
      <c r="D122" s="55"/>
      <c r="E122" s="33" t="s">
        <v>183</v>
      </c>
      <c r="F122" s="34"/>
      <c r="G122" s="36"/>
      <c r="H122" s="35"/>
      <c r="I122" s="46">
        <f>I120+I121</f>
        <v>26346.4664310954</v>
      </c>
      <c r="J122" s="45">
        <f>I122*0.05</f>
        <v>1317.32332155477</v>
      </c>
      <c r="K122" s="1">
        <v>1514.19</v>
      </c>
    </row>
    <row r="123" spans="2:9">
      <c r="B123" s="54"/>
      <c r="C123" s="55"/>
      <c r="D123" s="55"/>
      <c r="E123" s="55"/>
      <c r="F123" s="55"/>
      <c r="G123" s="55"/>
      <c r="H123" s="55"/>
      <c r="I123" s="55"/>
    </row>
    <row r="126" spans="2:9">
      <c r="B126" s="49"/>
      <c r="C126" s="49"/>
      <c r="D126" s="13" t="s">
        <v>204</v>
      </c>
      <c r="E126" s="13"/>
      <c r="F126" s="13"/>
      <c r="G126" s="50"/>
      <c r="H126" s="13"/>
      <c r="I126" s="13"/>
    </row>
    <row r="127" spans="2:9">
      <c r="B127" s="14"/>
      <c r="C127" s="14"/>
      <c r="D127" s="14"/>
      <c r="E127" s="15"/>
      <c r="F127" s="16" t="s">
        <v>161</v>
      </c>
      <c r="G127" s="51">
        <v>1</v>
      </c>
      <c r="H127" s="16" t="s">
        <v>121</v>
      </c>
      <c r="I127" s="56"/>
    </row>
    <row r="128" spans="2:9">
      <c r="B128" s="17"/>
      <c r="C128" s="18" t="s">
        <v>198</v>
      </c>
      <c r="D128" s="18" t="s">
        <v>163</v>
      </c>
      <c r="E128" s="18" t="s">
        <v>164</v>
      </c>
      <c r="F128" s="18" t="s">
        <v>165</v>
      </c>
      <c r="G128" s="52" t="s">
        <v>166</v>
      </c>
      <c r="H128" s="18" t="s">
        <v>8</v>
      </c>
      <c r="I128" s="52" t="s">
        <v>167</v>
      </c>
    </row>
    <row r="129" ht="26.4" spans="2:9">
      <c r="B129" s="17"/>
      <c r="C129" s="18"/>
      <c r="D129" s="19" t="s">
        <v>205</v>
      </c>
      <c r="E129" s="18"/>
      <c r="F129" s="18" t="s">
        <v>112</v>
      </c>
      <c r="G129" s="52">
        <f>2.83*1.1</f>
        <v>3.113</v>
      </c>
      <c r="H129" s="20">
        <f>Rates!E12</f>
        <v>32000</v>
      </c>
      <c r="I129" s="42">
        <f t="shared" ref="I129:I134" si="5">H129*G129</f>
        <v>99616</v>
      </c>
    </row>
    <row r="130" ht="26.4" spans="2:12">
      <c r="B130" s="17"/>
      <c r="C130" s="18"/>
      <c r="D130" s="19" t="s">
        <v>200</v>
      </c>
      <c r="E130" s="18"/>
      <c r="F130" s="18" t="s">
        <v>112</v>
      </c>
      <c r="G130" s="52">
        <f>G129</f>
        <v>3.113</v>
      </c>
      <c r="H130" s="20">
        <f>Rates!E13</f>
        <v>0</v>
      </c>
      <c r="I130" s="42">
        <f t="shared" si="5"/>
        <v>0</v>
      </c>
      <c r="L130" s="1">
        <f>0.9*0.9*0.2</f>
        <v>0.162</v>
      </c>
    </row>
    <row r="131" spans="2:12">
      <c r="B131" s="17"/>
      <c r="C131" s="18"/>
      <c r="D131" s="19" t="s">
        <v>206</v>
      </c>
      <c r="E131" s="18"/>
      <c r="F131" s="18" t="s">
        <v>112</v>
      </c>
      <c r="G131" s="52">
        <f>G129</f>
        <v>3.113</v>
      </c>
      <c r="H131" s="20">
        <f>Rates!E14</f>
        <v>0</v>
      </c>
      <c r="I131" s="42">
        <f t="shared" si="5"/>
        <v>0</v>
      </c>
      <c r="L131" s="1">
        <f>L130*8</f>
        <v>1.296</v>
      </c>
    </row>
    <row r="132" spans="2:9">
      <c r="B132" s="17"/>
      <c r="C132" s="18"/>
      <c r="D132" s="19" t="s">
        <v>158</v>
      </c>
      <c r="E132" s="18"/>
      <c r="F132" s="18" t="s">
        <v>177</v>
      </c>
      <c r="G132" s="52">
        <v>1</v>
      </c>
      <c r="H132" s="20">
        <f>Rates!E50</f>
        <v>3500</v>
      </c>
      <c r="I132" s="42">
        <f t="shared" si="5"/>
        <v>3500</v>
      </c>
    </row>
    <row r="133" spans="2:9">
      <c r="B133" s="17"/>
      <c r="C133" s="18"/>
      <c r="D133" s="19" t="s">
        <v>176</v>
      </c>
      <c r="E133" s="18"/>
      <c r="F133" s="18" t="s">
        <v>177</v>
      </c>
      <c r="G133" s="52">
        <f>2*0.5</f>
        <v>1</v>
      </c>
      <c r="H133" s="20">
        <f>Rates!E41</f>
        <v>4000</v>
      </c>
      <c r="I133" s="42">
        <f t="shared" si="5"/>
        <v>4000</v>
      </c>
    </row>
    <row r="134" spans="2:13">
      <c r="B134" s="17"/>
      <c r="C134" s="18"/>
      <c r="D134" s="19" t="s">
        <v>178</v>
      </c>
      <c r="E134" s="18"/>
      <c r="F134" s="18" t="s">
        <v>177</v>
      </c>
      <c r="G134" s="52">
        <f>3*0.5</f>
        <v>1.5</v>
      </c>
      <c r="H134" s="20">
        <f>Rates!E44</f>
        <v>2300</v>
      </c>
      <c r="I134" s="42">
        <f t="shared" si="5"/>
        <v>3450</v>
      </c>
      <c r="L134" s="1">
        <f>3150/2.83</f>
        <v>1113.074204947</v>
      </c>
      <c r="M134" s="45">
        <f>I133+I134</f>
        <v>7450</v>
      </c>
    </row>
    <row r="135" spans="2:13">
      <c r="B135" s="17"/>
      <c r="C135" s="18"/>
      <c r="D135" s="19" t="s">
        <v>202</v>
      </c>
      <c r="E135" s="18"/>
      <c r="F135" s="18"/>
      <c r="G135" s="52"/>
      <c r="H135" s="20"/>
      <c r="I135" s="42">
        <f>(I133+I134)*0.03</f>
        <v>223.5</v>
      </c>
      <c r="J135" s="1">
        <f>4650/2.83</f>
        <v>1643.10954063604</v>
      </c>
      <c r="M135" s="45">
        <f>M134/2.83</f>
        <v>2632.50883392226</v>
      </c>
    </row>
    <row r="136" spans="2:9">
      <c r="B136" s="17"/>
      <c r="C136" s="21"/>
      <c r="D136" s="21"/>
      <c r="E136" s="22" t="s">
        <v>173</v>
      </c>
      <c r="F136" s="23">
        <f>$F$119</f>
        <v>0</v>
      </c>
      <c r="G136" s="57">
        <f>$G$119</f>
        <v>0</v>
      </c>
      <c r="H136" s="24"/>
      <c r="I136" s="42">
        <f>SUM(I129:I135)</f>
        <v>110789.5</v>
      </c>
    </row>
    <row r="137" spans="2:9">
      <c r="B137" s="17"/>
      <c r="C137" s="21"/>
      <c r="D137" s="21"/>
      <c r="E137" s="22" t="s">
        <v>174</v>
      </c>
      <c r="F137" s="23">
        <f>$G$119</f>
        <v>0</v>
      </c>
      <c r="G137" s="57"/>
      <c r="H137" s="24"/>
      <c r="I137" s="42">
        <f>I136/G127</f>
        <v>110789.5</v>
      </c>
    </row>
    <row r="138" spans="2:9">
      <c r="B138" s="31"/>
      <c r="C138" s="32"/>
      <c r="D138" s="32"/>
      <c r="E138" s="33" t="s">
        <v>182</v>
      </c>
      <c r="F138" s="34"/>
      <c r="G138" s="36"/>
      <c r="H138" s="35" t="s">
        <v>203</v>
      </c>
      <c r="I138" s="46">
        <f>ROUND(I137,1)</f>
        <v>110789.5</v>
      </c>
    </row>
    <row r="139" ht="14.4" spans="2:14">
      <c r="B139" s="31"/>
      <c r="C139" s="32"/>
      <c r="D139" s="32"/>
      <c r="E139" s="33" t="s">
        <v>182</v>
      </c>
      <c r="F139" s="34"/>
      <c r="G139" s="36"/>
      <c r="H139" s="35" t="s">
        <v>191</v>
      </c>
      <c r="I139" s="46">
        <f>I138/2.83</f>
        <v>39148.2332155477</v>
      </c>
      <c r="N139" s="1">
        <f>6300/2.83</f>
        <v>2226.14840989399</v>
      </c>
    </row>
    <row r="140" spans="2:9">
      <c r="B140" s="54"/>
      <c r="C140" s="55"/>
      <c r="D140" s="55"/>
      <c r="E140" s="33" t="s">
        <v>1</v>
      </c>
      <c r="F140" s="34"/>
      <c r="G140" s="36"/>
      <c r="H140" s="37">
        <f>H1</f>
        <v>0</v>
      </c>
      <c r="I140" s="46">
        <f>I139*H140</f>
        <v>0</v>
      </c>
    </row>
    <row r="141" spans="2:11">
      <c r="B141" s="54"/>
      <c r="C141" s="55"/>
      <c r="D141" s="55"/>
      <c r="E141" s="33" t="s">
        <v>183</v>
      </c>
      <c r="F141" s="34"/>
      <c r="G141" s="36"/>
      <c r="H141" s="35"/>
      <c r="I141" s="46">
        <f>I139+I140</f>
        <v>39148.2332155477</v>
      </c>
      <c r="K141" s="1">
        <f>100*200*400</f>
        <v>8000000</v>
      </c>
    </row>
    <row r="142" spans="2:9">
      <c r="B142" s="54"/>
      <c r="C142" s="55"/>
      <c r="D142" s="55"/>
      <c r="E142" s="58"/>
      <c r="F142" s="59"/>
      <c r="G142" s="60"/>
      <c r="H142" s="61"/>
      <c r="I142" s="68">
        <f>I141*0.075</f>
        <v>2936.11749116608</v>
      </c>
    </row>
    <row r="143" spans="2:9">
      <c r="B143" s="54"/>
      <c r="C143" s="55"/>
      <c r="D143" s="55"/>
      <c r="E143" s="58"/>
      <c r="F143" s="59"/>
      <c r="G143" s="60"/>
      <c r="H143" s="61"/>
      <c r="I143" s="68"/>
    </row>
    <row r="145" spans="2:9">
      <c r="B145" s="49"/>
      <c r="C145" s="49"/>
      <c r="D145" s="13" t="s">
        <v>204</v>
      </c>
      <c r="E145" s="13"/>
      <c r="F145" s="13"/>
      <c r="G145" s="50"/>
      <c r="H145" s="13"/>
      <c r="I145" s="13"/>
    </row>
    <row r="146" spans="2:9">
      <c r="B146" s="14"/>
      <c r="C146" s="14"/>
      <c r="D146" s="14"/>
      <c r="E146" s="15"/>
      <c r="F146" s="16" t="s">
        <v>161</v>
      </c>
      <c r="G146" s="51">
        <v>1</v>
      </c>
      <c r="H146" s="16" t="s">
        <v>121</v>
      </c>
      <c r="I146" s="56"/>
    </row>
    <row r="147" spans="2:9">
      <c r="B147" s="17"/>
      <c r="C147" s="18" t="s">
        <v>198</v>
      </c>
      <c r="D147" s="18" t="s">
        <v>163</v>
      </c>
      <c r="E147" s="18" t="s">
        <v>164</v>
      </c>
      <c r="F147" s="18" t="s">
        <v>165</v>
      </c>
      <c r="G147" s="52" t="s">
        <v>166</v>
      </c>
      <c r="H147" s="18" t="s">
        <v>8</v>
      </c>
      <c r="I147" s="52" t="s">
        <v>167</v>
      </c>
    </row>
    <row r="148" ht="26.4" spans="2:9">
      <c r="B148" s="17"/>
      <c r="C148" s="18"/>
      <c r="D148" s="19" t="s">
        <v>205</v>
      </c>
      <c r="E148" s="18"/>
      <c r="F148" s="18" t="s">
        <v>112</v>
      </c>
      <c r="G148" s="52">
        <f>2.83*1.1</f>
        <v>3.113</v>
      </c>
      <c r="H148" s="20">
        <f>H129</f>
        <v>32000</v>
      </c>
      <c r="I148" s="42">
        <f t="shared" ref="I148:I154" si="6">H148*G148</f>
        <v>99616</v>
      </c>
    </row>
    <row r="149" spans="2:9">
      <c r="B149" s="17"/>
      <c r="C149" s="18"/>
      <c r="D149" s="19" t="s">
        <v>207</v>
      </c>
      <c r="E149" s="18"/>
      <c r="F149" s="18" t="s">
        <v>208</v>
      </c>
      <c r="G149" s="52">
        <v>3</v>
      </c>
      <c r="H149" s="62">
        <f>36000/20</f>
        <v>1800</v>
      </c>
      <c r="I149" s="42">
        <f t="shared" si="6"/>
        <v>5400</v>
      </c>
    </row>
    <row r="150" ht="26.4" spans="2:9">
      <c r="B150" s="17"/>
      <c r="C150" s="18"/>
      <c r="D150" s="19" t="s">
        <v>200</v>
      </c>
      <c r="E150" s="18"/>
      <c r="F150" s="18" t="s">
        <v>112</v>
      </c>
      <c r="G150" s="52">
        <f>G148</f>
        <v>3.113</v>
      </c>
      <c r="H150" s="20">
        <f>H130</f>
        <v>0</v>
      </c>
      <c r="I150" s="42">
        <f t="shared" si="6"/>
        <v>0</v>
      </c>
    </row>
    <row r="151" spans="2:15">
      <c r="B151" s="17"/>
      <c r="C151" s="18"/>
      <c r="D151" s="19" t="s">
        <v>206</v>
      </c>
      <c r="E151" s="18"/>
      <c r="F151" s="18" t="s">
        <v>112</v>
      </c>
      <c r="G151" s="52">
        <f>G148</f>
        <v>3.113</v>
      </c>
      <c r="H151" s="20">
        <f>H131</f>
        <v>0</v>
      </c>
      <c r="I151" s="42">
        <f t="shared" si="6"/>
        <v>0</v>
      </c>
      <c r="M151" s="1">
        <v>1</v>
      </c>
      <c r="N151" s="1" t="s">
        <v>209</v>
      </c>
      <c r="O151" s="1">
        <v>1</v>
      </c>
    </row>
    <row r="152" spans="2:15">
      <c r="B152" s="17"/>
      <c r="C152" s="18"/>
      <c r="D152" s="19" t="s">
        <v>158</v>
      </c>
      <c r="E152" s="18"/>
      <c r="F152" s="18" t="s">
        <v>177</v>
      </c>
      <c r="G152" s="52">
        <v>1</v>
      </c>
      <c r="H152" s="20">
        <f>H132</f>
        <v>3500</v>
      </c>
      <c r="I152" s="42">
        <f t="shared" si="6"/>
        <v>3500</v>
      </c>
      <c r="N152" s="1" t="s">
        <v>210</v>
      </c>
      <c r="O152" s="1">
        <f>1+1+1+1+2-1</f>
        <v>5</v>
      </c>
    </row>
    <row r="153" spans="2:9">
      <c r="B153" s="17"/>
      <c r="C153" s="18"/>
      <c r="D153" s="19" t="s">
        <v>176</v>
      </c>
      <c r="E153" s="18"/>
      <c r="F153" s="18" t="s">
        <v>177</v>
      </c>
      <c r="G153" s="52">
        <f>2*0.5</f>
        <v>1</v>
      </c>
      <c r="H153" s="20">
        <f>H133</f>
        <v>4000</v>
      </c>
      <c r="I153" s="42">
        <f t="shared" si="6"/>
        <v>4000</v>
      </c>
    </row>
    <row r="154" spans="2:12">
      <c r="B154" s="17"/>
      <c r="C154" s="18"/>
      <c r="D154" s="19" t="s">
        <v>178</v>
      </c>
      <c r="E154" s="18"/>
      <c r="F154" s="18" t="s">
        <v>177</v>
      </c>
      <c r="G154" s="52">
        <f>4*0.5</f>
        <v>2</v>
      </c>
      <c r="H154" s="20">
        <f>H134</f>
        <v>2300</v>
      </c>
      <c r="I154" s="42">
        <f t="shared" si="6"/>
        <v>4600</v>
      </c>
      <c r="L154" s="1">
        <f>1*4000</f>
        <v>4000</v>
      </c>
    </row>
    <row r="155" spans="2:12">
      <c r="B155" s="17"/>
      <c r="C155" s="18"/>
      <c r="D155" s="19" t="s">
        <v>202</v>
      </c>
      <c r="E155" s="18"/>
      <c r="F155" s="18"/>
      <c r="G155" s="52"/>
      <c r="H155" s="20"/>
      <c r="I155" s="42">
        <f>(I153+I154)*0.03</f>
        <v>258</v>
      </c>
      <c r="L155" s="1">
        <f>4*2300</f>
        <v>9200</v>
      </c>
    </row>
    <row r="156" spans="2:11">
      <c r="B156" s="17"/>
      <c r="C156" s="63"/>
      <c r="D156" s="64" t="s">
        <v>169</v>
      </c>
      <c r="E156" s="65"/>
      <c r="F156" s="23" t="s">
        <v>170</v>
      </c>
      <c r="G156" s="57"/>
      <c r="H156" s="66"/>
      <c r="I156" s="42">
        <f>(I153+I154)*0.05</f>
        <v>430</v>
      </c>
      <c r="K156" s="1">
        <f>8*0.225*0.225*2.4</f>
        <v>0.972</v>
      </c>
    </row>
    <row r="157" spans="2:9">
      <c r="B157" s="17"/>
      <c r="C157" s="21"/>
      <c r="D157" s="21"/>
      <c r="E157" s="22" t="s">
        <v>173</v>
      </c>
      <c r="F157" s="23">
        <f>$F$119</f>
        <v>0</v>
      </c>
      <c r="G157" s="57">
        <f>$G$119</f>
        <v>0</v>
      </c>
      <c r="H157" s="24"/>
      <c r="I157" s="42">
        <f>SUM(I148:I156)</f>
        <v>117804</v>
      </c>
    </row>
    <row r="158" spans="2:9">
      <c r="B158" s="17"/>
      <c r="C158" s="21"/>
      <c r="D158" s="21"/>
      <c r="E158" s="22" t="s">
        <v>174</v>
      </c>
      <c r="F158" s="23">
        <f>$G$119</f>
        <v>0</v>
      </c>
      <c r="G158" s="57"/>
      <c r="H158" s="24"/>
      <c r="I158" s="42">
        <f>I157/G146</f>
        <v>117804</v>
      </c>
    </row>
    <row r="159" spans="2:9">
      <c r="B159" s="31"/>
      <c r="C159" s="32"/>
      <c r="D159" s="32"/>
      <c r="E159" s="33" t="s">
        <v>182</v>
      </c>
      <c r="F159" s="34"/>
      <c r="G159" s="36"/>
      <c r="H159" s="35" t="s">
        <v>203</v>
      </c>
      <c r="I159" s="46">
        <f>ROUND(I158,1)</f>
        <v>117804</v>
      </c>
    </row>
    <row r="160" ht="14.4" spans="2:9">
      <c r="B160" s="31"/>
      <c r="C160" s="32"/>
      <c r="D160" s="32"/>
      <c r="E160" s="33" t="s">
        <v>182</v>
      </c>
      <c r="F160" s="34"/>
      <c r="G160" s="36"/>
      <c r="H160" s="35" t="s">
        <v>191</v>
      </c>
      <c r="I160" s="46">
        <f>I159/2.83</f>
        <v>41626.8551236749</v>
      </c>
    </row>
    <row r="161" spans="2:9">
      <c r="B161" s="54"/>
      <c r="C161" s="55"/>
      <c r="D161" s="55"/>
      <c r="E161" s="33" t="s">
        <v>1</v>
      </c>
      <c r="F161" s="34"/>
      <c r="G161" s="36"/>
      <c r="H161" s="37">
        <f>H20</f>
        <v>0</v>
      </c>
      <c r="I161" s="46">
        <f>I160*H161</f>
        <v>0</v>
      </c>
    </row>
    <row r="162" spans="2:9">
      <c r="B162" s="54"/>
      <c r="C162" s="55"/>
      <c r="D162" s="55"/>
      <c r="E162" s="33" t="s">
        <v>183</v>
      </c>
      <c r="F162" s="34"/>
      <c r="G162" s="36"/>
      <c r="H162" s="35"/>
      <c r="I162" s="46">
        <f>I160+I161</f>
        <v>41626.8551236749</v>
      </c>
    </row>
    <row r="163" spans="2:9">
      <c r="B163" s="54"/>
      <c r="C163" s="55"/>
      <c r="D163" s="55"/>
      <c r="E163" s="33"/>
      <c r="F163" s="34"/>
      <c r="G163" s="36"/>
      <c r="H163" s="35"/>
      <c r="I163" s="46"/>
    </row>
    <row r="164" spans="2:9">
      <c r="B164" s="54"/>
      <c r="C164" s="54"/>
      <c r="D164" s="54"/>
      <c r="E164" s="54"/>
      <c r="F164" s="54"/>
      <c r="G164" s="54"/>
      <c r="H164" s="54"/>
      <c r="I164" s="54"/>
    </row>
    <row r="165" ht="53" customHeight="1" spans="2:9">
      <c r="B165" s="49"/>
      <c r="C165" s="49"/>
      <c r="D165" s="13" t="s">
        <v>50</v>
      </c>
      <c r="E165" s="13"/>
      <c r="F165" s="13"/>
      <c r="G165" s="50"/>
      <c r="H165" s="13"/>
      <c r="I165" s="13"/>
    </row>
    <row r="166" spans="2:9">
      <c r="B166" s="14"/>
      <c r="C166" s="14"/>
      <c r="D166" s="14"/>
      <c r="E166" s="15"/>
      <c r="F166" s="16" t="s">
        <v>161</v>
      </c>
      <c r="G166" s="67">
        <v>2.475</v>
      </c>
      <c r="H166" s="15" t="s">
        <v>51</v>
      </c>
      <c r="I166" s="56"/>
    </row>
    <row r="167" spans="2:9">
      <c r="B167" s="17"/>
      <c r="C167" s="18" t="s">
        <v>198</v>
      </c>
      <c r="D167" s="18" t="s">
        <v>163</v>
      </c>
      <c r="E167" s="18" t="s">
        <v>164</v>
      </c>
      <c r="F167" s="18" t="s">
        <v>165</v>
      </c>
      <c r="G167" s="52" t="s">
        <v>166</v>
      </c>
      <c r="H167" s="18" t="s">
        <v>8</v>
      </c>
      <c r="I167" s="52" t="s">
        <v>167</v>
      </c>
    </row>
    <row r="168" spans="2:9">
      <c r="B168" s="17"/>
      <c r="C168" s="18"/>
      <c r="D168" s="19" t="s">
        <v>211</v>
      </c>
      <c r="E168" s="18"/>
      <c r="F168" s="18" t="s">
        <v>112</v>
      </c>
      <c r="G168" s="52">
        <f>0.225*0.15*2.475</f>
        <v>0.08353125</v>
      </c>
      <c r="H168" s="20">
        <f>I162</f>
        <v>41626.8551236749</v>
      </c>
      <c r="I168" s="42">
        <f t="shared" ref="I168:I173" si="7">H168*G168</f>
        <v>3477.14324204947</v>
      </c>
    </row>
    <row r="169" spans="2:13">
      <c r="B169" s="17"/>
      <c r="C169" s="18"/>
      <c r="D169" s="19" t="s">
        <v>212</v>
      </c>
      <c r="E169" s="18"/>
      <c r="F169" s="18" t="s">
        <v>126</v>
      </c>
      <c r="G169" s="52">
        <f>2.475*0.15*2+2.475*0.225</f>
        <v>1.299375</v>
      </c>
      <c r="H169" s="20">
        <f>I332</f>
        <v>4686.80555555556</v>
      </c>
      <c r="I169" s="42">
        <f t="shared" si="7"/>
        <v>6089.91796875</v>
      </c>
      <c r="M169" s="1">
        <f>3429</f>
        <v>3429</v>
      </c>
    </row>
    <row r="170" spans="2:13">
      <c r="B170" s="17"/>
      <c r="C170" s="18"/>
      <c r="D170" s="19" t="s">
        <v>213</v>
      </c>
      <c r="E170" s="18"/>
      <c r="F170" s="18" t="s">
        <v>64</v>
      </c>
      <c r="G170" s="52">
        <f>(4*2.875*100/162)+(0.7*13*36/162)</f>
        <v>9.12098765432099</v>
      </c>
      <c r="H170" s="20">
        <f>I349</f>
        <v>548.98</v>
      </c>
      <c r="I170" s="42">
        <f t="shared" si="7"/>
        <v>5007.23980246914</v>
      </c>
      <c r="M170" s="1">
        <f>16*16/162*6</f>
        <v>9.48148148148148</v>
      </c>
    </row>
    <row r="171" spans="2:13">
      <c r="B171" s="17"/>
      <c r="C171" s="18"/>
      <c r="D171" s="19"/>
      <c r="E171" s="18"/>
      <c r="F171" s="18"/>
      <c r="G171" s="52"/>
      <c r="H171" s="20"/>
      <c r="I171" s="42">
        <f t="shared" si="7"/>
        <v>0</v>
      </c>
      <c r="M171" s="1">
        <f>M169/M170</f>
        <v>361.65234375</v>
      </c>
    </row>
    <row r="172" spans="2:9">
      <c r="B172" s="17"/>
      <c r="C172" s="18"/>
      <c r="D172" s="19"/>
      <c r="E172" s="18"/>
      <c r="F172" s="18"/>
      <c r="G172" s="52"/>
      <c r="H172" s="20"/>
      <c r="I172" s="42">
        <f t="shared" si="7"/>
        <v>0</v>
      </c>
    </row>
    <row r="173" spans="2:9">
      <c r="B173" s="17"/>
      <c r="C173" s="18"/>
      <c r="D173" s="19"/>
      <c r="E173" s="18"/>
      <c r="F173" s="18"/>
      <c r="G173" s="52"/>
      <c r="H173" s="20"/>
      <c r="I173" s="42">
        <f t="shared" si="7"/>
        <v>0</v>
      </c>
    </row>
    <row r="174" spans="2:9">
      <c r="B174" s="17"/>
      <c r="C174" s="18"/>
      <c r="D174" s="19"/>
      <c r="E174" s="18"/>
      <c r="F174" s="18"/>
      <c r="G174" s="52"/>
      <c r="H174" s="20"/>
      <c r="I174" s="42">
        <f>(I172+I173)*0.03</f>
        <v>0</v>
      </c>
    </row>
    <row r="175" spans="2:9">
      <c r="B175" s="17"/>
      <c r="C175" s="21"/>
      <c r="D175" s="21"/>
      <c r="E175" s="22" t="s">
        <v>173</v>
      </c>
      <c r="F175" s="23">
        <f>$F$119</f>
        <v>0</v>
      </c>
      <c r="G175" s="57">
        <f>$G$119</f>
        <v>0</v>
      </c>
      <c r="H175" s="24"/>
      <c r="I175" s="42">
        <f>SUM(I168:I174)</f>
        <v>14574.3010132686</v>
      </c>
    </row>
    <row r="176" spans="2:9">
      <c r="B176" s="17"/>
      <c r="C176" s="21"/>
      <c r="D176" s="21"/>
      <c r="E176" s="22" t="s">
        <v>174</v>
      </c>
      <c r="F176" s="23">
        <f>$G$119</f>
        <v>0</v>
      </c>
      <c r="G176" s="57"/>
      <c r="H176" s="24"/>
      <c r="I176" s="42">
        <f>I175/G166</f>
        <v>5888.60647000752</v>
      </c>
    </row>
    <row r="177" spans="2:9">
      <c r="B177" s="31"/>
      <c r="C177" s="32"/>
      <c r="D177" s="32"/>
      <c r="E177" s="33" t="s">
        <v>182</v>
      </c>
      <c r="F177" s="34"/>
      <c r="G177" s="36"/>
      <c r="H177" s="35" t="s">
        <v>214</v>
      </c>
      <c r="I177" s="46">
        <f>I176</f>
        <v>5888.60647000752</v>
      </c>
    </row>
    <row r="178" spans="2:9">
      <c r="B178" s="54"/>
      <c r="C178" s="55"/>
      <c r="D178" s="55"/>
      <c r="E178" s="33" t="s">
        <v>1</v>
      </c>
      <c r="F178" s="34"/>
      <c r="G178" s="36"/>
      <c r="H178" s="37">
        <f>H20</f>
        <v>0</v>
      </c>
      <c r="I178" s="46">
        <f>I177*H178</f>
        <v>0</v>
      </c>
    </row>
    <row r="179" spans="2:9">
      <c r="B179" s="54"/>
      <c r="C179" s="55"/>
      <c r="D179" s="55"/>
      <c r="E179" s="33" t="s">
        <v>183</v>
      </c>
      <c r="F179" s="34"/>
      <c r="G179" s="36"/>
      <c r="H179" s="35"/>
      <c r="I179" s="46">
        <f>I177+I178</f>
        <v>5888.60647000752</v>
      </c>
    </row>
    <row r="180" spans="2:9">
      <c r="B180" s="54"/>
      <c r="C180" s="55"/>
      <c r="D180" s="55"/>
      <c r="E180" s="58"/>
      <c r="F180" s="59"/>
      <c r="G180" s="60"/>
      <c r="H180" s="61"/>
      <c r="I180" s="68"/>
    </row>
    <row r="183" spans="2:9">
      <c r="B183" s="49"/>
      <c r="C183" s="49"/>
      <c r="D183" s="13" t="s">
        <v>53</v>
      </c>
      <c r="E183" s="13"/>
      <c r="F183" s="13"/>
      <c r="G183" s="50"/>
      <c r="H183" s="13"/>
      <c r="I183" s="13"/>
    </row>
    <row r="184" spans="2:9">
      <c r="B184" s="14"/>
      <c r="C184" s="14"/>
      <c r="D184" s="14"/>
      <c r="E184" s="15"/>
      <c r="F184" s="16" t="s">
        <v>161</v>
      </c>
      <c r="G184" s="67">
        <v>6</v>
      </c>
      <c r="H184" s="16" t="s">
        <v>51</v>
      </c>
      <c r="I184" s="56"/>
    </row>
    <row r="185" spans="2:9">
      <c r="B185" s="17"/>
      <c r="C185" s="18" t="s">
        <v>198</v>
      </c>
      <c r="D185" s="18" t="s">
        <v>163</v>
      </c>
      <c r="E185" s="18" t="s">
        <v>164</v>
      </c>
      <c r="F185" s="18" t="s">
        <v>165</v>
      </c>
      <c r="G185" s="52" t="s">
        <v>166</v>
      </c>
      <c r="H185" s="18" t="s">
        <v>8</v>
      </c>
      <c r="I185" s="52" t="s">
        <v>167</v>
      </c>
    </row>
    <row r="186" spans="2:9">
      <c r="B186" s="17"/>
      <c r="C186" s="18"/>
      <c r="D186" s="19" t="s">
        <v>211</v>
      </c>
      <c r="E186" s="18"/>
      <c r="F186" s="18" t="s">
        <v>112</v>
      </c>
      <c r="G186" s="52">
        <f>6*0.15*0.15</f>
        <v>0.135</v>
      </c>
      <c r="H186" s="20">
        <f>I141</f>
        <v>39148.2332155477</v>
      </c>
      <c r="I186" s="42">
        <f t="shared" ref="I186:I191" si="8">H186*G186</f>
        <v>5285.01148409894</v>
      </c>
    </row>
    <row r="187" spans="2:9">
      <c r="B187" s="17"/>
      <c r="C187" s="18"/>
      <c r="D187" s="19" t="s">
        <v>212</v>
      </c>
      <c r="E187" s="18"/>
      <c r="F187" s="18" t="s">
        <v>126</v>
      </c>
      <c r="G187" s="52">
        <f>6*2*0.15</f>
        <v>1.8</v>
      </c>
      <c r="H187" s="20">
        <f>H169</f>
        <v>4686.80555555556</v>
      </c>
      <c r="I187" s="42">
        <f t="shared" si="8"/>
        <v>8436.25</v>
      </c>
    </row>
    <row r="188" spans="2:9">
      <c r="B188" s="17"/>
      <c r="C188" s="18"/>
      <c r="D188" s="19" t="s">
        <v>213</v>
      </c>
      <c r="E188" s="18"/>
      <c r="F188" s="18" t="s">
        <v>64</v>
      </c>
      <c r="G188" s="52">
        <f>(4*6.6*100/162)+(0.6*40*36/162)</f>
        <v>21.6296296296296</v>
      </c>
      <c r="H188" s="20">
        <f>H170</f>
        <v>548.98</v>
      </c>
      <c r="I188" s="42">
        <f t="shared" si="8"/>
        <v>11874.2340740741</v>
      </c>
    </row>
    <row r="189" spans="2:9">
      <c r="B189" s="17"/>
      <c r="C189" s="18"/>
      <c r="D189" s="19"/>
      <c r="E189" s="18"/>
      <c r="F189" s="18"/>
      <c r="G189" s="52"/>
      <c r="H189" s="20"/>
      <c r="I189" s="42">
        <f t="shared" si="8"/>
        <v>0</v>
      </c>
    </row>
    <row r="190" spans="2:9">
      <c r="B190" s="17"/>
      <c r="C190" s="18"/>
      <c r="D190" s="19"/>
      <c r="E190" s="18"/>
      <c r="F190" s="18"/>
      <c r="G190" s="52"/>
      <c r="H190" s="20"/>
      <c r="I190" s="42">
        <f t="shared" si="8"/>
        <v>0</v>
      </c>
    </row>
    <row r="191" spans="2:9">
      <c r="B191" s="17"/>
      <c r="C191" s="18"/>
      <c r="D191" s="19"/>
      <c r="E191" s="18"/>
      <c r="F191" s="18"/>
      <c r="G191" s="52"/>
      <c r="H191" s="20"/>
      <c r="I191" s="42">
        <f t="shared" si="8"/>
        <v>0</v>
      </c>
    </row>
    <row r="192" spans="2:9">
      <c r="B192" s="17"/>
      <c r="C192" s="18"/>
      <c r="D192" s="19"/>
      <c r="E192" s="18"/>
      <c r="F192" s="18"/>
      <c r="G192" s="52"/>
      <c r="H192" s="20"/>
      <c r="I192" s="42">
        <f>(I190+I191)*0.03</f>
        <v>0</v>
      </c>
    </row>
    <row r="193" spans="2:9">
      <c r="B193" s="17"/>
      <c r="C193" s="21"/>
      <c r="D193" s="21"/>
      <c r="E193" s="22" t="s">
        <v>173</v>
      </c>
      <c r="F193" s="23">
        <f>$F$119</f>
        <v>0</v>
      </c>
      <c r="G193" s="57">
        <f>$G$119</f>
        <v>0</v>
      </c>
      <c r="H193" s="24"/>
      <c r="I193" s="42">
        <f>SUM(I186:I192)</f>
        <v>25595.495558173</v>
      </c>
    </row>
    <row r="194" spans="2:9">
      <c r="B194" s="17"/>
      <c r="C194" s="21"/>
      <c r="D194" s="21"/>
      <c r="E194" s="22" t="s">
        <v>174</v>
      </c>
      <c r="F194" s="23">
        <f>$G$119</f>
        <v>0</v>
      </c>
      <c r="G194" s="57"/>
      <c r="H194" s="24"/>
      <c r="I194" s="42">
        <f>I193/G184</f>
        <v>4265.91592636217</v>
      </c>
    </row>
    <row r="195" spans="2:9">
      <c r="B195" s="31"/>
      <c r="C195" s="32"/>
      <c r="D195" s="32"/>
      <c r="E195" s="33" t="s">
        <v>182</v>
      </c>
      <c r="F195" s="34"/>
      <c r="G195" s="36"/>
      <c r="H195" s="35" t="s">
        <v>214</v>
      </c>
      <c r="I195" s="46">
        <f>I194</f>
        <v>4265.91592636217</v>
      </c>
    </row>
    <row r="196" spans="2:9">
      <c r="B196" s="31"/>
      <c r="C196" s="32"/>
      <c r="D196" s="32"/>
      <c r="E196" s="33" t="s">
        <v>1</v>
      </c>
      <c r="F196" s="34"/>
      <c r="G196" s="36"/>
      <c r="H196" s="37">
        <f>H38</f>
        <v>0</v>
      </c>
      <c r="I196" s="46">
        <f>I195*H196</f>
        <v>0</v>
      </c>
    </row>
    <row r="197" spans="2:9">
      <c r="B197" s="54"/>
      <c r="C197" s="55"/>
      <c r="D197" s="55"/>
      <c r="E197" s="33" t="s">
        <v>183</v>
      </c>
      <c r="F197" s="34"/>
      <c r="G197" s="36"/>
      <c r="H197" s="35"/>
      <c r="I197" s="46">
        <f>I195+I196</f>
        <v>4265.91592636217</v>
      </c>
    </row>
    <row r="198" spans="2:9">
      <c r="B198" s="54"/>
      <c r="C198" s="55"/>
      <c r="D198" s="55"/>
      <c r="E198" s="33"/>
      <c r="F198" s="34"/>
      <c r="G198" s="36"/>
      <c r="H198" s="35"/>
      <c r="I198" s="46"/>
    </row>
    <row r="202" spans="2:9">
      <c r="B202" s="49"/>
      <c r="C202" s="49"/>
      <c r="D202" s="13" t="s">
        <v>55</v>
      </c>
      <c r="E202" s="13"/>
      <c r="F202" s="13"/>
      <c r="G202" s="50"/>
      <c r="H202" s="13"/>
      <c r="I202" s="13"/>
    </row>
    <row r="203" spans="2:9">
      <c r="B203" s="14"/>
      <c r="C203" s="14"/>
      <c r="D203" s="14"/>
      <c r="E203" s="15"/>
      <c r="F203" s="16" t="s">
        <v>161</v>
      </c>
      <c r="G203" s="67">
        <v>1.25</v>
      </c>
      <c r="H203" s="16" t="s">
        <v>112</v>
      </c>
      <c r="I203" s="56"/>
    </row>
    <row r="204" spans="2:9">
      <c r="B204" s="17"/>
      <c r="C204" s="18" t="s">
        <v>198</v>
      </c>
      <c r="D204" s="18" t="s">
        <v>163</v>
      </c>
      <c r="E204" s="18" t="s">
        <v>164</v>
      </c>
      <c r="F204" s="18" t="s">
        <v>165</v>
      </c>
      <c r="G204" s="52" t="s">
        <v>166</v>
      </c>
      <c r="H204" s="18" t="s">
        <v>8</v>
      </c>
      <c r="I204" s="52" t="s">
        <v>167</v>
      </c>
    </row>
    <row r="205" spans="2:11">
      <c r="B205" s="17"/>
      <c r="C205" s="18"/>
      <c r="D205" s="19" t="s">
        <v>211</v>
      </c>
      <c r="E205" s="18"/>
      <c r="F205" s="18" t="s">
        <v>112</v>
      </c>
      <c r="G205" s="52">
        <v>1.25</v>
      </c>
      <c r="H205" s="20">
        <f>I141</f>
        <v>39148.2332155477</v>
      </c>
      <c r="I205" s="42">
        <f t="shared" ref="I205:I210" si="9">H205*G205</f>
        <v>48935.2915194346</v>
      </c>
      <c r="K205" s="1">
        <f>1.25/6</f>
        <v>0.208333333333333</v>
      </c>
    </row>
    <row r="206" spans="2:9">
      <c r="B206" s="17"/>
      <c r="C206" s="18"/>
      <c r="D206" s="19" t="s">
        <v>212</v>
      </c>
      <c r="E206" s="18"/>
      <c r="F206" s="18" t="s">
        <v>126</v>
      </c>
      <c r="G206" s="52">
        <f>(6+6+1+1)*0.125</f>
        <v>1.75</v>
      </c>
      <c r="H206" s="20">
        <f>H187</f>
        <v>4686.80555555556</v>
      </c>
      <c r="I206" s="42">
        <f t="shared" si="9"/>
        <v>8201.90972222222</v>
      </c>
    </row>
    <row r="207" spans="2:14">
      <c r="B207" s="17"/>
      <c r="C207" s="18"/>
      <c r="D207" s="19" t="s">
        <v>213</v>
      </c>
      <c r="E207" s="18"/>
      <c r="F207" s="18" t="s">
        <v>64</v>
      </c>
      <c r="G207" s="52">
        <f>((6.6*6)+(1.6*30))*100/162</f>
        <v>54.0740740740741</v>
      </c>
      <c r="H207" s="20">
        <f>H188</f>
        <v>548.98</v>
      </c>
      <c r="I207" s="42">
        <f t="shared" si="9"/>
        <v>29685.5851851852</v>
      </c>
      <c r="N207" s="1">
        <f>6/0.2</f>
        <v>30</v>
      </c>
    </row>
    <row r="208" spans="2:11">
      <c r="B208" s="17"/>
      <c r="C208" s="18"/>
      <c r="D208" s="19" t="s">
        <v>215</v>
      </c>
      <c r="E208" s="18"/>
      <c r="F208" s="18" t="s">
        <v>151</v>
      </c>
      <c r="G208" s="52">
        <f>1</f>
        <v>1</v>
      </c>
      <c r="H208" s="20">
        <f>Rates!E44</f>
        <v>2300</v>
      </c>
      <c r="I208" s="42">
        <f t="shared" si="9"/>
        <v>2300</v>
      </c>
      <c r="K208" s="1">
        <f>6.125/6</f>
        <v>1.02083333333333</v>
      </c>
    </row>
    <row r="209" spans="2:14">
      <c r="B209" s="17"/>
      <c r="C209" s="18"/>
      <c r="D209" s="19"/>
      <c r="E209" s="18"/>
      <c r="F209" s="18"/>
      <c r="G209" s="52"/>
      <c r="H209" s="20"/>
      <c r="I209" s="42">
        <f t="shared" si="9"/>
        <v>0</v>
      </c>
      <c r="N209" s="1">
        <f>1/200</f>
        <v>0.005</v>
      </c>
    </row>
    <row r="210" spans="2:9">
      <c r="B210" s="17"/>
      <c r="C210" s="18"/>
      <c r="D210" s="19"/>
      <c r="E210" s="18"/>
      <c r="F210" s="18"/>
      <c r="G210" s="52"/>
      <c r="H210" s="20"/>
      <c r="I210" s="42">
        <f t="shared" si="9"/>
        <v>0</v>
      </c>
    </row>
    <row r="211" spans="2:9">
      <c r="B211" s="17"/>
      <c r="C211" s="18"/>
      <c r="D211" s="19"/>
      <c r="E211" s="18"/>
      <c r="F211" s="18"/>
      <c r="G211" s="52"/>
      <c r="H211" s="20"/>
      <c r="I211" s="42">
        <f>(I209+I210)*0.03</f>
        <v>0</v>
      </c>
    </row>
    <row r="212" spans="2:9">
      <c r="B212" s="17"/>
      <c r="C212" s="21"/>
      <c r="D212" s="21"/>
      <c r="E212" s="22" t="s">
        <v>173</v>
      </c>
      <c r="F212" s="23">
        <f>$F$119</f>
        <v>0</v>
      </c>
      <c r="G212" s="57">
        <f>$G$119</f>
        <v>0</v>
      </c>
      <c r="H212" s="24"/>
      <c r="I212" s="42">
        <f>SUM(I205:I211)</f>
        <v>89122.786426842</v>
      </c>
    </row>
    <row r="213" spans="2:9">
      <c r="B213" s="17"/>
      <c r="C213" s="21"/>
      <c r="D213" s="21"/>
      <c r="E213" s="22" t="s">
        <v>174</v>
      </c>
      <c r="F213" s="23">
        <f>$G$119</f>
        <v>0</v>
      </c>
      <c r="G213" s="57"/>
      <c r="H213" s="24"/>
      <c r="I213" s="42">
        <f>I212/G203</f>
        <v>71298.2291414736</v>
      </c>
    </row>
    <row r="214" spans="2:9">
      <c r="B214" s="31"/>
      <c r="C214" s="32"/>
      <c r="D214" s="32"/>
      <c r="E214" s="33" t="s">
        <v>182</v>
      </c>
      <c r="F214" s="34"/>
      <c r="G214" s="36"/>
      <c r="H214" s="35" t="s">
        <v>190</v>
      </c>
      <c r="I214" s="46">
        <f>I213</f>
        <v>71298.2291414736</v>
      </c>
    </row>
    <row r="215" spans="2:13">
      <c r="B215" s="31"/>
      <c r="C215" s="32"/>
      <c r="D215" s="32"/>
      <c r="E215" s="33" t="s">
        <v>1</v>
      </c>
      <c r="F215" s="34"/>
      <c r="G215" s="36"/>
      <c r="H215" s="37">
        <f>H58</f>
        <v>0</v>
      </c>
      <c r="I215" s="46">
        <f>I214*H215</f>
        <v>0</v>
      </c>
      <c r="M215" s="52"/>
    </row>
    <row r="216" spans="2:9">
      <c r="B216" s="54"/>
      <c r="C216" s="55"/>
      <c r="D216" s="55"/>
      <c r="E216" s="33" t="s">
        <v>183</v>
      </c>
      <c r="F216" s="34"/>
      <c r="G216" s="36"/>
      <c r="H216" s="35"/>
      <c r="I216" s="46">
        <f>I214+I215</f>
        <v>71298.2291414736</v>
      </c>
    </row>
    <row r="217" spans="2:15">
      <c r="B217" s="54"/>
      <c r="C217" s="55"/>
      <c r="D217" s="55"/>
      <c r="E217" s="33"/>
      <c r="F217" s="34"/>
      <c r="G217" s="36"/>
      <c r="H217" s="35"/>
      <c r="I217" s="46"/>
      <c r="O217" s="1">
        <f>3/0.2</f>
        <v>15</v>
      </c>
    </row>
    <row r="220" spans="2:9">
      <c r="B220" s="49"/>
      <c r="C220" s="49"/>
      <c r="D220" s="13" t="s">
        <v>57</v>
      </c>
      <c r="E220" s="13"/>
      <c r="F220" s="13"/>
      <c r="G220" s="50"/>
      <c r="H220" s="13"/>
      <c r="I220" s="13"/>
    </row>
    <row r="221" spans="2:9">
      <c r="B221" s="14"/>
      <c r="C221" s="14"/>
      <c r="D221" s="14"/>
      <c r="E221" s="15"/>
      <c r="F221" s="16" t="s">
        <v>161</v>
      </c>
      <c r="G221" s="67">
        <f>3.75</f>
        <v>3.75</v>
      </c>
      <c r="H221" s="16" t="s">
        <v>112</v>
      </c>
      <c r="I221" s="56"/>
    </row>
    <row r="222" spans="2:9">
      <c r="B222" s="17"/>
      <c r="C222" s="18" t="s">
        <v>198</v>
      </c>
      <c r="D222" s="18" t="s">
        <v>163</v>
      </c>
      <c r="E222" s="18" t="s">
        <v>164</v>
      </c>
      <c r="F222" s="18" t="s">
        <v>165</v>
      </c>
      <c r="G222" s="52" t="s">
        <v>166</v>
      </c>
      <c r="H222" s="18" t="s">
        <v>8</v>
      </c>
      <c r="I222" s="52" t="s">
        <v>167</v>
      </c>
    </row>
    <row r="223" spans="2:9">
      <c r="B223" s="17"/>
      <c r="C223" s="18"/>
      <c r="D223" s="19" t="s">
        <v>211</v>
      </c>
      <c r="E223" s="18"/>
      <c r="F223" s="18" t="s">
        <v>112</v>
      </c>
      <c r="G223" s="52">
        <v>3.75</v>
      </c>
      <c r="H223" s="20">
        <f>H205</f>
        <v>39148.2332155477</v>
      </c>
      <c r="I223" s="42">
        <f t="shared" ref="I223:I228" si="10">H223*G223</f>
        <v>146805.874558304</v>
      </c>
    </row>
    <row r="224" spans="2:18">
      <c r="B224" s="17"/>
      <c r="C224" s="18"/>
      <c r="D224" s="19" t="s">
        <v>212</v>
      </c>
      <c r="E224" s="18"/>
      <c r="F224" s="18" t="s">
        <v>126</v>
      </c>
      <c r="G224" s="52">
        <f>(6+6+1+1)*0.125</f>
        <v>1.75</v>
      </c>
      <c r="H224" s="20">
        <f>H206</f>
        <v>4686.80555555556</v>
      </c>
      <c r="I224" s="42">
        <f t="shared" si="10"/>
        <v>8201.90972222222</v>
      </c>
      <c r="K224" s="49" t="s">
        <v>216</v>
      </c>
      <c r="L224" s="49"/>
      <c r="M224" s="13" t="s">
        <v>217</v>
      </c>
      <c r="N224" s="13"/>
      <c r="O224" s="13"/>
      <c r="P224" s="13"/>
      <c r="Q224" s="13"/>
      <c r="R224" s="13"/>
    </row>
    <row r="225" spans="2:18">
      <c r="B225" s="17"/>
      <c r="C225" s="18"/>
      <c r="D225" s="19" t="s">
        <v>218</v>
      </c>
      <c r="E225" s="18"/>
      <c r="F225" s="18" t="s">
        <v>126</v>
      </c>
      <c r="G225" s="52">
        <f>3.75/0.125*1.5</f>
        <v>45</v>
      </c>
      <c r="H225" s="20">
        <f>Rates!E20</f>
        <v>600</v>
      </c>
      <c r="I225" s="42">
        <f t="shared" si="10"/>
        <v>27000</v>
      </c>
      <c r="K225" s="14"/>
      <c r="L225" s="14"/>
      <c r="M225" s="14"/>
      <c r="N225" s="15"/>
      <c r="O225" s="16" t="s">
        <v>161</v>
      </c>
      <c r="P225" s="15">
        <v>1</v>
      </c>
      <c r="Q225" s="16" t="s">
        <v>219</v>
      </c>
      <c r="R225" s="40"/>
    </row>
    <row r="226" spans="2:18">
      <c r="B226" s="17"/>
      <c r="C226" s="18"/>
      <c r="D226" s="19"/>
      <c r="E226" s="18"/>
      <c r="F226" s="18"/>
      <c r="G226" s="52"/>
      <c r="H226" s="20"/>
      <c r="I226" s="42">
        <f t="shared" si="10"/>
        <v>0</v>
      </c>
      <c r="K226" s="17"/>
      <c r="L226" s="18" t="s">
        <v>162</v>
      </c>
      <c r="M226" s="18" t="s">
        <v>163</v>
      </c>
      <c r="N226" s="18" t="s">
        <v>164</v>
      </c>
      <c r="O226" s="18" t="s">
        <v>165</v>
      </c>
      <c r="P226" s="18" t="s">
        <v>166</v>
      </c>
      <c r="Q226" s="18" t="s">
        <v>8</v>
      </c>
      <c r="R226" s="41" t="s">
        <v>167</v>
      </c>
    </row>
    <row r="227" ht="26.4" spans="2:18">
      <c r="B227" s="17"/>
      <c r="C227" s="18"/>
      <c r="D227" s="19"/>
      <c r="E227" s="18"/>
      <c r="F227" s="18"/>
      <c r="G227" s="52"/>
      <c r="H227" s="20"/>
      <c r="I227" s="42">
        <f t="shared" si="10"/>
        <v>0</v>
      </c>
      <c r="K227" s="17"/>
      <c r="L227" s="18">
        <v>1.00999999046326</v>
      </c>
      <c r="M227" s="19" t="s">
        <v>220</v>
      </c>
      <c r="N227" s="18" t="s">
        <v>221</v>
      </c>
      <c r="O227" s="254" t="s">
        <v>162</v>
      </c>
      <c r="P227" s="18">
        <v>150</v>
      </c>
      <c r="Q227" s="20">
        <v>0</v>
      </c>
      <c r="R227" s="42">
        <f t="shared" ref="R227:R234" si="11">Q227*P227</f>
        <v>0</v>
      </c>
    </row>
    <row r="228" ht="52.8" spans="2:18">
      <c r="B228" s="17"/>
      <c r="C228" s="18"/>
      <c r="D228" s="19"/>
      <c r="E228" s="18"/>
      <c r="F228" s="18"/>
      <c r="G228" s="52"/>
      <c r="H228" s="20"/>
      <c r="I228" s="42">
        <f t="shared" si="10"/>
        <v>0</v>
      </c>
      <c r="K228" s="17"/>
      <c r="L228" s="18">
        <v>1.01999998092651</v>
      </c>
      <c r="M228" s="19" t="s">
        <v>222</v>
      </c>
      <c r="N228" s="254" t="s">
        <v>223</v>
      </c>
      <c r="O228" s="254" t="s">
        <v>223</v>
      </c>
      <c r="P228" s="254" t="s">
        <v>223</v>
      </c>
      <c r="Q228" s="254" t="s">
        <v>223</v>
      </c>
      <c r="R228" s="42">
        <f>(R227)*10/100</f>
        <v>0</v>
      </c>
    </row>
    <row r="229" spans="2:18">
      <c r="B229" s="17"/>
      <c r="C229" s="18"/>
      <c r="D229" s="19"/>
      <c r="E229" s="18"/>
      <c r="F229" s="18"/>
      <c r="G229" s="52"/>
      <c r="H229" s="20"/>
      <c r="I229" s="42">
        <f>(I227+I228)*0.03</f>
        <v>0</v>
      </c>
      <c r="K229" s="17"/>
      <c r="L229" s="18">
        <v>1.02999997138977</v>
      </c>
      <c r="M229" s="19" t="s">
        <v>118</v>
      </c>
      <c r="N229" s="69" t="s">
        <v>224</v>
      </c>
      <c r="O229" s="18" t="s">
        <v>119</v>
      </c>
      <c r="P229" s="18">
        <v>2.5</v>
      </c>
      <c r="Q229" s="72">
        <v>935</v>
      </c>
      <c r="R229" s="42">
        <f t="shared" si="11"/>
        <v>2337.5</v>
      </c>
    </row>
    <row r="230" spans="2:18">
      <c r="B230" s="17"/>
      <c r="C230" s="21"/>
      <c r="D230" s="21"/>
      <c r="E230" s="22" t="s">
        <v>173</v>
      </c>
      <c r="F230" s="23">
        <f>$F$119</f>
        <v>0</v>
      </c>
      <c r="G230" s="57">
        <f>$G$119</f>
        <v>0</v>
      </c>
      <c r="H230" s="24"/>
      <c r="I230" s="42">
        <f>SUM(I223:I229)</f>
        <v>182007.784280526</v>
      </c>
      <c r="K230" s="17"/>
      <c r="L230" s="18">
        <v>1.03999996185303</v>
      </c>
      <c r="M230" s="19" t="s">
        <v>225</v>
      </c>
      <c r="N230" s="69" t="s">
        <v>226</v>
      </c>
      <c r="O230" s="254" t="s">
        <v>227</v>
      </c>
      <c r="P230" s="18">
        <v>0.11</v>
      </c>
      <c r="Q230" s="72">
        <v>19000</v>
      </c>
      <c r="R230" s="42">
        <f t="shared" si="11"/>
        <v>2090</v>
      </c>
    </row>
    <row r="231" ht="26.4" spans="2:18">
      <c r="B231" s="17"/>
      <c r="C231" s="21"/>
      <c r="D231" s="21"/>
      <c r="E231" s="22" t="s">
        <v>174</v>
      </c>
      <c r="F231" s="23">
        <f>$G$119</f>
        <v>0</v>
      </c>
      <c r="G231" s="57"/>
      <c r="H231" s="24"/>
      <c r="I231" s="42">
        <f>I230/G221</f>
        <v>48535.4091414736</v>
      </c>
      <c r="K231" s="17"/>
      <c r="L231" s="18">
        <v>1.04999995231628</v>
      </c>
      <c r="M231" s="19" t="s">
        <v>228</v>
      </c>
      <c r="N231" s="18" t="s">
        <v>229</v>
      </c>
      <c r="O231" s="254" t="s">
        <v>230</v>
      </c>
      <c r="P231" s="18">
        <v>1</v>
      </c>
      <c r="Q231" s="20">
        <v>0</v>
      </c>
      <c r="R231" s="42">
        <f t="shared" si="11"/>
        <v>0</v>
      </c>
    </row>
    <row r="232" spans="2:18">
      <c r="B232" s="31"/>
      <c r="C232" s="32"/>
      <c r="D232" s="32"/>
      <c r="E232" s="33" t="s">
        <v>182</v>
      </c>
      <c r="F232" s="34"/>
      <c r="G232" s="36"/>
      <c r="H232" s="35" t="s">
        <v>190</v>
      </c>
      <c r="I232" s="46">
        <f>I231</f>
        <v>48535.4091414736</v>
      </c>
      <c r="K232" s="17"/>
      <c r="L232" s="18">
        <v>1.05999994277954</v>
      </c>
      <c r="M232" s="19" t="s">
        <v>231</v>
      </c>
      <c r="N232" s="69" t="s">
        <v>232</v>
      </c>
      <c r="O232" s="18" t="s">
        <v>177</v>
      </c>
      <c r="P232" s="18">
        <v>4</v>
      </c>
      <c r="Q232" s="72">
        <v>2200</v>
      </c>
      <c r="R232" s="42">
        <f t="shared" si="11"/>
        <v>8800</v>
      </c>
    </row>
    <row r="233" ht="26.4" spans="2:18">
      <c r="B233" s="31"/>
      <c r="C233" s="32"/>
      <c r="D233" s="32"/>
      <c r="E233" s="33" t="s">
        <v>1</v>
      </c>
      <c r="F233" s="34"/>
      <c r="G233" s="36"/>
      <c r="H233" s="37">
        <f>H76</f>
        <v>0</v>
      </c>
      <c r="I233" s="46">
        <f>I232*H233</f>
        <v>0</v>
      </c>
      <c r="K233" s="17"/>
      <c r="L233" s="18">
        <v>1.07000005245209</v>
      </c>
      <c r="M233" s="19" t="s">
        <v>178</v>
      </c>
      <c r="N233" s="69" t="s">
        <v>233</v>
      </c>
      <c r="O233" s="254" t="s">
        <v>177</v>
      </c>
      <c r="P233" s="18">
        <v>4</v>
      </c>
      <c r="Q233" s="72">
        <v>1700</v>
      </c>
      <c r="R233" s="42">
        <f t="shared" si="11"/>
        <v>6800</v>
      </c>
    </row>
    <row r="234" ht="26.4" spans="2:18">
      <c r="B234" s="54"/>
      <c r="C234" s="55"/>
      <c r="D234" s="55"/>
      <c r="E234" s="33" t="s">
        <v>183</v>
      </c>
      <c r="F234" s="34"/>
      <c r="G234" s="36"/>
      <c r="H234" s="35"/>
      <c r="I234" s="46">
        <f>I232+I233</f>
        <v>48535.4091414736</v>
      </c>
      <c r="K234" s="17"/>
      <c r="L234" s="18">
        <v>1.08000004291534</v>
      </c>
      <c r="M234" s="19" t="s">
        <v>178</v>
      </c>
      <c r="N234" s="69" t="s">
        <v>233</v>
      </c>
      <c r="O234" s="254" t="s">
        <v>177</v>
      </c>
      <c r="P234" s="18">
        <v>0.25</v>
      </c>
      <c r="Q234" s="72">
        <v>1700</v>
      </c>
      <c r="R234" s="42">
        <f t="shared" si="11"/>
        <v>425</v>
      </c>
    </row>
    <row r="235" spans="11:18">
      <c r="K235" s="17"/>
      <c r="L235" s="21"/>
      <c r="M235" s="21"/>
      <c r="N235" s="22" t="s">
        <v>173</v>
      </c>
      <c r="O235" s="23">
        <f>$F$31</f>
        <v>0</v>
      </c>
      <c r="P235" s="23">
        <f>$G$31</f>
        <v>0</v>
      </c>
      <c r="Q235" s="24"/>
      <c r="R235" s="42">
        <f>SUM(R227:R234)</f>
        <v>20452.5</v>
      </c>
    </row>
    <row r="236" spans="11:18">
      <c r="K236" s="17"/>
      <c r="L236" s="21"/>
      <c r="M236" s="21"/>
      <c r="N236" s="22" t="s">
        <v>174</v>
      </c>
      <c r="O236" s="23">
        <f>$G$31</f>
        <v>0</v>
      </c>
      <c r="P236" s="23"/>
      <c r="Q236" s="24"/>
      <c r="R236" s="42">
        <f>R235/P225</f>
        <v>20452.5</v>
      </c>
    </row>
    <row r="237" spans="11:18">
      <c r="K237" s="31"/>
      <c r="L237" s="32"/>
      <c r="M237" s="32"/>
      <c r="N237" s="70" t="s">
        <v>182</v>
      </c>
      <c r="O237" s="71"/>
      <c r="P237" s="71"/>
      <c r="Q237" s="35" t="s">
        <v>234</v>
      </c>
      <c r="R237" s="46">
        <f>ROUND(R236,0)</f>
        <v>20453</v>
      </c>
    </row>
    <row r="238" spans="2:9">
      <c r="B238" s="49"/>
      <c r="C238" s="49"/>
      <c r="D238" s="13" t="s">
        <v>59</v>
      </c>
      <c r="E238" s="13"/>
      <c r="F238" s="13"/>
      <c r="G238" s="50"/>
      <c r="H238" s="13"/>
      <c r="I238" s="13"/>
    </row>
    <row r="239" spans="2:9">
      <c r="B239" s="14"/>
      <c r="C239" s="14"/>
      <c r="D239" s="14"/>
      <c r="E239" s="15"/>
      <c r="F239" s="16" t="s">
        <v>161</v>
      </c>
      <c r="G239" s="67">
        <v>2.475</v>
      </c>
      <c r="H239" s="16" t="s">
        <v>51</v>
      </c>
      <c r="I239" s="56"/>
    </row>
    <row r="240" spans="2:9">
      <c r="B240" s="17"/>
      <c r="C240" s="18" t="s">
        <v>198</v>
      </c>
      <c r="D240" s="18" t="s">
        <v>163</v>
      </c>
      <c r="E240" s="18" t="s">
        <v>164</v>
      </c>
      <c r="F240" s="18" t="s">
        <v>165</v>
      </c>
      <c r="G240" s="52" t="s">
        <v>166</v>
      </c>
      <c r="H240" s="18" t="s">
        <v>8</v>
      </c>
      <c r="I240" s="52" t="s">
        <v>167</v>
      </c>
    </row>
    <row r="241" spans="2:9">
      <c r="B241" s="17"/>
      <c r="C241" s="18"/>
      <c r="D241" s="19" t="s">
        <v>211</v>
      </c>
      <c r="E241" s="18"/>
      <c r="F241" s="18" t="s">
        <v>112</v>
      </c>
      <c r="G241" s="52">
        <f>2.475*0.225*0.225</f>
        <v>0.125296875</v>
      </c>
      <c r="H241" s="20">
        <f>I162</f>
        <v>41626.8551236749</v>
      </c>
      <c r="I241" s="42">
        <f t="shared" ref="I241:I246" si="12">H241*G241</f>
        <v>5215.7148630742</v>
      </c>
    </row>
    <row r="242" spans="2:9">
      <c r="B242" s="17"/>
      <c r="C242" s="18"/>
      <c r="D242" s="19" t="s">
        <v>212</v>
      </c>
      <c r="E242" s="18"/>
      <c r="F242" s="18" t="s">
        <v>126</v>
      </c>
      <c r="G242" s="52">
        <f>2.475*0.225*3</f>
        <v>1.670625</v>
      </c>
      <c r="H242" s="20">
        <f>H224</f>
        <v>4686.80555555556</v>
      </c>
      <c r="I242" s="42">
        <f t="shared" si="12"/>
        <v>7829.89453125</v>
      </c>
    </row>
    <row r="243" spans="2:9">
      <c r="B243" s="17"/>
      <c r="C243" s="18"/>
      <c r="D243" s="19" t="s">
        <v>213</v>
      </c>
      <c r="E243" s="18"/>
      <c r="F243" s="18" t="s">
        <v>64</v>
      </c>
      <c r="G243" s="52">
        <f>(3*2.875*144/162)+(2*2.875*16*16/162)+(0.9*17*36/162)</f>
        <v>20.1530864197531</v>
      </c>
      <c r="H243" s="20">
        <f>H207</f>
        <v>548.98</v>
      </c>
      <c r="I243" s="42">
        <f t="shared" si="12"/>
        <v>11063.6413827161</v>
      </c>
    </row>
    <row r="244" spans="2:9">
      <c r="B244" s="17"/>
      <c r="C244" s="18"/>
      <c r="D244" s="19"/>
      <c r="E244" s="18"/>
      <c r="F244" s="18"/>
      <c r="G244" s="52"/>
      <c r="H244" s="20"/>
      <c r="I244" s="42">
        <f t="shared" si="12"/>
        <v>0</v>
      </c>
    </row>
    <row r="245" spans="2:9">
      <c r="B245" s="17"/>
      <c r="C245" s="18"/>
      <c r="D245" s="19"/>
      <c r="E245" s="18"/>
      <c r="F245" s="18"/>
      <c r="G245" s="52"/>
      <c r="H245" s="20"/>
      <c r="I245" s="42">
        <f t="shared" si="12"/>
        <v>0</v>
      </c>
    </row>
    <row r="246" spans="2:9">
      <c r="B246" s="17"/>
      <c r="C246" s="18"/>
      <c r="D246" s="19"/>
      <c r="E246" s="18"/>
      <c r="F246" s="18"/>
      <c r="G246" s="52"/>
      <c r="H246" s="20"/>
      <c r="I246" s="42">
        <f t="shared" si="12"/>
        <v>0</v>
      </c>
    </row>
    <row r="247" spans="2:9">
      <c r="B247" s="17"/>
      <c r="C247" s="18"/>
      <c r="D247" s="19"/>
      <c r="E247" s="18"/>
      <c r="F247" s="18"/>
      <c r="G247" s="52"/>
      <c r="H247" s="20"/>
      <c r="I247" s="42">
        <f>(I245+I246)*0.03</f>
        <v>0</v>
      </c>
    </row>
    <row r="248" spans="2:9">
      <c r="B248" s="17"/>
      <c r="C248" s="21"/>
      <c r="D248" s="21"/>
      <c r="E248" s="22" t="s">
        <v>173</v>
      </c>
      <c r="F248" s="23">
        <f>$F$119</f>
        <v>0</v>
      </c>
      <c r="G248" s="57">
        <f>$G$119</f>
        <v>0</v>
      </c>
      <c r="H248" s="24"/>
      <c r="I248" s="42">
        <f>SUM(I241:I247)</f>
        <v>24109.2507770403</v>
      </c>
    </row>
    <row r="249" spans="2:9">
      <c r="B249" s="17"/>
      <c r="C249" s="21"/>
      <c r="D249" s="21"/>
      <c r="E249" s="22" t="s">
        <v>174</v>
      </c>
      <c r="F249" s="23">
        <f>$G$119</f>
        <v>0</v>
      </c>
      <c r="G249" s="57"/>
      <c r="H249" s="24"/>
      <c r="I249" s="42">
        <f>I248/G239</f>
        <v>9741.11142506677</v>
      </c>
    </row>
    <row r="250" spans="2:9">
      <c r="B250" s="31"/>
      <c r="C250" s="32"/>
      <c r="D250" s="32"/>
      <c r="E250" s="33" t="s">
        <v>182</v>
      </c>
      <c r="F250" s="34"/>
      <c r="G250" s="36"/>
      <c r="H250" s="35" t="s">
        <v>214</v>
      </c>
      <c r="I250" s="46">
        <f>I249</f>
        <v>9741.11142506677</v>
      </c>
    </row>
    <row r="251" spans="2:9">
      <c r="B251" s="54"/>
      <c r="C251" s="55"/>
      <c r="D251" s="55"/>
      <c r="E251" s="33" t="s">
        <v>1</v>
      </c>
      <c r="F251" s="34"/>
      <c r="G251" s="36"/>
      <c r="H251" s="37">
        <f>H94</f>
        <v>0</v>
      </c>
      <c r="I251" s="46">
        <f>I250*H251</f>
        <v>0</v>
      </c>
    </row>
    <row r="252" spans="2:9">
      <c r="B252" s="54"/>
      <c r="C252" s="55"/>
      <c r="D252" s="55"/>
      <c r="E252" s="33" t="s">
        <v>183</v>
      </c>
      <c r="F252" s="34"/>
      <c r="G252" s="36"/>
      <c r="H252" s="35"/>
      <c r="I252" s="46">
        <f>I250+I251</f>
        <v>9741.11142506677</v>
      </c>
    </row>
    <row r="253" spans="2:9">
      <c r="B253" s="54"/>
      <c r="C253" s="55"/>
      <c r="D253" s="55"/>
      <c r="E253" s="58"/>
      <c r="F253" s="59"/>
      <c r="G253" s="60"/>
      <c r="H253" s="61"/>
      <c r="I253" s="68"/>
    </row>
    <row r="256" spans="2:9">
      <c r="B256" s="49" t="s">
        <v>235</v>
      </c>
      <c r="C256" s="49"/>
      <c r="D256" s="13" t="s">
        <v>236</v>
      </c>
      <c r="E256" s="13"/>
      <c r="F256" s="13"/>
      <c r="G256" s="13"/>
      <c r="H256" s="13"/>
      <c r="I256" s="13"/>
    </row>
    <row r="257" spans="2:9">
      <c r="B257" s="14"/>
      <c r="C257" s="14"/>
      <c r="D257" s="14"/>
      <c r="E257" s="15"/>
      <c r="F257" s="16" t="s">
        <v>161</v>
      </c>
      <c r="G257" s="15">
        <v>1</v>
      </c>
      <c r="H257" s="16" t="s">
        <v>121</v>
      </c>
      <c r="I257" s="56"/>
    </row>
    <row r="258" spans="2:9">
      <c r="B258" s="17"/>
      <c r="C258" s="18" t="s">
        <v>162</v>
      </c>
      <c r="D258" s="18" t="s">
        <v>163</v>
      </c>
      <c r="E258" s="18" t="s">
        <v>164</v>
      </c>
      <c r="F258" s="18" t="s">
        <v>165</v>
      </c>
      <c r="G258" s="18" t="s">
        <v>166</v>
      </c>
      <c r="H258" s="18" t="s">
        <v>8</v>
      </c>
      <c r="I258" s="41" t="s">
        <v>167</v>
      </c>
    </row>
    <row r="259" spans="2:9">
      <c r="B259" s="17"/>
      <c r="C259" s="18"/>
      <c r="D259" s="19" t="s">
        <v>118</v>
      </c>
      <c r="E259" s="18"/>
      <c r="F259" s="18" t="s">
        <v>119</v>
      </c>
      <c r="G259" s="18">
        <v>13</v>
      </c>
      <c r="H259" s="20">
        <f>Rates!E15</f>
        <v>2425</v>
      </c>
      <c r="I259" s="42">
        <f t="shared" ref="I259:I265" si="13">H259*G259</f>
        <v>31525</v>
      </c>
    </row>
    <row r="260" spans="2:9">
      <c r="B260" s="17"/>
      <c r="C260" s="18"/>
      <c r="D260" s="19" t="s">
        <v>225</v>
      </c>
      <c r="E260" s="18"/>
      <c r="F260" s="18" t="s">
        <v>121</v>
      </c>
      <c r="G260" s="18">
        <v>0.53</v>
      </c>
      <c r="H260" s="20">
        <f>Rates!E16</f>
        <v>25000</v>
      </c>
      <c r="I260" s="42">
        <f t="shared" si="13"/>
        <v>13250</v>
      </c>
    </row>
    <row r="261" spans="2:9">
      <c r="B261" s="17"/>
      <c r="C261" s="18"/>
      <c r="D261" s="19" t="s">
        <v>237</v>
      </c>
      <c r="E261" s="18"/>
      <c r="F261" s="18" t="s">
        <v>121</v>
      </c>
      <c r="G261" s="18">
        <v>0.92</v>
      </c>
      <c r="H261" s="20">
        <f>Rates!E17</f>
        <v>13000</v>
      </c>
      <c r="I261" s="42">
        <f t="shared" si="13"/>
        <v>11960</v>
      </c>
    </row>
    <row r="262" spans="2:10">
      <c r="B262" s="17"/>
      <c r="C262" s="18"/>
      <c r="D262" s="19" t="s">
        <v>238</v>
      </c>
      <c r="E262" s="18"/>
      <c r="F262" s="18" t="s">
        <v>177</v>
      </c>
      <c r="G262" s="18">
        <v>0.333</v>
      </c>
      <c r="H262" s="20">
        <f>Rates!E51</f>
        <v>4500</v>
      </c>
      <c r="I262" s="42">
        <f t="shared" si="13"/>
        <v>1498.5</v>
      </c>
      <c r="J262" s="1">
        <f>58000/2.8</f>
        <v>20714.2857142857</v>
      </c>
    </row>
    <row r="263" spans="2:9">
      <c r="B263" s="17"/>
      <c r="C263" s="18"/>
      <c r="D263" s="19" t="s">
        <v>239</v>
      </c>
      <c r="E263" s="18"/>
      <c r="F263" s="18" t="s">
        <v>138</v>
      </c>
      <c r="G263" s="18">
        <v>110</v>
      </c>
      <c r="H263" s="20">
        <v>3</v>
      </c>
      <c r="I263" s="42">
        <f t="shared" si="13"/>
        <v>330</v>
      </c>
    </row>
    <row r="264" spans="2:9">
      <c r="B264" s="17"/>
      <c r="C264" s="18"/>
      <c r="D264" s="19" t="s">
        <v>176</v>
      </c>
      <c r="E264" s="18"/>
      <c r="F264" s="18" t="s">
        <v>177</v>
      </c>
      <c r="G264" s="73">
        <f>0.333*2</f>
        <v>0.666</v>
      </c>
      <c r="H264" s="20">
        <f>Rates!E40</f>
        <v>4000</v>
      </c>
      <c r="I264" s="42">
        <f t="shared" si="13"/>
        <v>2664</v>
      </c>
    </row>
    <row r="265" spans="2:9">
      <c r="B265" s="17"/>
      <c r="C265" s="18"/>
      <c r="D265" s="19" t="s">
        <v>178</v>
      </c>
      <c r="E265" s="18"/>
      <c r="F265" s="18" t="s">
        <v>177</v>
      </c>
      <c r="G265" s="73">
        <v>4</v>
      </c>
      <c r="H265" s="20">
        <f>Rates!E44</f>
        <v>2300</v>
      </c>
      <c r="I265" s="42">
        <f t="shared" si="13"/>
        <v>9200</v>
      </c>
    </row>
    <row r="266" spans="2:9">
      <c r="B266" s="17"/>
      <c r="C266" s="21"/>
      <c r="D266" s="21"/>
      <c r="E266" s="22" t="s">
        <v>173</v>
      </c>
      <c r="F266" s="23">
        <f>$F$123</f>
        <v>0</v>
      </c>
      <c r="G266" s="23">
        <f>$G$123</f>
        <v>0</v>
      </c>
      <c r="H266" s="24"/>
      <c r="I266" s="42">
        <f>SUM(I259:I265)</f>
        <v>70427.5</v>
      </c>
    </row>
    <row r="267" spans="2:9">
      <c r="B267" s="17"/>
      <c r="C267" s="21"/>
      <c r="D267" s="21"/>
      <c r="E267" s="22" t="s">
        <v>174</v>
      </c>
      <c r="F267" s="23">
        <f>$G$123</f>
        <v>0</v>
      </c>
      <c r="G267" s="23"/>
      <c r="H267" s="24"/>
      <c r="I267" s="42">
        <f>I266/G257</f>
        <v>70427.5</v>
      </c>
    </row>
    <row r="268" spans="2:9">
      <c r="B268" s="31"/>
      <c r="C268" s="32"/>
      <c r="D268" s="32"/>
      <c r="E268" s="33" t="s">
        <v>182</v>
      </c>
      <c r="F268" s="34"/>
      <c r="G268" s="34"/>
      <c r="H268" s="35" t="s">
        <v>203</v>
      </c>
      <c r="I268" s="46">
        <f>ROUND(I267,-1)</f>
        <v>70430</v>
      </c>
    </row>
    <row r="269" ht="14.4" spans="2:9">
      <c r="B269" s="31"/>
      <c r="C269" s="31"/>
      <c r="D269" s="31"/>
      <c r="E269" s="33" t="s">
        <v>182</v>
      </c>
      <c r="F269" s="34"/>
      <c r="G269" s="34"/>
      <c r="H269" s="35" t="s">
        <v>191</v>
      </c>
      <c r="I269" s="46">
        <f>I268/2.83</f>
        <v>24886.925795053</v>
      </c>
    </row>
    <row r="270" spans="2:9">
      <c r="B270" s="31"/>
      <c r="C270" s="31"/>
      <c r="D270" s="31"/>
      <c r="E270" s="33" t="s">
        <v>1</v>
      </c>
      <c r="F270" s="34"/>
      <c r="G270" s="36"/>
      <c r="H270" s="37">
        <f>H1</f>
        <v>0</v>
      </c>
      <c r="I270" s="46">
        <f>I269*H270</f>
        <v>0</v>
      </c>
    </row>
    <row r="271" spans="2:9">
      <c r="B271" s="31"/>
      <c r="C271" s="31"/>
      <c r="D271" s="31"/>
      <c r="E271" s="33" t="s">
        <v>183</v>
      </c>
      <c r="F271" s="34"/>
      <c r="G271" s="36"/>
      <c r="H271" s="35"/>
      <c r="I271" s="46">
        <f>I269+I270</f>
        <v>24886.925795053</v>
      </c>
    </row>
    <row r="272" spans="2:9">
      <c r="B272" s="31"/>
      <c r="C272" s="31"/>
      <c r="D272" s="31"/>
      <c r="E272" s="33" t="s">
        <v>240</v>
      </c>
      <c r="F272" s="34"/>
      <c r="G272" s="36"/>
      <c r="H272" s="35"/>
      <c r="I272" s="46">
        <f>I271*0.05</f>
        <v>1244.34628975265</v>
      </c>
    </row>
    <row r="273" spans="2:9">
      <c r="B273" s="31"/>
      <c r="C273" s="31"/>
      <c r="D273" s="31"/>
      <c r="E273" s="31"/>
      <c r="F273" s="31"/>
      <c r="G273" s="31"/>
      <c r="H273" s="31"/>
      <c r="I273" s="31"/>
    </row>
    <row r="274" spans="2:9">
      <c r="B274" s="31"/>
      <c r="C274" s="32"/>
      <c r="D274" s="32"/>
      <c r="E274" s="74"/>
      <c r="F274" s="75"/>
      <c r="G274" s="75"/>
      <c r="H274" s="76"/>
      <c r="I274" s="79"/>
    </row>
    <row r="275" spans="2:9">
      <c r="B275" s="49" t="s">
        <v>241</v>
      </c>
      <c r="C275" s="49"/>
      <c r="D275" s="13" t="s">
        <v>242</v>
      </c>
      <c r="E275" s="13"/>
      <c r="F275" s="13"/>
      <c r="G275" s="13"/>
      <c r="H275" s="13"/>
      <c r="I275" s="13"/>
    </row>
    <row r="276" spans="2:9">
      <c r="B276" s="14"/>
      <c r="C276" s="14"/>
      <c r="D276" s="14"/>
      <c r="E276" s="15"/>
      <c r="F276" s="16" t="s">
        <v>161</v>
      </c>
      <c r="G276" s="15">
        <v>1</v>
      </c>
      <c r="H276" s="16" t="s">
        <v>121</v>
      </c>
      <c r="I276" s="56"/>
    </row>
    <row r="277" spans="2:11">
      <c r="B277" s="17"/>
      <c r="C277" s="18" t="s">
        <v>162</v>
      </c>
      <c r="D277" s="18" t="s">
        <v>163</v>
      </c>
      <c r="E277" s="18" t="s">
        <v>164</v>
      </c>
      <c r="F277" s="18" t="s">
        <v>165</v>
      </c>
      <c r="G277" s="18" t="s">
        <v>166</v>
      </c>
      <c r="H277" s="18" t="s">
        <v>8</v>
      </c>
      <c r="I277" s="41" t="s">
        <v>167</v>
      </c>
      <c r="K277" s="1">
        <f>G278/2.83</f>
        <v>8.12720848056537</v>
      </c>
    </row>
    <row r="278" spans="2:9">
      <c r="B278" s="17"/>
      <c r="C278" s="18"/>
      <c r="D278" s="19" t="s">
        <v>118</v>
      </c>
      <c r="E278" s="18"/>
      <c r="F278" s="18" t="s">
        <v>119</v>
      </c>
      <c r="G278" s="18">
        <v>23</v>
      </c>
      <c r="H278" s="20">
        <f t="shared" ref="H278:H280" si="14">H259</f>
        <v>2425</v>
      </c>
      <c r="I278" s="42">
        <f t="shared" ref="I278:I285" si="15">H278*G278</f>
        <v>55775</v>
      </c>
    </row>
    <row r="279" spans="2:12">
      <c r="B279" s="17"/>
      <c r="C279" s="18"/>
      <c r="D279" s="19" t="s">
        <v>225</v>
      </c>
      <c r="E279" s="18"/>
      <c r="F279" s="18" t="s">
        <v>121</v>
      </c>
      <c r="G279" s="18">
        <v>0.42</v>
      </c>
      <c r="H279" s="20">
        <f t="shared" si="14"/>
        <v>25000</v>
      </c>
      <c r="I279" s="42">
        <f t="shared" si="15"/>
        <v>10500</v>
      </c>
      <c r="K279" s="1">
        <f>31/2.83</f>
        <v>10.9540636042403</v>
      </c>
      <c r="L279" s="1">
        <f>76000/2.83</f>
        <v>26855.1236749117</v>
      </c>
    </row>
    <row r="280" spans="2:9">
      <c r="B280" s="17"/>
      <c r="C280" s="18"/>
      <c r="D280" s="19" t="s">
        <v>243</v>
      </c>
      <c r="E280" s="18"/>
      <c r="F280" s="18" t="s">
        <v>121</v>
      </c>
      <c r="G280" s="18">
        <v>0.82</v>
      </c>
      <c r="H280" s="20">
        <f t="shared" si="14"/>
        <v>13000</v>
      </c>
      <c r="I280" s="42">
        <f t="shared" si="15"/>
        <v>10660</v>
      </c>
    </row>
    <row r="281" spans="2:9">
      <c r="B281" s="17"/>
      <c r="C281" s="18"/>
      <c r="D281" s="19" t="s">
        <v>238</v>
      </c>
      <c r="E281" s="18"/>
      <c r="F281" s="18" t="s">
        <v>177</v>
      </c>
      <c r="G281" s="18">
        <v>0.333</v>
      </c>
      <c r="H281" s="20">
        <f>Rates!E51</f>
        <v>4500</v>
      </c>
      <c r="I281" s="42">
        <f t="shared" si="15"/>
        <v>1498.5</v>
      </c>
    </row>
    <row r="282" spans="2:9">
      <c r="B282" s="17"/>
      <c r="C282" s="18"/>
      <c r="D282" s="19" t="s">
        <v>158</v>
      </c>
      <c r="E282" s="18"/>
      <c r="F282" s="18" t="s">
        <v>177</v>
      </c>
      <c r="G282" s="18">
        <v>0.333</v>
      </c>
      <c r="H282" s="20">
        <f>H132</f>
        <v>3500</v>
      </c>
      <c r="I282" s="42">
        <f t="shared" si="15"/>
        <v>1165.5</v>
      </c>
    </row>
    <row r="283" spans="2:9">
      <c r="B283" s="17"/>
      <c r="C283" s="18"/>
      <c r="D283" s="19" t="s">
        <v>239</v>
      </c>
      <c r="E283" s="18"/>
      <c r="F283" s="18" t="s">
        <v>138</v>
      </c>
      <c r="G283" s="18">
        <v>150</v>
      </c>
      <c r="H283" s="20">
        <v>3</v>
      </c>
      <c r="I283" s="42">
        <f t="shared" si="15"/>
        <v>450</v>
      </c>
    </row>
    <row r="284" spans="2:11">
      <c r="B284" s="17"/>
      <c r="C284" s="18"/>
      <c r="D284" s="19" t="s">
        <v>176</v>
      </c>
      <c r="E284" s="18"/>
      <c r="F284" s="18" t="s">
        <v>177</v>
      </c>
      <c r="G284" s="73">
        <f>0.333*2</f>
        <v>0.666</v>
      </c>
      <c r="H284" s="20">
        <f>Rates!E40</f>
        <v>4000</v>
      </c>
      <c r="I284" s="42">
        <f t="shared" si="15"/>
        <v>2664</v>
      </c>
      <c r="K284" s="45">
        <f>I284+I285</f>
        <v>11864</v>
      </c>
    </row>
    <row r="285" spans="2:14">
      <c r="B285" s="17"/>
      <c r="C285" s="18"/>
      <c r="D285" s="19" t="s">
        <v>178</v>
      </c>
      <c r="E285" s="18"/>
      <c r="F285" s="18" t="s">
        <v>177</v>
      </c>
      <c r="G285" s="73">
        <v>4</v>
      </c>
      <c r="H285" s="20">
        <f>Rates!E44</f>
        <v>2300</v>
      </c>
      <c r="I285" s="42">
        <f t="shared" si="15"/>
        <v>9200</v>
      </c>
      <c r="K285" s="45">
        <f>K284/2.83</f>
        <v>4192.22614840989</v>
      </c>
      <c r="N285" s="1">
        <f>8200/2.83</f>
        <v>2897.52650176678</v>
      </c>
    </row>
    <row r="286" spans="2:11">
      <c r="B286" s="17"/>
      <c r="C286" s="21"/>
      <c r="D286" s="21"/>
      <c r="E286" s="22" t="s">
        <v>173</v>
      </c>
      <c r="F286" s="23">
        <f>$F$138</f>
        <v>0</v>
      </c>
      <c r="G286" s="23">
        <f>$G$138</f>
        <v>0</v>
      </c>
      <c r="H286" s="24"/>
      <c r="I286" s="42">
        <f>SUM(I278:I285)</f>
        <v>91913</v>
      </c>
      <c r="K286" s="1">
        <f>5900/2.83</f>
        <v>2084.80565371025</v>
      </c>
    </row>
    <row r="287" spans="2:9">
      <c r="B287" s="17"/>
      <c r="C287" s="21"/>
      <c r="D287" s="21"/>
      <c r="E287" s="22" t="s">
        <v>174</v>
      </c>
      <c r="F287" s="23">
        <f>$G$138</f>
        <v>0</v>
      </c>
      <c r="G287" s="23"/>
      <c r="H287" s="24"/>
      <c r="I287" s="42">
        <f>I286/G276</f>
        <v>91913</v>
      </c>
    </row>
    <row r="288" spans="2:9">
      <c r="B288" s="31"/>
      <c r="C288" s="32"/>
      <c r="D288" s="32"/>
      <c r="E288" s="33" t="s">
        <v>182</v>
      </c>
      <c r="F288" s="34"/>
      <c r="G288" s="34"/>
      <c r="H288" s="35" t="s">
        <v>203</v>
      </c>
      <c r="I288" s="46">
        <f>ROUND(I287,-1)</f>
        <v>91910</v>
      </c>
    </row>
    <row r="289" ht="14.4" spans="2:9">
      <c r="B289" s="31"/>
      <c r="C289" s="31"/>
      <c r="D289" s="31"/>
      <c r="E289" s="33" t="s">
        <v>182</v>
      </c>
      <c r="F289" s="34"/>
      <c r="G289" s="34"/>
      <c r="H289" s="35" t="s">
        <v>191</v>
      </c>
      <c r="I289" s="46">
        <f>I288/2.83</f>
        <v>32477.0318021201</v>
      </c>
    </row>
    <row r="290" spans="2:9">
      <c r="B290" s="54"/>
      <c r="C290" s="54"/>
      <c r="D290" s="54"/>
      <c r="E290" s="33" t="s">
        <v>1</v>
      </c>
      <c r="F290" s="34"/>
      <c r="G290" s="36"/>
      <c r="H290" s="37">
        <f>H1</f>
        <v>0</v>
      </c>
      <c r="I290" s="46">
        <f>I289*H290</f>
        <v>0</v>
      </c>
    </row>
    <row r="291" spans="2:9">
      <c r="B291" s="54"/>
      <c r="C291" s="54"/>
      <c r="D291" s="54"/>
      <c r="E291" s="33" t="s">
        <v>183</v>
      </c>
      <c r="F291" s="34"/>
      <c r="G291" s="36"/>
      <c r="H291" s="35"/>
      <c r="I291" s="46">
        <f>I289+I290</f>
        <v>32477.0318021201</v>
      </c>
    </row>
    <row r="292" spans="13:13">
      <c r="M292" s="1">
        <f>9500/2.83</f>
        <v>3356.89045936396</v>
      </c>
    </row>
    <row r="293" spans="13:13">
      <c r="M293" s="1">
        <f>11800/2.83</f>
        <v>4169.61130742049</v>
      </c>
    </row>
    <row r="294" spans="2:9">
      <c r="B294" s="11"/>
      <c r="C294" s="12"/>
      <c r="D294" s="13" t="s">
        <v>244</v>
      </c>
      <c r="E294" s="13"/>
      <c r="F294" s="13"/>
      <c r="G294" s="13"/>
      <c r="H294" s="13"/>
      <c r="I294" s="13"/>
    </row>
    <row r="295" spans="2:9">
      <c r="B295" s="14"/>
      <c r="C295" s="14"/>
      <c r="D295" s="14"/>
      <c r="E295" s="15"/>
      <c r="F295" s="16" t="s">
        <v>161</v>
      </c>
      <c r="G295" s="15">
        <v>1</v>
      </c>
      <c r="H295" s="16" t="s">
        <v>121</v>
      </c>
      <c r="I295" s="40"/>
    </row>
    <row r="296" spans="2:9">
      <c r="B296" s="17"/>
      <c r="C296" s="18" t="s">
        <v>162</v>
      </c>
      <c r="D296" s="18" t="s">
        <v>163</v>
      </c>
      <c r="E296" s="18" t="s">
        <v>164</v>
      </c>
      <c r="F296" s="18" t="s">
        <v>165</v>
      </c>
      <c r="G296" s="18" t="s">
        <v>166</v>
      </c>
      <c r="H296" s="18" t="s">
        <v>8</v>
      </c>
      <c r="I296" s="41" t="s">
        <v>167</v>
      </c>
    </row>
    <row r="297" spans="2:9">
      <c r="B297" s="17"/>
      <c r="C297" s="18"/>
      <c r="D297" s="19" t="s">
        <v>245</v>
      </c>
      <c r="E297" s="18"/>
      <c r="F297" s="18" t="s">
        <v>121</v>
      </c>
      <c r="G297" s="18">
        <v>1.3</v>
      </c>
      <c r="H297" s="20">
        <f>Rates!E21</f>
        <v>11000</v>
      </c>
      <c r="I297" s="42">
        <f t="shared" ref="I297:I302" si="16">H297*G297</f>
        <v>14300</v>
      </c>
    </row>
    <row r="298" spans="2:9">
      <c r="B298" s="17"/>
      <c r="C298" s="18"/>
      <c r="D298" s="19" t="s">
        <v>118</v>
      </c>
      <c r="E298" s="18"/>
      <c r="F298" s="254" t="s">
        <v>119</v>
      </c>
      <c r="G298" s="18">
        <v>5</v>
      </c>
      <c r="H298" s="20">
        <f>Rates!E15</f>
        <v>2425</v>
      </c>
      <c r="I298" s="42">
        <f t="shared" si="16"/>
        <v>12125</v>
      </c>
    </row>
    <row r="299" spans="2:9">
      <c r="B299" s="17"/>
      <c r="C299" s="18"/>
      <c r="D299" s="19" t="s">
        <v>225</v>
      </c>
      <c r="E299" s="18"/>
      <c r="F299" s="18" t="s">
        <v>121</v>
      </c>
      <c r="G299" s="18">
        <v>0.3</v>
      </c>
      <c r="H299" s="20">
        <f>Rates!E16</f>
        <v>25000</v>
      </c>
      <c r="I299" s="42">
        <f t="shared" si="16"/>
        <v>7500</v>
      </c>
    </row>
    <row r="300" spans="2:9">
      <c r="B300" s="17"/>
      <c r="C300" s="18"/>
      <c r="D300" s="19" t="s">
        <v>239</v>
      </c>
      <c r="E300" s="18"/>
      <c r="F300" s="254" t="s">
        <v>138</v>
      </c>
      <c r="G300" s="18">
        <v>100</v>
      </c>
      <c r="H300" s="20">
        <f>Rates!E29</f>
        <v>3</v>
      </c>
      <c r="I300" s="42">
        <f t="shared" si="16"/>
        <v>300</v>
      </c>
    </row>
    <row r="301" spans="2:9">
      <c r="B301" s="17"/>
      <c r="C301" s="18"/>
      <c r="D301" s="19" t="s">
        <v>231</v>
      </c>
      <c r="E301" s="18"/>
      <c r="F301" s="254" t="s">
        <v>177</v>
      </c>
      <c r="G301" s="18">
        <v>4</v>
      </c>
      <c r="H301" s="20">
        <f>Rates!E40</f>
        <v>4000</v>
      </c>
      <c r="I301" s="42">
        <f t="shared" si="16"/>
        <v>16000</v>
      </c>
    </row>
    <row r="302" spans="2:9">
      <c r="B302" s="17"/>
      <c r="C302" s="18"/>
      <c r="D302" s="19" t="s">
        <v>178</v>
      </c>
      <c r="E302" s="18"/>
      <c r="F302" s="18" t="s">
        <v>177</v>
      </c>
      <c r="G302" s="18">
        <v>6</v>
      </c>
      <c r="H302" s="20">
        <f>Rates!E44</f>
        <v>2300</v>
      </c>
      <c r="I302" s="42">
        <f t="shared" si="16"/>
        <v>13800</v>
      </c>
    </row>
    <row r="303" spans="2:9">
      <c r="B303" s="17"/>
      <c r="C303" s="18"/>
      <c r="D303" s="19" t="s">
        <v>202</v>
      </c>
      <c r="E303" s="18"/>
      <c r="F303" s="18"/>
      <c r="G303" s="52"/>
      <c r="H303" s="20"/>
      <c r="I303" s="42">
        <f>(I301+I302)*0.03</f>
        <v>894</v>
      </c>
    </row>
    <row r="304" spans="2:9">
      <c r="B304" s="17"/>
      <c r="C304" s="21"/>
      <c r="D304" s="21"/>
      <c r="E304" s="22" t="s">
        <v>173</v>
      </c>
      <c r="F304" s="23" t="str">
        <f>$F$108</f>
        <v>Unit</v>
      </c>
      <c r="G304" s="23" t="str">
        <f>$G$108</f>
        <v>Quantity</v>
      </c>
      <c r="H304" s="24"/>
      <c r="I304" s="42">
        <f>SUM(I297:I303)</f>
        <v>64919</v>
      </c>
    </row>
    <row r="305" spans="2:9">
      <c r="B305" s="17"/>
      <c r="C305" s="21"/>
      <c r="D305" s="21"/>
      <c r="E305" s="22" t="s">
        <v>174</v>
      </c>
      <c r="F305" s="23" t="str">
        <f>$G$108</f>
        <v>Quantity</v>
      </c>
      <c r="G305" s="23"/>
      <c r="H305" s="24"/>
      <c r="I305" s="42">
        <f>I304/G295</f>
        <v>64919</v>
      </c>
    </row>
    <row r="306" spans="2:9">
      <c r="B306" s="31"/>
      <c r="C306" s="32"/>
      <c r="D306" s="32"/>
      <c r="E306" s="33" t="s">
        <v>182</v>
      </c>
      <c r="F306" s="34"/>
      <c r="G306" s="34"/>
      <c r="H306" s="35" t="s">
        <v>203</v>
      </c>
      <c r="I306" s="46">
        <f>ROUND(I305,0)</f>
        <v>64919</v>
      </c>
    </row>
    <row r="307" ht="14.4" spans="2:9">
      <c r="B307" s="31"/>
      <c r="C307" s="32"/>
      <c r="D307" s="32"/>
      <c r="E307" s="33" t="s">
        <v>182</v>
      </c>
      <c r="F307" s="34"/>
      <c r="G307" s="34"/>
      <c r="H307" s="35" t="s">
        <v>246</v>
      </c>
      <c r="I307" s="46">
        <f>I306/100</f>
        <v>649.19</v>
      </c>
    </row>
    <row r="308" ht="14.4" spans="2:9">
      <c r="B308" s="31"/>
      <c r="C308" s="32"/>
      <c r="D308" s="32"/>
      <c r="E308" s="33" t="s">
        <v>182</v>
      </c>
      <c r="F308" s="34"/>
      <c r="G308" s="34"/>
      <c r="H308" s="35" t="s">
        <v>191</v>
      </c>
      <c r="I308" s="46">
        <f>I306/2.83</f>
        <v>22939.5759717314</v>
      </c>
    </row>
    <row r="309" spans="5:9">
      <c r="E309" s="33" t="s">
        <v>1</v>
      </c>
      <c r="F309" s="34"/>
      <c r="G309" s="36"/>
      <c r="H309" s="37">
        <f>H1</f>
        <v>0</v>
      </c>
      <c r="I309" s="46">
        <f>I308*H309</f>
        <v>0</v>
      </c>
    </row>
    <row r="310" spans="5:9">
      <c r="E310" s="33" t="s">
        <v>183</v>
      </c>
      <c r="F310" s="34"/>
      <c r="G310" s="36"/>
      <c r="H310" s="35"/>
      <c r="I310" s="46">
        <f>I308+I309</f>
        <v>22939.5759717314</v>
      </c>
    </row>
    <row r="314" spans="2:9">
      <c r="B314" s="49"/>
      <c r="C314" s="49"/>
      <c r="D314" s="13" t="s">
        <v>247</v>
      </c>
      <c r="E314" s="13"/>
      <c r="F314" s="13"/>
      <c r="G314" s="13"/>
      <c r="H314" s="13"/>
      <c r="I314" s="13"/>
    </row>
    <row r="315" spans="2:9">
      <c r="B315" s="14"/>
      <c r="C315" s="14"/>
      <c r="D315" s="14"/>
      <c r="E315" s="15"/>
      <c r="F315" s="16" t="s">
        <v>161</v>
      </c>
      <c r="G315" s="15">
        <v>3</v>
      </c>
      <c r="H315" s="16" t="s">
        <v>248</v>
      </c>
      <c r="I315" s="40"/>
    </row>
    <row r="316" spans="2:9">
      <c r="B316" s="77"/>
      <c r="C316" s="77"/>
      <c r="D316" s="77"/>
      <c r="E316" s="78"/>
      <c r="F316" s="16" t="s">
        <v>161</v>
      </c>
      <c r="G316" s="15">
        <f>2.4*0.6</f>
        <v>1.44</v>
      </c>
      <c r="H316" s="16" t="s">
        <v>126</v>
      </c>
      <c r="I316" s="40"/>
    </row>
    <row r="317" spans="2:9">
      <c r="B317" s="17"/>
      <c r="C317" s="18" t="s">
        <v>162</v>
      </c>
      <c r="D317" s="18" t="s">
        <v>163</v>
      </c>
      <c r="E317" s="18" t="s">
        <v>164</v>
      </c>
      <c r="F317" s="18" t="s">
        <v>165</v>
      </c>
      <c r="G317" s="18" t="s">
        <v>166</v>
      </c>
      <c r="H317" s="18" t="s">
        <v>8</v>
      </c>
      <c r="I317" s="41" t="s">
        <v>167</v>
      </c>
    </row>
    <row r="318" ht="26.4" spans="2:10">
      <c r="B318" s="17"/>
      <c r="C318" s="18"/>
      <c r="D318" s="19" t="s">
        <v>128</v>
      </c>
      <c r="E318" s="18"/>
      <c r="F318" s="18" t="s">
        <v>129</v>
      </c>
      <c r="G318" s="52">
        <f>G316/(1.2*2.4)*1.35</f>
        <v>0.675</v>
      </c>
      <c r="H318" s="20">
        <f>Rates!E22</f>
        <v>9500</v>
      </c>
      <c r="I318" s="42">
        <f t="shared" ref="I318:I324" si="17">H318*G318</f>
        <v>6412.5</v>
      </c>
      <c r="J318" s="80" t="s">
        <v>249</v>
      </c>
    </row>
    <row r="319" ht="26.4" spans="2:11">
      <c r="B319" s="17"/>
      <c r="C319" s="18"/>
      <c r="D319" s="19" t="s">
        <v>250</v>
      </c>
      <c r="E319" s="18"/>
      <c r="F319" s="254" t="s">
        <v>251</v>
      </c>
      <c r="G319" s="52">
        <f>((2.4*2)+(0.6*6))*3.28*1.2</f>
        <v>33.0624</v>
      </c>
      <c r="H319" s="20">
        <f>Rates!E23</f>
        <v>50</v>
      </c>
      <c r="I319" s="42">
        <f t="shared" si="17"/>
        <v>1653.12</v>
      </c>
      <c r="J319" s="81"/>
      <c r="K319" s="1">
        <f>1.44/(1.2*2.4)*1.35</f>
        <v>0.675</v>
      </c>
    </row>
    <row r="320" spans="2:10">
      <c r="B320" s="17"/>
      <c r="C320" s="18"/>
      <c r="D320" s="19" t="s">
        <v>252</v>
      </c>
      <c r="E320" s="18"/>
      <c r="F320" s="18" t="s">
        <v>251</v>
      </c>
      <c r="G320" s="52">
        <f>2.4*3.28*1.2</f>
        <v>9.4464</v>
      </c>
      <c r="H320" s="20">
        <f>Rates!E24</f>
        <v>90</v>
      </c>
      <c r="I320" s="42">
        <f t="shared" si="17"/>
        <v>850.176</v>
      </c>
      <c r="J320" s="81"/>
    </row>
    <row r="321" spans="2:10">
      <c r="B321" s="17"/>
      <c r="C321" s="18"/>
      <c r="D321" s="19" t="s">
        <v>253</v>
      </c>
      <c r="E321" s="18"/>
      <c r="F321" s="18" t="s">
        <v>64</v>
      </c>
      <c r="G321" s="52">
        <f>1</f>
        <v>1</v>
      </c>
      <c r="H321" s="20">
        <f>Rates!E25</f>
        <v>800</v>
      </c>
      <c r="I321" s="42">
        <f t="shared" si="17"/>
        <v>800</v>
      </c>
      <c r="J321" s="81"/>
    </row>
    <row r="322" spans="2:10">
      <c r="B322" s="17"/>
      <c r="C322" s="18"/>
      <c r="D322" s="19" t="s">
        <v>254</v>
      </c>
      <c r="E322" s="18"/>
      <c r="F322" s="18" t="s">
        <v>177</v>
      </c>
      <c r="G322" s="52">
        <f>0.5+0.5</f>
        <v>1</v>
      </c>
      <c r="H322" s="20">
        <f>Rates!E43</f>
        <v>4000</v>
      </c>
      <c r="I322" s="42">
        <f t="shared" si="17"/>
        <v>4000</v>
      </c>
      <c r="J322" s="81"/>
    </row>
    <row r="323" spans="2:11">
      <c r="B323" s="17"/>
      <c r="C323" s="18"/>
      <c r="D323" s="19" t="s">
        <v>178</v>
      </c>
      <c r="E323" s="18"/>
      <c r="F323" s="18" t="s">
        <v>177</v>
      </c>
      <c r="G323" s="52">
        <f>2*0.5+0.5</f>
        <v>1.5</v>
      </c>
      <c r="H323" s="20">
        <f>Rates!E44</f>
        <v>2300</v>
      </c>
      <c r="I323" s="42">
        <f t="shared" si="17"/>
        <v>3450</v>
      </c>
      <c r="J323" s="81"/>
      <c r="K323" s="1">
        <f>1200*3</f>
        <v>3600</v>
      </c>
    </row>
    <row r="324" ht="26.4" spans="2:11">
      <c r="B324" s="17"/>
      <c r="C324" s="18"/>
      <c r="D324" s="19" t="s">
        <v>255</v>
      </c>
      <c r="E324" s="18"/>
      <c r="F324" s="18" t="s">
        <v>177</v>
      </c>
      <c r="G324" s="52">
        <f>0.5+0.5</f>
        <v>1</v>
      </c>
      <c r="H324" s="20">
        <f>Rates!E44</f>
        <v>2300</v>
      </c>
      <c r="I324" s="42">
        <f t="shared" si="17"/>
        <v>2300</v>
      </c>
      <c r="J324" s="81"/>
      <c r="K324" s="45">
        <f>I322+I323+I324</f>
        <v>9750</v>
      </c>
    </row>
    <row r="325" spans="2:11">
      <c r="B325" s="17"/>
      <c r="C325" s="18"/>
      <c r="D325" s="19" t="s">
        <v>256</v>
      </c>
      <c r="E325" s="18"/>
      <c r="F325" s="18"/>
      <c r="G325" s="52"/>
      <c r="H325" s="20"/>
      <c r="I325" s="42">
        <f>(I324+I322+I323)*0.05</f>
        <v>487.5</v>
      </c>
      <c r="J325" s="81"/>
      <c r="K325" s="45"/>
    </row>
    <row r="326" spans="2:11">
      <c r="B326" s="17"/>
      <c r="C326" s="18"/>
      <c r="D326" s="19" t="s">
        <v>202</v>
      </c>
      <c r="E326" s="18"/>
      <c r="F326" s="18"/>
      <c r="G326" s="52"/>
      <c r="H326" s="20"/>
      <c r="I326" s="42">
        <f>(I322+I323+I324)*0.03</f>
        <v>292.5</v>
      </c>
      <c r="J326" s="83"/>
      <c r="K326" s="45"/>
    </row>
    <row r="327" spans="2:9">
      <c r="B327" s="17"/>
      <c r="C327" s="21"/>
      <c r="D327" s="21"/>
      <c r="E327" s="38" t="s">
        <v>173</v>
      </c>
      <c r="F327" s="18">
        <f>$F$333</f>
        <v>0</v>
      </c>
      <c r="G327" s="18">
        <f>$G$333</f>
        <v>0</v>
      </c>
      <c r="H327" s="53"/>
      <c r="I327" s="42">
        <f>SUM(I318:I326)</f>
        <v>20245.796</v>
      </c>
    </row>
    <row r="328" spans="2:9">
      <c r="B328" s="17"/>
      <c r="C328" s="21"/>
      <c r="D328" s="21"/>
      <c r="E328" s="38" t="s">
        <v>174</v>
      </c>
      <c r="F328" s="18">
        <f>$G$333</f>
        <v>0</v>
      </c>
      <c r="G328" s="18"/>
      <c r="H328" s="35" t="s">
        <v>257</v>
      </c>
      <c r="I328" s="42">
        <f>I327/G315</f>
        <v>6748.59866666667</v>
      </c>
    </row>
    <row r="329" spans="2:9">
      <c r="B329" s="31"/>
      <c r="C329" s="32"/>
      <c r="D329" s="32"/>
      <c r="E329" s="33" t="s">
        <v>182</v>
      </c>
      <c r="F329" s="34"/>
      <c r="G329" s="34"/>
      <c r="H329" s="35"/>
      <c r="I329" s="46">
        <f>ROUND(I328,0)</f>
        <v>6749</v>
      </c>
    </row>
    <row r="330" ht="14.4" spans="5:9">
      <c r="E330" s="33" t="s">
        <v>182</v>
      </c>
      <c r="F330" s="34"/>
      <c r="G330" s="34"/>
      <c r="H330" s="35" t="s">
        <v>258</v>
      </c>
      <c r="I330" s="46">
        <f>I329/G316</f>
        <v>4686.80555555556</v>
      </c>
    </row>
    <row r="331" spans="5:9">
      <c r="E331" s="33" t="s">
        <v>1</v>
      </c>
      <c r="F331" s="34"/>
      <c r="G331" s="36"/>
      <c r="H331" s="37">
        <f>H1</f>
        <v>0</v>
      </c>
      <c r="I331" s="46">
        <f>I330*H331</f>
        <v>0</v>
      </c>
    </row>
    <row r="332" spans="5:9">
      <c r="E332" s="33" t="s">
        <v>183</v>
      </c>
      <c r="F332" s="34"/>
      <c r="G332" s="36"/>
      <c r="H332" s="35"/>
      <c r="I332" s="46">
        <f>I330+I331</f>
        <v>4686.80555555556</v>
      </c>
    </row>
    <row r="334" spans="2:9">
      <c r="B334" s="11">
        <v>7.01</v>
      </c>
      <c r="C334" s="12"/>
      <c r="D334" s="13" t="s">
        <v>259</v>
      </c>
      <c r="E334" s="13"/>
      <c r="F334" s="13"/>
      <c r="G334" s="13"/>
      <c r="H334" s="13"/>
      <c r="I334" s="13"/>
    </row>
    <row r="335" spans="2:9">
      <c r="B335" s="14"/>
      <c r="C335" s="14"/>
      <c r="D335" s="14"/>
      <c r="E335" s="15"/>
      <c r="F335" s="16" t="s">
        <v>161</v>
      </c>
      <c r="G335" s="15">
        <v>1</v>
      </c>
      <c r="H335" s="16" t="s">
        <v>260</v>
      </c>
      <c r="I335" s="40"/>
    </row>
    <row r="336" spans="2:9">
      <c r="B336" s="17"/>
      <c r="C336" s="18" t="s">
        <v>162</v>
      </c>
      <c r="D336" s="18" t="s">
        <v>163</v>
      </c>
      <c r="E336" s="18" t="s">
        <v>164</v>
      </c>
      <c r="F336" s="18" t="s">
        <v>165</v>
      </c>
      <c r="G336" s="18" t="s">
        <v>166</v>
      </c>
      <c r="H336" s="18" t="s">
        <v>8</v>
      </c>
      <c r="I336" s="41" t="s">
        <v>167</v>
      </c>
    </row>
    <row r="337" ht="26.4" spans="2:9">
      <c r="B337" s="17"/>
      <c r="C337" s="18"/>
      <c r="D337" s="19" t="s">
        <v>261</v>
      </c>
      <c r="E337" s="18"/>
      <c r="F337" s="18" t="s">
        <v>262</v>
      </c>
      <c r="G337" s="18">
        <v>50</v>
      </c>
      <c r="H337" s="20">
        <f>Rates!E26</f>
        <v>375</v>
      </c>
      <c r="I337" s="42">
        <f t="shared" ref="I337:I342" si="18">H337*G337</f>
        <v>18750</v>
      </c>
    </row>
    <row r="338" ht="26.4" spans="2:10">
      <c r="B338" s="17"/>
      <c r="C338" s="18"/>
      <c r="D338" s="19" t="s">
        <v>263</v>
      </c>
      <c r="E338" s="18"/>
      <c r="F338" s="254" t="s">
        <v>223</v>
      </c>
      <c r="G338" s="254" t="s">
        <v>223</v>
      </c>
      <c r="H338" s="254" t="s">
        <v>223</v>
      </c>
      <c r="I338" s="42">
        <f>I337*20/100</f>
        <v>3750</v>
      </c>
      <c r="J338" s="1" t="s">
        <v>264</v>
      </c>
    </row>
    <row r="339" spans="2:9">
      <c r="B339" s="17"/>
      <c r="C339" s="18"/>
      <c r="D339" s="19" t="s">
        <v>265</v>
      </c>
      <c r="E339" s="18"/>
      <c r="F339" s="18" t="s">
        <v>64</v>
      </c>
      <c r="G339" s="18">
        <v>0.68</v>
      </c>
      <c r="H339" s="20">
        <f>Rates!E27</f>
        <v>900</v>
      </c>
      <c r="I339" s="42">
        <f t="shared" si="18"/>
        <v>612</v>
      </c>
    </row>
    <row r="340" ht="26.4" spans="2:9">
      <c r="B340" s="17"/>
      <c r="C340" s="18"/>
      <c r="D340" s="19" t="s">
        <v>266</v>
      </c>
      <c r="E340" s="18"/>
      <c r="F340" s="254" t="s">
        <v>223</v>
      </c>
      <c r="G340" s="254" t="s">
        <v>223</v>
      </c>
      <c r="H340" s="254" t="s">
        <v>223</v>
      </c>
      <c r="I340" s="42">
        <f>I337*0.015</f>
        <v>281.25</v>
      </c>
    </row>
    <row r="341" spans="2:10">
      <c r="B341" s="17"/>
      <c r="C341" s="18"/>
      <c r="D341" s="19" t="s">
        <v>176</v>
      </c>
      <c r="E341" s="18"/>
      <c r="F341" s="18" t="s">
        <v>177</v>
      </c>
      <c r="G341" s="18">
        <f>5/8</f>
        <v>0.625</v>
      </c>
      <c r="H341" s="20">
        <f>Rates!E40</f>
        <v>4000</v>
      </c>
      <c r="I341" s="42">
        <f t="shared" si="18"/>
        <v>2500</v>
      </c>
      <c r="J341" s="1" t="s">
        <v>264</v>
      </c>
    </row>
    <row r="342" spans="2:13">
      <c r="B342" s="17"/>
      <c r="C342" s="18"/>
      <c r="D342" s="19" t="s">
        <v>178</v>
      </c>
      <c r="E342" s="18"/>
      <c r="F342" s="18" t="s">
        <v>177</v>
      </c>
      <c r="G342" s="18">
        <f>5/8</f>
        <v>0.625</v>
      </c>
      <c r="H342" s="20">
        <f>Rates!E44</f>
        <v>2300</v>
      </c>
      <c r="I342" s="42">
        <f t="shared" si="18"/>
        <v>1437.5</v>
      </c>
      <c r="J342" s="1" t="s">
        <v>264</v>
      </c>
      <c r="M342" s="45">
        <f>I341+I342</f>
        <v>3937.5</v>
      </c>
    </row>
    <row r="343" spans="2:17">
      <c r="B343" s="17"/>
      <c r="C343" s="18"/>
      <c r="D343" s="19" t="s">
        <v>202</v>
      </c>
      <c r="E343" s="18"/>
      <c r="F343" s="18"/>
      <c r="G343" s="52"/>
      <c r="H343" s="20"/>
      <c r="I343" s="42">
        <f>(I341+I342)*0.03</f>
        <v>118.125</v>
      </c>
      <c r="M343" s="45">
        <f>M342/50</f>
        <v>78.75</v>
      </c>
      <c r="O343" s="1">
        <f>950</f>
        <v>950</v>
      </c>
      <c r="P343" s="1">
        <v>1400</v>
      </c>
      <c r="Q343" s="1">
        <v>2450</v>
      </c>
    </row>
    <row r="344" spans="2:17">
      <c r="B344" s="17"/>
      <c r="C344" s="21"/>
      <c r="D344" s="21"/>
      <c r="E344" s="38" t="s">
        <v>173</v>
      </c>
      <c r="F344" s="18" t="str">
        <f>$F$108</f>
        <v>Unit</v>
      </c>
      <c r="G344" s="18" t="str">
        <f>$G$108</f>
        <v>Quantity</v>
      </c>
      <c r="H344" s="53"/>
      <c r="I344" s="42">
        <f>SUM(I337:I343)</f>
        <v>27448.875</v>
      </c>
      <c r="O344" s="1">
        <f>100/162*6</f>
        <v>3.7037037037037</v>
      </c>
      <c r="P344" s="1">
        <f>144/162*6</f>
        <v>5.33333333333333</v>
      </c>
      <c r="Q344" s="1">
        <f>16*16/162*6</f>
        <v>9.48148148148148</v>
      </c>
    </row>
    <row r="345" spans="2:15">
      <c r="B345" s="17"/>
      <c r="C345" s="21"/>
      <c r="D345" s="21"/>
      <c r="E345" s="38" t="s">
        <v>174</v>
      </c>
      <c r="F345" s="18" t="str">
        <f>$G$108</f>
        <v>Quantity</v>
      </c>
      <c r="G345" s="18"/>
      <c r="H345" s="53"/>
      <c r="I345" s="42">
        <f>I344/G335</f>
        <v>27448.875</v>
      </c>
      <c r="O345" s="1">
        <f>126/2</f>
        <v>63</v>
      </c>
    </row>
    <row r="346" spans="2:9">
      <c r="B346" s="31"/>
      <c r="C346" s="32"/>
      <c r="D346" s="32"/>
      <c r="E346" s="33" t="s">
        <v>182</v>
      </c>
      <c r="F346" s="34"/>
      <c r="G346" s="34"/>
      <c r="H346" s="35" t="s">
        <v>267</v>
      </c>
      <c r="I346" s="46">
        <f>ROUND(I345,0)</f>
        <v>27449</v>
      </c>
    </row>
    <row r="347" spans="2:9">
      <c r="B347" s="31"/>
      <c r="C347" s="32"/>
      <c r="D347" s="32"/>
      <c r="E347" s="33" t="s">
        <v>182</v>
      </c>
      <c r="F347" s="34"/>
      <c r="G347" s="34"/>
      <c r="H347" s="35" t="s">
        <v>268</v>
      </c>
      <c r="I347" s="46">
        <f>I346/50</f>
        <v>548.98</v>
      </c>
    </row>
    <row r="348" spans="5:9">
      <c r="E348" s="33" t="s">
        <v>1</v>
      </c>
      <c r="F348" s="34"/>
      <c r="G348" s="36"/>
      <c r="H348" s="37">
        <f>H1</f>
        <v>0</v>
      </c>
      <c r="I348" s="46">
        <f>I347*H348</f>
        <v>0</v>
      </c>
    </row>
    <row r="349" spans="5:17">
      <c r="E349" s="33" t="s">
        <v>183</v>
      </c>
      <c r="F349" s="34"/>
      <c r="G349" s="36"/>
      <c r="H349" s="35"/>
      <c r="I349" s="46">
        <f>I347+I348</f>
        <v>548.98</v>
      </c>
      <c r="O349" s="1">
        <f t="shared" ref="O349:Q349" si="19">O343/O344</f>
        <v>256.5</v>
      </c>
      <c r="P349" s="1">
        <f t="shared" si="19"/>
        <v>262.5</v>
      </c>
      <c r="Q349" s="1">
        <f t="shared" si="19"/>
        <v>258.3984375</v>
      </c>
    </row>
    <row r="353" spans="2:9">
      <c r="B353" s="11"/>
      <c r="C353" s="12"/>
      <c r="D353" s="13" t="s">
        <v>269</v>
      </c>
      <c r="E353" s="13"/>
      <c r="F353" s="82"/>
      <c r="G353" s="50"/>
      <c r="H353" s="13"/>
      <c r="I353" s="50"/>
    </row>
    <row r="354" spans="2:9">
      <c r="B354" s="14"/>
      <c r="C354" s="14"/>
      <c r="D354" s="14"/>
      <c r="E354" s="15"/>
      <c r="F354" s="15" t="s">
        <v>161</v>
      </c>
      <c r="G354" s="51">
        <v>1</v>
      </c>
      <c r="H354" s="16" t="s">
        <v>219</v>
      </c>
      <c r="I354" s="40"/>
    </row>
    <row r="355" spans="2:9">
      <c r="B355" s="17"/>
      <c r="C355" s="18" t="s">
        <v>162</v>
      </c>
      <c r="D355" s="18" t="s">
        <v>163</v>
      </c>
      <c r="E355" s="18" t="s">
        <v>164</v>
      </c>
      <c r="F355" s="18" t="s">
        <v>165</v>
      </c>
      <c r="G355" s="52" t="s">
        <v>166</v>
      </c>
      <c r="H355" s="18" t="s">
        <v>8</v>
      </c>
      <c r="I355" s="41" t="s">
        <v>167</v>
      </c>
    </row>
    <row r="356" spans="2:9">
      <c r="B356" s="17"/>
      <c r="C356" s="18"/>
      <c r="D356" s="19" t="s">
        <v>270</v>
      </c>
      <c r="E356" s="18"/>
      <c r="F356" s="18" t="s">
        <v>271</v>
      </c>
      <c r="G356" s="52">
        <v>2</v>
      </c>
      <c r="H356" s="20">
        <v>14372</v>
      </c>
      <c r="I356" s="42">
        <f t="shared" ref="I356:I361" si="20">H356*G356</f>
        <v>28744</v>
      </c>
    </row>
    <row r="357" ht="26.4" spans="2:9">
      <c r="B357" s="17"/>
      <c r="C357" s="18"/>
      <c r="D357" s="19" t="s">
        <v>272</v>
      </c>
      <c r="E357" s="18"/>
      <c r="F357" s="254" t="s">
        <v>223</v>
      </c>
      <c r="G357" s="255" t="s">
        <v>223</v>
      </c>
      <c r="H357" s="254" t="s">
        <v>223</v>
      </c>
      <c r="I357" s="42"/>
    </row>
    <row r="358" ht="26.4" spans="2:9">
      <c r="B358" s="17"/>
      <c r="C358" s="18"/>
      <c r="D358" s="19" t="s">
        <v>273</v>
      </c>
      <c r="E358" s="18"/>
      <c r="F358" s="18" t="s">
        <v>112</v>
      </c>
      <c r="G358" s="52">
        <f>9.29*0.075</f>
        <v>0.69675</v>
      </c>
      <c r="H358" s="20">
        <f>I269</f>
        <v>24886.925795053</v>
      </c>
      <c r="I358" s="42">
        <f>G358*H358</f>
        <v>17339.9655477032</v>
      </c>
    </row>
    <row r="359" spans="2:9">
      <c r="B359" s="17"/>
      <c r="C359" s="18"/>
      <c r="D359" s="19"/>
      <c r="E359" s="18"/>
      <c r="F359" s="18"/>
      <c r="G359" s="52"/>
      <c r="H359" s="20"/>
      <c r="I359" s="42"/>
    </row>
    <row r="360" spans="2:9">
      <c r="B360" s="17"/>
      <c r="C360" s="18"/>
      <c r="D360" s="19" t="s">
        <v>231</v>
      </c>
      <c r="E360" s="18"/>
      <c r="F360" s="254" t="s">
        <v>177</v>
      </c>
      <c r="G360" s="52">
        <v>1</v>
      </c>
      <c r="H360" s="20">
        <f>Rates!E40</f>
        <v>4000</v>
      </c>
      <c r="I360" s="42">
        <f t="shared" si="20"/>
        <v>4000</v>
      </c>
    </row>
    <row r="361" spans="2:9">
      <c r="B361" s="17"/>
      <c r="C361" s="18"/>
      <c r="D361" s="19" t="s">
        <v>178</v>
      </c>
      <c r="E361" s="18"/>
      <c r="F361" s="18" t="s">
        <v>177</v>
      </c>
      <c r="G361" s="52">
        <v>1</v>
      </c>
      <c r="H361" s="20">
        <f>Rates!E44</f>
        <v>2300</v>
      </c>
      <c r="I361" s="42">
        <f t="shared" si="20"/>
        <v>2300</v>
      </c>
    </row>
    <row r="362" ht="26.4" spans="2:9">
      <c r="B362" s="17"/>
      <c r="C362" s="18"/>
      <c r="D362" s="19" t="s">
        <v>274</v>
      </c>
      <c r="E362" s="254" t="s">
        <v>223</v>
      </c>
      <c r="F362" s="254" t="s">
        <v>223</v>
      </c>
      <c r="G362" s="255" t="s">
        <v>223</v>
      </c>
      <c r="H362" s="254" t="s">
        <v>223</v>
      </c>
      <c r="I362" s="42">
        <f>(I360+I361)*5/100</f>
        <v>315</v>
      </c>
    </row>
    <row r="363" spans="2:9">
      <c r="B363" s="17"/>
      <c r="C363" s="18"/>
      <c r="D363" s="19" t="s">
        <v>202</v>
      </c>
      <c r="E363" s="18"/>
      <c r="F363" s="18"/>
      <c r="G363" s="52"/>
      <c r="H363" s="20"/>
      <c r="I363" s="42">
        <f>(I360+I361)*0.03</f>
        <v>189</v>
      </c>
    </row>
    <row r="364" spans="2:9">
      <c r="B364" s="17"/>
      <c r="C364" s="21"/>
      <c r="D364" s="21"/>
      <c r="E364" s="33" t="s">
        <v>173</v>
      </c>
      <c r="F364" s="34" t="str">
        <f>$F$474</f>
        <v>Analysis for </v>
      </c>
      <c r="G364" s="36">
        <f>$G$474</f>
        <v>1</v>
      </c>
      <c r="H364" s="35"/>
      <c r="I364" s="46">
        <f>SUM(I356:I363)</f>
        <v>52887.9655477032</v>
      </c>
    </row>
    <row r="365" spans="5:9">
      <c r="E365" s="33" t="s">
        <v>275</v>
      </c>
      <c r="F365" s="34" t="s">
        <v>219</v>
      </c>
      <c r="G365" s="36"/>
      <c r="H365" s="35"/>
      <c r="I365" s="46">
        <f>I364</f>
        <v>52887.9655477032</v>
      </c>
    </row>
    <row r="366" spans="5:9">
      <c r="E366" s="33" t="s">
        <v>275</v>
      </c>
      <c r="F366" s="34" t="s">
        <v>126</v>
      </c>
      <c r="G366" s="36"/>
      <c r="H366" s="35"/>
      <c r="I366" s="46">
        <f>I365/100*10.76</f>
        <v>5690.74509293286</v>
      </c>
    </row>
    <row r="367" spans="5:9">
      <c r="E367" s="33" t="s">
        <v>1</v>
      </c>
      <c r="F367" s="34"/>
      <c r="G367" s="36"/>
      <c r="H367" s="37">
        <f>H1</f>
        <v>0</v>
      </c>
      <c r="I367" s="46">
        <f>I366*H367</f>
        <v>0</v>
      </c>
    </row>
    <row r="368" spans="5:9">
      <c r="E368" s="33" t="s">
        <v>183</v>
      </c>
      <c r="F368" s="34"/>
      <c r="G368" s="36"/>
      <c r="H368" s="35"/>
      <c r="I368" s="46">
        <f>I366+I367</f>
        <v>5690.74509293286</v>
      </c>
    </row>
    <row r="370" spans="2:9">
      <c r="B370" s="11"/>
      <c r="C370" s="12"/>
      <c r="D370" s="13" t="s">
        <v>276</v>
      </c>
      <c r="E370" s="13"/>
      <c r="F370" s="82"/>
      <c r="G370" s="50"/>
      <c r="H370" s="13"/>
      <c r="I370" s="50"/>
    </row>
    <row r="371" spans="2:9">
      <c r="B371" s="14"/>
      <c r="C371" s="14"/>
      <c r="D371" s="14"/>
      <c r="E371" s="15"/>
      <c r="F371" s="15" t="s">
        <v>161</v>
      </c>
      <c r="G371" s="51">
        <v>1</v>
      </c>
      <c r="H371" s="16" t="s">
        <v>219</v>
      </c>
      <c r="I371" s="40"/>
    </row>
    <row r="372" spans="2:9">
      <c r="B372" s="17"/>
      <c r="C372" s="18" t="s">
        <v>162</v>
      </c>
      <c r="D372" s="18" t="s">
        <v>163</v>
      </c>
      <c r="E372" s="18" t="s">
        <v>164</v>
      </c>
      <c r="F372" s="18" t="s">
        <v>165</v>
      </c>
      <c r="G372" s="52" t="s">
        <v>166</v>
      </c>
      <c r="H372" s="18" t="s">
        <v>8</v>
      </c>
      <c r="I372" s="41" t="s">
        <v>167</v>
      </c>
    </row>
    <row r="373" spans="2:9">
      <c r="B373" s="17"/>
      <c r="C373" s="18"/>
      <c r="D373" s="19" t="s">
        <v>277</v>
      </c>
      <c r="E373" s="18"/>
      <c r="F373" s="18" t="s">
        <v>208</v>
      </c>
      <c r="G373" s="52">
        <v>2.2</v>
      </c>
      <c r="H373" s="20">
        <f>4950+4000</f>
        <v>8950</v>
      </c>
      <c r="I373" s="42">
        <f t="shared" ref="I373:I378" si="21">H373*G373</f>
        <v>19690</v>
      </c>
    </row>
    <row r="374" ht="26.4" spans="2:9">
      <c r="B374" s="17"/>
      <c r="C374" s="18"/>
      <c r="D374" s="19" t="s">
        <v>272</v>
      </c>
      <c r="E374" s="18"/>
      <c r="F374" s="254" t="s">
        <v>223</v>
      </c>
      <c r="G374" s="255" t="s">
        <v>223</v>
      </c>
      <c r="H374" s="254" t="s">
        <v>223</v>
      </c>
      <c r="I374" s="42"/>
    </row>
    <row r="375" spans="2:9">
      <c r="B375" s="17"/>
      <c r="C375" s="18"/>
      <c r="D375" s="19"/>
      <c r="E375" s="18"/>
      <c r="F375" s="18"/>
      <c r="G375" s="52"/>
      <c r="H375" s="20"/>
      <c r="I375" s="42"/>
    </row>
    <row r="376" spans="2:9">
      <c r="B376" s="17"/>
      <c r="C376" s="18"/>
      <c r="D376" s="19"/>
      <c r="E376" s="18"/>
      <c r="F376" s="18"/>
      <c r="G376" s="52"/>
      <c r="H376" s="20"/>
      <c r="I376" s="42"/>
    </row>
    <row r="377" spans="2:9">
      <c r="B377" s="17"/>
      <c r="C377" s="18"/>
      <c r="D377" s="19" t="s">
        <v>278</v>
      </c>
      <c r="E377" s="18"/>
      <c r="F377" s="254" t="s">
        <v>177</v>
      </c>
      <c r="G377" s="52">
        <v>1</v>
      </c>
      <c r="H377" s="20">
        <f>Rates!E40</f>
        <v>4000</v>
      </c>
      <c r="I377" s="42">
        <f t="shared" si="21"/>
        <v>4000</v>
      </c>
    </row>
    <row r="378" spans="2:11">
      <c r="B378" s="17"/>
      <c r="C378" s="18"/>
      <c r="D378" s="19" t="s">
        <v>178</v>
      </c>
      <c r="E378" s="18"/>
      <c r="F378" s="18" t="s">
        <v>177</v>
      </c>
      <c r="G378" s="52">
        <v>1</v>
      </c>
      <c r="H378" s="20">
        <f>Rates!E44</f>
        <v>2300</v>
      </c>
      <c r="I378" s="42">
        <f t="shared" si="21"/>
        <v>2300</v>
      </c>
      <c r="K378" s="45">
        <f>I378+I377</f>
        <v>6300</v>
      </c>
    </row>
    <row r="379" spans="2:11">
      <c r="B379" s="17"/>
      <c r="C379" s="18"/>
      <c r="D379" s="19"/>
      <c r="E379" s="18"/>
      <c r="F379" s="18"/>
      <c r="G379" s="52"/>
      <c r="H379" s="18"/>
      <c r="I379" s="42"/>
      <c r="K379" s="45">
        <f>K378/9.29</f>
        <v>678.148546824543</v>
      </c>
    </row>
    <row r="380" spans="2:9">
      <c r="B380" s="17"/>
      <c r="C380" s="18"/>
      <c r="D380" s="19" t="s">
        <v>202</v>
      </c>
      <c r="E380" s="18"/>
      <c r="F380" s="18"/>
      <c r="G380" s="52"/>
      <c r="H380" s="20"/>
      <c r="I380" s="42">
        <f>(I377+I378)*0.03</f>
        <v>189</v>
      </c>
    </row>
    <row r="381" spans="2:9">
      <c r="B381" s="17"/>
      <c r="C381" s="21"/>
      <c r="D381" s="21"/>
      <c r="E381" s="33" t="s">
        <v>173</v>
      </c>
      <c r="F381" s="34" t="str">
        <f>$F$474</f>
        <v>Analysis for </v>
      </c>
      <c r="G381" s="36">
        <f>$G$474</f>
        <v>1</v>
      </c>
      <c r="H381" s="35"/>
      <c r="I381" s="46">
        <f>SUM(I373:I380)</f>
        <v>26179</v>
      </c>
    </row>
    <row r="382" spans="5:9">
      <c r="E382" s="33" t="s">
        <v>275</v>
      </c>
      <c r="F382" s="34" t="s">
        <v>219</v>
      </c>
      <c r="G382" s="36"/>
      <c r="H382" s="35"/>
      <c r="I382" s="46">
        <f>I381</f>
        <v>26179</v>
      </c>
    </row>
    <row r="383" spans="5:9">
      <c r="E383" s="33" t="s">
        <v>275</v>
      </c>
      <c r="F383" s="34" t="s">
        <v>126</v>
      </c>
      <c r="G383" s="36"/>
      <c r="H383" s="35"/>
      <c r="I383" s="46">
        <f>I382/100*10.76</f>
        <v>2816.8604</v>
      </c>
    </row>
    <row r="384" spans="5:9">
      <c r="E384" s="33" t="s">
        <v>1</v>
      </c>
      <c r="F384" s="34"/>
      <c r="G384" s="36"/>
      <c r="H384" s="37">
        <f>H367</f>
        <v>0</v>
      </c>
      <c r="I384" s="46">
        <f>I383*H384</f>
        <v>0</v>
      </c>
    </row>
    <row r="385" spans="5:9">
      <c r="E385" s="33" t="s">
        <v>183</v>
      </c>
      <c r="F385" s="34"/>
      <c r="G385" s="36"/>
      <c r="H385" s="35"/>
      <c r="I385" s="46">
        <f>I383+I384</f>
        <v>2816.8604</v>
      </c>
    </row>
    <row r="389" spans="2:9">
      <c r="B389" s="11"/>
      <c r="C389" s="12"/>
      <c r="D389" s="13" t="s">
        <v>279</v>
      </c>
      <c r="E389" s="13"/>
      <c r="F389" s="82"/>
      <c r="G389" s="50"/>
      <c r="H389" s="13"/>
      <c r="I389" s="50"/>
    </row>
    <row r="390" spans="2:9">
      <c r="B390" s="14"/>
      <c r="C390" s="14"/>
      <c r="D390" s="14"/>
      <c r="E390" s="15"/>
      <c r="F390" s="15" t="s">
        <v>161</v>
      </c>
      <c r="G390" s="51">
        <v>1</v>
      </c>
      <c r="H390" s="16" t="s">
        <v>219</v>
      </c>
      <c r="I390" s="40"/>
    </row>
    <row r="391" spans="2:9">
      <c r="B391" s="17"/>
      <c r="C391" s="18" t="s">
        <v>162</v>
      </c>
      <c r="D391" s="18" t="s">
        <v>163</v>
      </c>
      <c r="E391" s="18" t="s">
        <v>164</v>
      </c>
      <c r="F391" s="18" t="s">
        <v>165</v>
      </c>
      <c r="G391" s="52" t="s">
        <v>166</v>
      </c>
      <c r="H391" s="18" t="s">
        <v>8</v>
      </c>
      <c r="I391" s="41" t="s">
        <v>167</v>
      </c>
    </row>
    <row r="392" ht="26.4" spans="2:12">
      <c r="B392" s="17"/>
      <c r="C392" s="18"/>
      <c r="D392" s="19" t="s">
        <v>280</v>
      </c>
      <c r="E392" s="18"/>
      <c r="F392" s="254" t="s">
        <v>162</v>
      </c>
      <c r="G392" s="52">
        <v>112</v>
      </c>
      <c r="H392" s="20">
        <f>Rates!E28</f>
        <v>227</v>
      </c>
      <c r="I392" s="42">
        <f t="shared" ref="I392:I397" si="22">H392*G392</f>
        <v>25424</v>
      </c>
      <c r="L392" s="45"/>
    </row>
    <row r="393" ht="26.4" spans="2:9">
      <c r="B393" s="17"/>
      <c r="C393" s="18"/>
      <c r="D393" s="19" t="s">
        <v>272</v>
      </c>
      <c r="E393" s="18"/>
      <c r="F393" s="254" t="s">
        <v>223</v>
      </c>
      <c r="G393" s="255" t="s">
        <v>223</v>
      </c>
      <c r="H393" s="254" t="s">
        <v>223</v>
      </c>
      <c r="I393" s="42">
        <f>I392*5/100</f>
        <v>1271.2</v>
      </c>
    </row>
    <row r="394" spans="2:11">
      <c r="B394" s="17"/>
      <c r="C394" s="18"/>
      <c r="D394" s="19" t="s">
        <v>118</v>
      </c>
      <c r="E394" s="18"/>
      <c r="F394" s="18" t="s">
        <v>119</v>
      </c>
      <c r="G394" s="52">
        <v>0.4</v>
      </c>
      <c r="H394" s="20">
        <f>Rates!E15</f>
        <v>2425</v>
      </c>
      <c r="I394" s="42">
        <f t="shared" si="22"/>
        <v>970</v>
      </c>
      <c r="K394" s="1">
        <f>8600/9.3</f>
        <v>924.731182795699</v>
      </c>
    </row>
    <row r="395" spans="2:9">
      <c r="B395" s="17"/>
      <c r="C395" s="18"/>
      <c r="D395" s="19" t="s">
        <v>225</v>
      </c>
      <c r="E395" s="18"/>
      <c r="F395" s="18" t="s">
        <v>121</v>
      </c>
      <c r="G395" s="52">
        <v>0.03</v>
      </c>
      <c r="H395" s="20">
        <f>Rates!E16</f>
        <v>25000</v>
      </c>
      <c r="I395" s="42">
        <v>51</v>
      </c>
    </row>
    <row r="396" spans="2:9">
      <c r="B396" s="17"/>
      <c r="C396" s="18"/>
      <c r="D396" s="19" t="s">
        <v>231</v>
      </c>
      <c r="E396" s="18"/>
      <c r="F396" s="254" t="s">
        <v>177</v>
      </c>
      <c r="G396" s="52">
        <v>1</v>
      </c>
      <c r="H396" s="20">
        <f>Rates!E40</f>
        <v>4000</v>
      </c>
      <c r="I396" s="42">
        <f t="shared" si="22"/>
        <v>4000</v>
      </c>
    </row>
    <row r="397" spans="2:12">
      <c r="B397" s="17"/>
      <c r="C397" s="18"/>
      <c r="D397" s="19" t="s">
        <v>178</v>
      </c>
      <c r="E397" s="18"/>
      <c r="F397" s="18" t="s">
        <v>177</v>
      </c>
      <c r="G397" s="52">
        <v>2</v>
      </c>
      <c r="H397" s="20">
        <f>Rates!E44</f>
        <v>2300</v>
      </c>
      <c r="I397" s="42">
        <f t="shared" si="22"/>
        <v>4600</v>
      </c>
      <c r="L397" s="1">
        <f>84*12.5</f>
        <v>1050</v>
      </c>
    </row>
    <row r="398" spans="2:9">
      <c r="B398" s="17"/>
      <c r="C398" s="18"/>
      <c r="D398" s="19" t="s">
        <v>281</v>
      </c>
      <c r="E398" s="18"/>
      <c r="F398" s="18"/>
      <c r="G398" s="52"/>
      <c r="H398" s="20"/>
      <c r="I398" s="42">
        <v>1000</v>
      </c>
    </row>
    <row r="399" ht="26.4" spans="2:9">
      <c r="B399" s="17"/>
      <c r="C399" s="18"/>
      <c r="D399" s="19" t="s">
        <v>274</v>
      </c>
      <c r="E399" s="254" t="s">
        <v>223</v>
      </c>
      <c r="F399" s="254" t="s">
        <v>223</v>
      </c>
      <c r="G399" s="255" t="s">
        <v>223</v>
      </c>
      <c r="H399" s="254" t="s">
        <v>223</v>
      </c>
      <c r="I399" s="42">
        <f>(I396+I397)*5/100</f>
        <v>430</v>
      </c>
    </row>
    <row r="400" spans="2:9">
      <c r="B400" s="17"/>
      <c r="C400" s="18"/>
      <c r="D400" s="19" t="s">
        <v>202</v>
      </c>
      <c r="E400" s="18"/>
      <c r="F400" s="18"/>
      <c r="G400" s="52"/>
      <c r="H400" s="20"/>
      <c r="I400" s="42">
        <f>(I396+I397)*0.03</f>
        <v>258</v>
      </c>
    </row>
    <row r="401" spans="2:9">
      <c r="B401" s="17"/>
      <c r="C401" s="21"/>
      <c r="D401" s="21"/>
      <c r="E401" s="33" t="s">
        <v>173</v>
      </c>
      <c r="F401" s="34" t="str">
        <f>$F$474</f>
        <v>Analysis for </v>
      </c>
      <c r="G401" s="36">
        <f>$G$474</f>
        <v>1</v>
      </c>
      <c r="H401" s="35"/>
      <c r="I401" s="46">
        <f>SUM(I392:I400)</f>
        <v>38004.2</v>
      </c>
    </row>
    <row r="402" spans="5:9">
      <c r="E402" s="33" t="s">
        <v>275</v>
      </c>
      <c r="F402" s="34" t="s">
        <v>219</v>
      </c>
      <c r="G402" s="36"/>
      <c r="H402" s="35"/>
      <c r="I402" s="46">
        <f>I401</f>
        <v>38004.2</v>
      </c>
    </row>
    <row r="403" spans="5:9">
      <c r="E403" s="33" t="s">
        <v>275</v>
      </c>
      <c r="F403" s="34" t="s">
        <v>126</v>
      </c>
      <c r="G403" s="36"/>
      <c r="H403" s="35"/>
      <c r="I403" s="46">
        <f>I402/100*10.76</f>
        <v>4089.25192</v>
      </c>
    </row>
    <row r="404" spans="5:9">
      <c r="E404" s="33" t="s">
        <v>1</v>
      </c>
      <c r="F404" s="34"/>
      <c r="G404" s="36"/>
      <c r="H404" s="37">
        <f>H1</f>
        <v>0</v>
      </c>
      <c r="I404" s="46">
        <f>I403*H404</f>
        <v>0</v>
      </c>
    </row>
    <row r="405" spans="5:9">
      <c r="E405" s="33" t="s">
        <v>183</v>
      </c>
      <c r="F405" s="34"/>
      <c r="G405" s="36"/>
      <c r="H405" s="35"/>
      <c r="I405" s="46">
        <f>I403+I404</f>
        <v>4089.25192</v>
      </c>
    </row>
    <row r="408" spans="2:9">
      <c r="B408" s="256" t="s">
        <v>282</v>
      </c>
      <c r="C408" s="12"/>
      <c r="D408" s="13" t="s">
        <v>283</v>
      </c>
      <c r="E408" s="13"/>
      <c r="F408" s="13"/>
      <c r="G408" s="13"/>
      <c r="H408" s="13"/>
      <c r="I408" s="13"/>
    </row>
    <row r="409" spans="2:9">
      <c r="B409" s="14"/>
      <c r="C409" s="14"/>
      <c r="D409" s="14"/>
      <c r="E409" s="15"/>
      <c r="F409" s="16" t="s">
        <v>161</v>
      </c>
      <c r="G409" s="15">
        <v>1</v>
      </c>
      <c r="H409" s="16" t="s">
        <v>219</v>
      </c>
      <c r="I409" s="101"/>
    </row>
    <row r="410" spans="2:9">
      <c r="B410" s="17"/>
      <c r="C410" s="18" t="s">
        <v>162</v>
      </c>
      <c r="D410" s="18" t="s">
        <v>163</v>
      </c>
      <c r="E410" s="18" t="s">
        <v>164</v>
      </c>
      <c r="F410" s="18" t="s">
        <v>165</v>
      </c>
      <c r="G410" s="18" t="s">
        <v>166</v>
      </c>
      <c r="H410" s="18" t="s">
        <v>8</v>
      </c>
      <c r="I410" s="41" t="s">
        <v>167</v>
      </c>
    </row>
    <row r="411" spans="2:9">
      <c r="B411" s="17"/>
      <c r="C411" s="18"/>
      <c r="D411" s="19" t="s">
        <v>148</v>
      </c>
      <c r="E411" s="18" t="s">
        <v>284</v>
      </c>
      <c r="F411" s="254" t="s">
        <v>162</v>
      </c>
      <c r="G411" s="18">
        <v>1090</v>
      </c>
      <c r="H411" s="20">
        <f>Rates!E38</f>
        <v>25</v>
      </c>
      <c r="I411" s="42">
        <f t="shared" ref="I411:I417" si="23">H411*G411</f>
        <v>27250</v>
      </c>
    </row>
    <row r="412" ht="26.4" spans="2:9">
      <c r="B412" s="17"/>
      <c r="C412" s="18"/>
      <c r="D412" s="19" t="s">
        <v>272</v>
      </c>
      <c r="E412" s="254" t="s">
        <v>223</v>
      </c>
      <c r="F412" s="254" t="s">
        <v>223</v>
      </c>
      <c r="G412" s="254" t="s">
        <v>223</v>
      </c>
      <c r="H412" s="254" t="s">
        <v>223</v>
      </c>
      <c r="I412" s="42">
        <f>I411*5/100</f>
        <v>1362.5</v>
      </c>
    </row>
    <row r="413" spans="2:9">
      <c r="B413" s="17"/>
      <c r="C413" s="18"/>
      <c r="D413" s="19" t="s">
        <v>118</v>
      </c>
      <c r="E413" s="18" t="s">
        <v>224</v>
      </c>
      <c r="F413" s="254" t="s">
        <v>119</v>
      </c>
      <c r="G413" s="18">
        <v>3</v>
      </c>
      <c r="H413" s="20">
        <f>Rates!E15</f>
        <v>2425</v>
      </c>
      <c r="I413" s="42">
        <f t="shared" si="23"/>
        <v>7275</v>
      </c>
    </row>
    <row r="414" spans="2:9">
      <c r="B414" s="17"/>
      <c r="C414" s="18"/>
      <c r="D414" s="19" t="s">
        <v>225</v>
      </c>
      <c r="E414" s="18" t="s">
        <v>226</v>
      </c>
      <c r="F414" s="254" t="s">
        <v>227</v>
      </c>
      <c r="G414" s="18">
        <v>0.2</v>
      </c>
      <c r="H414" s="20">
        <f>Rates!E16</f>
        <v>25000</v>
      </c>
      <c r="I414" s="42">
        <f t="shared" si="23"/>
        <v>5000</v>
      </c>
    </row>
    <row r="415" spans="2:9">
      <c r="B415" s="17"/>
      <c r="C415" s="18"/>
      <c r="D415" s="19" t="s">
        <v>239</v>
      </c>
      <c r="E415" s="18" t="s">
        <v>285</v>
      </c>
      <c r="F415" s="18" t="s">
        <v>138</v>
      </c>
      <c r="G415" s="18">
        <v>115</v>
      </c>
      <c r="H415" s="20">
        <v>3</v>
      </c>
      <c r="I415" s="42">
        <f t="shared" si="23"/>
        <v>345</v>
      </c>
    </row>
    <row r="416" spans="2:9">
      <c r="B416" s="17"/>
      <c r="C416" s="18"/>
      <c r="D416" s="19" t="s">
        <v>231</v>
      </c>
      <c r="E416" s="18" t="s">
        <v>232</v>
      </c>
      <c r="F416" s="18" t="s">
        <v>177</v>
      </c>
      <c r="G416" s="18">
        <v>2.25</v>
      </c>
      <c r="H416" s="20">
        <f>Rates!E40</f>
        <v>4000</v>
      </c>
      <c r="I416" s="42">
        <f t="shared" si="23"/>
        <v>9000</v>
      </c>
    </row>
    <row r="417" spans="2:9">
      <c r="B417" s="17"/>
      <c r="C417" s="18"/>
      <c r="D417" s="19" t="s">
        <v>286</v>
      </c>
      <c r="E417" s="18" t="s">
        <v>233</v>
      </c>
      <c r="F417" s="18" t="s">
        <v>177</v>
      </c>
      <c r="G417" s="18">
        <v>3.75</v>
      </c>
      <c r="H417" s="20">
        <f>Rates!E44</f>
        <v>2300</v>
      </c>
      <c r="I417" s="42">
        <f t="shared" si="23"/>
        <v>8625</v>
      </c>
    </row>
    <row r="418" ht="26.4" spans="2:9">
      <c r="B418" s="17"/>
      <c r="C418" s="18"/>
      <c r="D418" s="19" t="s">
        <v>287</v>
      </c>
      <c r="E418" s="254" t="s">
        <v>223</v>
      </c>
      <c r="F418" s="254" t="s">
        <v>223</v>
      </c>
      <c r="G418" s="254" t="s">
        <v>223</v>
      </c>
      <c r="H418" s="254" t="s">
        <v>223</v>
      </c>
      <c r="I418" s="42">
        <f>(I416+I417)*3/100</f>
        <v>528.75</v>
      </c>
    </row>
    <row r="419" spans="2:9">
      <c r="B419" s="17"/>
      <c r="C419" s="21"/>
      <c r="D419" s="21"/>
      <c r="E419" s="33" t="s">
        <v>173</v>
      </c>
      <c r="F419" s="34" t="str">
        <f>$F$474</f>
        <v>Analysis for </v>
      </c>
      <c r="G419" s="36">
        <f>$G$474</f>
        <v>1</v>
      </c>
      <c r="H419" s="35"/>
      <c r="I419" s="46">
        <f>SUM(I411:I418)</f>
        <v>59386.25</v>
      </c>
    </row>
    <row r="420" spans="5:9">
      <c r="E420" s="33" t="s">
        <v>275</v>
      </c>
      <c r="F420" s="34" t="s">
        <v>219</v>
      </c>
      <c r="G420" s="36"/>
      <c r="H420" s="35"/>
      <c r="I420" s="46">
        <f>I419</f>
        <v>59386.25</v>
      </c>
    </row>
    <row r="421" spans="5:9">
      <c r="E421" s="33" t="s">
        <v>275</v>
      </c>
      <c r="F421" s="34" t="s">
        <v>126</v>
      </c>
      <c r="G421" s="36"/>
      <c r="H421" s="35"/>
      <c r="I421" s="46">
        <f>I420/100*10.76</f>
        <v>6389.9605</v>
      </c>
    </row>
    <row r="422" spans="5:9">
      <c r="E422" s="33" t="s">
        <v>1</v>
      </c>
      <c r="F422" s="34"/>
      <c r="G422" s="36"/>
      <c r="H422" s="37">
        <f>H367</f>
        <v>0</v>
      </c>
      <c r="I422" s="46">
        <f>I421*H422</f>
        <v>0</v>
      </c>
    </row>
    <row r="423" spans="5:9">
      <c r="E423" s="33" t="s">
        <v>183</v>
      </c>
      <c r="F423" s="34"/>
      <c r="G423" s="36"/>
      <c r="H423" s="35"/>
      <c r="I423" s="46">
        <f>I421+I422</f>
        <v>6389.9605</v>
      </c>
    </row>
    <row r="428" ht="28" customHeight="1" spans="2:9">
      <c r="B428" s="84"/>
      <c r="C428" s="84"/>
      <c r="D428" s="85" t="s">
        <v>288</v>
      </c>
      <c r="E428" s="85"/>
      <c r="F428" s="85"/>
      <c r="G428" s="85"/>
      <c r="H428" s="85"/>
      <c r="I428" s="85"/>
    </row>
    <row r="429" spans="2:9">
      <c r="B429" s="86"/>
      <c r="C429" s="86"/>
      <c r="D429" s="86"/>
      <c r="E429" s="87"/>
      <c r="F429" s="88" t="s">
        <v>161</v>
      </c>
      <c r="G429" s="87">
        <v>1</v>
      </c>
      <c r="H429" s="88" t="s">
        <v>219</v>
      </c>
      <c r="I429" s="102"/>
    </row>
    <row r="430" spans="2:9">
      <c r="B430" s="89"/>
      <c r="C430" s="90" t="s">
        <v>162</v>
      </c>
      <c r="D430" s="90" t="s">
        <v>163</v>
      </c>
      <c r="E430" s="90" t="s">
        <v>164</v>
      </c>
      <c r="F430" s="90" t="s">
        <v>165</v>
      </c>
      <c r="G430" s="90" t="s">
        <v>166</v>
      </c>
      <c r="H430" s="90" t="s">
        <v>8</v>
      </c>
      <c r="I430" s="103" t="s">
        <v>167</v>
      </c>
    </row>
    <row r="431" spans="2:9">
      <c r="B431" s="89"/>
      <c r="C431" s="90"/>
      <c r="D431" s="91" t="s">
        <v>118</v>
      </c>
      <c r="E431" s="90"/>
      <c r="F431" s="257" t="s">
        <v>119</v>
      </c>
      <c r="G431" s="90">
        <v>0.8</v>
      </c>
      <c r="H431" s="20">
        <f>Rates!E15</f>
        <v>2425</v>
      </c>
      <c r="I431" s="104">
        <f t="shared" ref="I431:I438" si="24">H431*G431</f>
        <v>1940</v>
      </c>
    </row>
    <row r="432" spans="2:9">
      <c r="B432" s="89"/>
      <c r="C432" s="90"/>
      <c r="D432" s="91" t="s">
        <v>289</v>
      </c>
      <c r="E432" s="90"/>
      <c r="F432" s="90" t="s">
        <v>170</v>
      </c>
      <c r="G432" s="90">
        <v>1</v>
      </c>
      <c r="H432" s="20">
        <v>150</v>
      </c>
      <c r="I432" s="104">
        <f t="shared" si="24"/>
        <v>150</v>
      </c>
    </row>
    <row r="433" spans="2:9">
      <c r="B433" s="89"/>
      <c r="C433" s="90"/>
      <c r="D433" s="91" t="s">
        <v>290</v>
      </c>
      <c r="E433" s="90"/>
      <c r="F433" s="90" t="s">
        <v>262</v>
      </c>
      <c r="G433" s="90">
        <v>30</v>
      </c>
      <c r="H433" s="92"/>
      <c r="I433" s="104">
        <f t="shared" si="24"/>
        <v>0</v>
      </c>
    </row>
    <row r="434" spans="2:9">
      <c r="B434" s="89"/>
      <c r="C434" s="90"/>
      <c r="D434" s="91" t="s">
        <v>225</v>
      </c>
      <c r="E434" s="90"/>
      <c r="F434" s="90" t="s">
        <v>227</v>
      </c>
      <c r="G434" s="90">
        <v>0.07</v>
      </c>
      <c r="H434" s="20">
        <f>Rates!E16</f>
        <v>25000</v>
      </c>
      <c r="I434" s="104">
        <f t="shared" si="24"/>
        <v>1750</v>
      </c>
    </row>
    <row r="435" spans="2:9">
      <c r="B435" s="89"/>
      <c r="C435" s="90"/>
      <c r="D435" s="91" t="s">
        <v>239</v>
      </c>
      <c r="E435" s="90"/>
      <c r="F435" s="90" t="s">
        <v>138</v>
      </c>
      <c r="G435" s="90">
        <v>10</v>
      </c>
      <c r="H435" s="92">
        <f>Rates!E29</f>
        <v>3</v>
      </c>
      <c r="I435" s="104">
        <f t="shared" si="24"/>
        <v>30</v>
      </c>
    </row>
    <row r="436" spans="2:9">
      <c r="B436" s="89"/>
      <c r="C436" s="90"/>
      <c r="D436" s="91" t="s">
        <v>231</v>
      </c>
      <c r="E436" s="90"/>
      <c r="F436" s="257" t="s">
        <v>177</v>
      </c>
      <c r="G436" s="90">
        <v>2</v>
      </c>
      <c r="H436" s="92">
        <f>Rates!E41</f>
        <v>4000</v>
      </c>
      <c r="I436" s="104">
        <f t="shared" si="24"/>
        <v>8000</v>
      </c>
    </row>
    <row r="437" spans="2:9">
      <c r="B437" s="89"/>
      <c r="C437" s="90"/>
      <c r="D437" s="91" t="s">
        <v>291</v>
      </c>
      <c r="E437" s="90"/>
      <c r="F437" s="257" t="s">
        <v>177</v>
      </c>
      <c r="G437" s="90">
        <v>0.25</v>
      </c>
      <c r="H437" s="92">
        <f>Rates!E42</f>
        <v>4000</v>
      </c>
      <c r="I437" s="104">
        <f t="shared" si="24"/>
        <v>1000</v>
      </c>
    </row>
    <row r="438" spans="2:9">
      <c r="B438" s="89"/>
      <c r="C438" s="90"/>
      <c r="D438" s="91" t="s">
        <v>178</v>
      </c>
      <c r="E438" s="90"/>
      <c r="F438" s="90" t="s">
        <v>177</v>
      </c>
      <c r="G438" s="90">
        <v>2</v>
      </c>
      <c r="H438" s="20">
        <f>Rates!E44</f>
        <v>2300</v>
      </c>
      <c r="I438" s="104">
        <f t="shared" si="24"/>
        <v>4600</v>
      </c>
    </row>
    <row r="439" ht="25.2" spans="2:9">
      <c r="B439" s="89"/>
      <c r="C439" s="90"/>
      <c r="D439" s="91" t="s">
        <v>292</v>
      </c>
      <c r="E439" s="257" t="s">
        <v>223</v>
      </c>
      <c r="F439" s="257" t="s">
        <v>223</v>
      </c>
      <c r="G439" s="257" t="s">
        <v>223</v>
      </c>
      <c r="H439" s="257" t="s">
        <v>223</v>
      </c>
      <c r="I439" s="104">
        <f>(I436+I438)*5/100</f>
        <v>630</v>
      </c>
    </row>
    <row r="440" spans="2:9">
      <c r="B440" s="89"/>
      <c r="C440" s="18"/>
      <c r="D440" s="19" t="s">
        <v>202</v>
      </c>
      <c r="E440" s="18"/>
      <c r="F440" s="18"/>
      <c r="G440" s="52"/>
      <c r="H440" s="20"/>
      <c r="I440" s="42">
        <f>(I436+I438)*0.03</f>
        <v>378</v>
      </c>
    </row>
    <row r="441" spans="2:9">
      <c r="B441" s="89"/>
      <c r="C441" s="93"/>
      <c r="D441" s="93"/>
      <c r="E441" s="94" t="s">
        <v>173</v>
      </c>
      <c r="F441" s="90">
        <f>G429</f>
        <v>1</v>
      </c>
      <c r="G441" s="90">
        <f>$G$120</f>
        <v>0</v>
      </c>
      <c r="H441" s="95"/>
      <c r="I441" s="104">
        <f>SUM(I431:I440)</f>
        <v>18478</v>
      </c>
    </row>
    <row r="442" spans="2:9">
      <c r="B442" s="89"/>
      <c r="C442" s="93"/>
      <c r="D442" s="93"/>
      <c r="E442" s="94" t="s">
        <v>174</v>
      </c>
      <c r="F442" s="90">
        <f>$G$120</f>
        <v>0</v>
      </c>
      <c r="G442" s="90"/>
      <c r="H442" s="95"/>
      <c r="I442" s="104">
        <f>I441/F441</f>
        <v>18478</v>
      </c>
    </row>
    <row r="443" spans="2:9">
      <c r="B443" s="96"/>
      <c r="C443" s="97"/>
      <c r="D443" s="97"/>
      <c r="E443" s="98" t="s">
        <v>182</v>
      </c>
      <c r="F443" s="99"/>
      <c r="G443" s="99"/>
      <c r="H443" s="100" t="s">
        <v>234</v>
      </c>
      <c r="I443" s="105">
        <f>ROUND(I442,0)</f>
        <v>18478</v>
      </c>
    </row>
    <row r="444" spans="2:12">
      <c r="B444" s="96"/>
      <c r="C444" s="96"/>
      <c r="D444" s="96"/>
      <c r="E444" s="98" t="s">
        <v>182</v>
      </c>
      <c r="F444" s="99"/>
      <c r="G444" s="99"/>
      <c r="H444" s="100" t="s">
        <v>293</v>
      </c>
      <c r="I444" s="105">
        <f>I443/100</f>
        <v>184.78</v>
      </c>
      <c r="L444" s="1">
        <f>2.1*4+1.2+2.4*2+1.2</f>
        <v>15.6</v>
      </c>
    </row>
    <row r="445" spans="2:12">
      <c r="B445" s="96"/>
      <c r="C445" s="96"/>
      <c r="D445" s="96"/>
      <c r="E445" s="98" t="s">
        <v>182</v>
      </c>
      <c r="F445" s="99"/>
      <c r="G445" s="99"/>
      <c r="H445" s="100" t="s">
        <v>294</v>
      </c>
      <c r="I445" s="105">
        <f>I444*10.76</f>
        <v>1988.2328</v>
      </c>
      <c r="L445" s="1">
        <f>L444*100</f>
        <v>1560</v>
      </c>
    </row>
    <row r="446" spans="5:12">
      <c r="E446" s="33" t="s">
        <v>1</v>
      </c>
      <c r="F446" s="34"/>
      <c r="G446" s="36"/>
      <c r="H446" s="37">
        <f>H1</f>
        <v>0</v>
      </c>
      <c r="I446" s="46">
        <f>I445*H446</f>
        <v>0</v>
      </c>
      <c r="L446" s="1">
        <f>L445/90*10</f>
        <v>173.333333333333</v>
      </c>
    </row>
    <row r="447" spans="5:9">
      <c r="E447" s="33" t="s">
        <v>183</v>
      </c>
      <c r="F447" s="34"/>
      <c r="G447" s="36"/>
      <c r="H447" s="35"/>
      <c r="I447" s="46">
        <f>I445+I446</f>
        <v>1988.2328</v>
      </c>
    </row>
    <row r="450" ht="24" customHeight="1" spans="2:9">
      <c r="B450" s="84" t="s">
        <v>295</v>
      </c>
      <c r="C450" s="84"/>
      <c r="D450" s="85" t="s">
        <v>296</v>
      </c>
      <c r="E450" s="85"/>
      <c r="F450" s="85"/>
      <c r="G450" s="85"/>
      <c r="H450" s="85"/>
      <c r="I450" s="85"/>
    </row>
    <row r="451" spans="2:9">
      <c r="B451" s="86"/>
      <c r="C451" s="86"/>
      <c r="D451" s="86"/>
      <c r="E451" s="87"/>
      <c r="F451" s="88" t="s">
        <v>161</v>
      </c>
      <c r="G451" s="87">
        <v>1</v>
      </c>
      <c r="H451" s="88" t="s">
        <v>219</v>
      </c>
      <c r="I451" s="102"/>
    </row>
    <row r="452" spans="2:9">
      <c r="B452" s="89"/>
      <c r="C452" s="90" t="s">
        <v>162</v>
      </c>
      <c r="D452" s="90" t="s">
        <v>163</v>
      </c>
      <c r="E452" s="90" t="s">
        <v>164</v>
      </c>
      <c r="F452" s="90" t="s">
        <v>165</v>
      </c>
      <c r="G452" s="90" t="s">
        <v>166</v>
      </c>
      <c r="H452" s="90" t="s">
        <v>8</v>
      </c>
      <c r="I452" s="103" t="s">
        <v>167</v>
      </c>
    </row>
    <row r="453" spans="2:9">
      <c r="B453" s="89"/>
      <c r="C453" s="90"/>
      <c r="D453" s="91" t="s">
        <v>118</v>
      </c>
      <c r="E453" s="90" t="s">
        <v>224</v>
      </c>
      <c r="F453" s="257" t="s">
        <v>119</v>
      </c>
      <c r="G453" s="90">
        <v>1.4</v>
      </c>
      <c r="H453" s="20">
        <f>Rates!E15</f>
        <v>2425</v>
      </c>
      <c r="I453" s="104">
        <f>G453*H453</f>
        <v>3395</v>
      </c>
    </row>
    <row r="454" spans="2:9">
      <c r="B454" s="89"/>
      <c r="C454" s="90"/>
      <c r="D454" s="91" t="s">
        <v>289</v>
      </c>
      <c r="E454" s="90"/>
      <c r="F454" s="90" t="s">
        <v>170</v>
      </c>
      <c r="G454" s="90">
        <v>1</v>
      </c>
      <c r="H454" s="20">
        <v>150</v>
      </c>
      <c r="I454" s="104">
        <f>H454*G454</f>
        <v>150</v>
      </c>
    </row>
    <row r="455" spans="2:9">
      <c r="B455" s="89"/>
      <c r="C455" s="90"/>
      <c r="D455" s="91" t="s">
        <v>225</v>
      </c>
      <c r="E455" s="90" t="s">
        <v>226</v>
      </c>
      <c r="F455" s="257" t="s">
        <v>227</v>
      </c>
      <c r="G455" s="90">
        <v>0.06</v>
      </c>
      <c r="H455" s="20">
        <f>Rates!E16</f>
        <v>25000</v>
      </c>
      <c r="I455" s="104">
        <f>G455*H455</f>
        <v>1500</v>
      </c>
    </row>
    <row r="456" spans="2:9">
      <c r="B456" s="89"/>
      <c r="C456" s="90"/>
      <c r="D456" s="91" t="s">
        <v>239</v>
      </c>
      <c r="E456" s="90" t="s">
        <v>285</v>
      </c>
      <c r="F456" s="90" t="s">
        <v>138</v>
      </c>
      <c r="G456" s="90">
        <v>10</v>
      </c>
      <c r="H456" s="92">
        <f>Rates!E29</f>
        <v>3</v>
      </c>
      <c r="I456" s="104">
        <f>G456*H456</f>
        <v>30</v>
      </c>
    </row>
    <row r="457" spans="2:9">
      <c r="B457" s="89"/>
      <c r="C457" s="90"/>
      <c r="D457" s="91" t="s">
        <v>231</v>
      </c>
      <c r="E457" s="90" t="s">
        <v>232</v>
      </c>
      <c r="F457" s="90" t="s">
        <v>177</v>
      </c>
      <c r="G457" s="90">
        <v>1.5</v>
      </c>
      <c r="H457" s="92">
        <f>Rates!E41</f>
        <v>4000</v>
      </c>
      <c r="I457" s="104">
        <f>G457*H457</f>
        <v>6000</v>
      </c>
    </row>
    <row r="458" spans="2:9">
      <c r="B458" s="89"/>
      <c r="C458" s="90"/>
      <c r="D458" s="91" t="s">
        <v>291</v>
      </c>
      <c r="E458" s="90"/>
      <c r="F458" s="257" t="s">
        <v>177</v>
      </c>
      <c r="G458" s="90">
        <v>0.25</v>
      </c>
      <c r="H458" s="92">
        <f>H457</f>
        <v>4000</v>
      </c>
      <c r="I458" s="104">
        <f>H458*G458</f>
        <v>1000</v>
      </c>
    </row>
    <row r="459" spans="2:9">
      <c r="B459" s="89"/>
      <c r="C459" s="90"/>
      <c r="D459" s="91" t="s">
        <v>178</v>
      </c>
      <c r="E459" s="90" t="s">
        <v>233</v>
      </c>
      <c r="F459" s="257" t="s">
        <v>177</v>
      </c>
      <c r="G459" s="90">
        <v>2</v>
      </c>
      <c r="H459" s="20">
        <f>Rates!E44</f>
        <v>2300</v>
      </c>
      <c r="I459" s="104">
        <f>G459*H459</f>
        <v>4600</v>
      </c>
    </row>
    <row r="460" ht="25.2" spans="2:9">
      <c r="B460" s="89"/>
      <c r="C460" s="90"/>
      <c r="D460" s="91" t="s">
        <v>297</v>
      </c>
      <c r="E460" s="257" t="s">
        <v>223</v>
      </c>
      <c r="F460" s="257" t="s">
        <v>223</v>
      </c>
      <c r="G460" s="257" t="s">
        <v>223</v>
      </c>
      <c r="H460" s="257" t="s">
        <v>223</v>
      </c>
      <c r="I460" s="104">
        <f>(I457+I459)*5/100</f>
        <v>530</v>
      </c>
    </row>
    <row r="461" spans="2:9">
      <c r="B461" s="89"/>
      <c r="C461" s="18"/>
      <c r="D461" s="19" t="s">
        <v>202</v>
      </c>
      <c r="E461" s="18"/>
      <c r="F461" s="18"/>
      <c r="G461" s="52"/>
      <c r="H461" s="20"/>
      <c r="I461" s="42">
        <f>(I457+I459)*0.03</f>
        <v>318</v>
      </c>
    </row>
    <row r="462" spans="2:9">
      <c r="B462" s="89"/>
      <c r="C462" s="89"/>
      <c r="D462" s="89"/>
      <c r="E462" s="106" t="s">
        <v>173</v>
      </c>
      <c r="F462" s="107">
        <f>G451</f>
        <v>1</v>
      </c>
      <c r="G462" s="107"/>
      <c r="H462" s="108"/>
      <c r="I462" s="104">
        <f>SUM(I453:I461)</f>
        <v>17523</v>
      </c>
    </row>
    <row r="463" spans="2:9">
      <c r="B463" s="89"/>
      <c r="C463" s="89"/>
      <c r="D463" s="89"/>
      <c r="E463" s="106" t="s">
        <v>174</v>
      </c>
      <c r="F463" s="107">
        <f>$G$120</f>
        <v>0</v>
      </c>
      <c r="G463" s="107"/>
      <c r="H463" s="108"/>
      <c r="I463" s="104">
        <f>I462/F462</f>
        <v>17523</v>
      </c>
    </row>
    <row r="464" spans="2:9">
      <c r="B464" s="96"/>
      <c r="C464" s="96"/>
      <c r="D464" s="96"/>
      <c r="E464" s="98" t="s">
        <v>182</v>
      </c>
      <c r="F464" s="99"/>
      <c r="G464" s="99"/>
      <c r="H464" s="100" t="s">
        <v>234</v>
      </c>
      <c r="I464" s="105">
        <f>ROUND(I463,0)</f>
        <v>17523</v>
      </c>
    </row>
    <row r="465" ht="14.4" spans="2:9">
      <c r="B465" s="96"/>
      <c r="C465" s="96"/>
      <c r="D465" s="96"/>
      <c r="E465" s="98" t="s">
        <v>182</v>
      </c>
      <c r="F465" s="99"/>
      <c r="G465" s="99"/>
      <c r="H465" s="100" t="s">
        <v>298</v>
      </c>
      <c r="I465" s="105">
        <f>I464/100</f>
        <v>175.23</v>
      </c>
    </row>
    <row r="466" ht="14.4" spans="2:9">
      <c r="B466" s="96"/>
      <c r="C466" s="96"/>
      <c r="D466" s="96"/>
      <c r="E466" s="98" t="s">
        <v>182</v>
      </c>
      <c r="F466" s="99"/>
      <c r="G466" s="99"/>
      <c r="H466" s="100" t="s">
        <v>299</v>
      </c>
      <c r="I466" s="105">
        <f>I465*10.76</f>
        <v>1885.4748</v>
      </c>
    </row>
    <row r="467" spans="5:9">
      <c r="E467" s="33" t="s">
        <v>1</v>
      </c>
      <c r="F467" s="34"/>
      <c r="G467" s="36"/>
      <c r="H467" s="37">
        <f>H1</f>
        <v>0</v>
      </c>
      <c r="I467" s="46">
        <f>I466*H467</f>
        <v>0</v>
      </c>
    </row>
    <row r="468" spans="5:9">
      <c r="E468" s="33" t="s">
        <v>183</v>
      </c>
      <c r="F468" s="34"/>
      <c r="G468" s="36"/>
      <c r="H468" s="35"/>
      <c r="I468" s="46">
        <f>I466+I467</f>
        <v>1885.4748</v>
      </c>
    </row>
    <row r="473" spans="2:9">
      <c r="B473" s="84"/>
      <c r="C473" s="84"/>
      <c r="D473" s="85" t="s">
        <v>300</v>
      </c>
      <c r="E473" s="85"/>
      <c r="F473" s="85"/>
      <c r="G473" s="85"/>
      <c r="H473" s="85"/>
      <c r="I473" s="85"/>
    </row>
    <row r="474" spans="2:9">
      <c r="B474" s="86"/>
      <c r="C474" s="86"/>
      <c r="D474" s="86"/>
      <c r="E474" s="87"/>
      <c r="F474" s="88" t="s">
        <v>161</v>
      </c>
      <c r="G474" s="87">
        <v>1</v>
      </c>
      <c r="H474" s="88" t="s">
        <v>219</v>
      </c>
      <c r="I474" s="102"/>
    </row>
    <row r="475" spans="2:9">
      <c r="B475" s="89"/>
      <c r="C475" s="90" t="s">
        <v>162</v>
      </c>
      <c r="D475" s="90" t="s">
        <v>163</v>
      </c>
      <c r="E475" s="90" t="s">
        <v>164</v>
      </c>
      <c r="F475" s="90" t="s">
        <v>165</v>
      </c>
      <c r="G475" s="90" t="s">
        <v>166</v>
      </c>
      <c r="H475" s="90" t="s">
        <v>8</v>
      </c>
      <c r="I475" s="103" t="s">
        <v>167</v>
      </c>
    </row>
    <row r="476" spans="2:9">
      <c r="B476" s="89"/>
      <c r="C476" s="90"/>
      <c r="D476" s="91" t="s">
        <v>118</v>
      </c>
      <c r="E476" s="90"/>
      <c r="F476" s="257" t="s">
        <v>119</v>
      </c>
      <c r="G476" s="90">
        <v>1.75</v>
      </c>
      <c r="H476" s="20">
        <f>Rates!E15</f>
        <v>2425</v>
      </c>
      <c r="I476" s="104">
        <f t="shared" ref="I476:I481" si="25">H476*G476</f>
        <v>4243.75</v>
      </c>
    </row>
    <row r="477" spans="2:9">
      <c r="B477" s="89"/>
      <c r="C477" s="90"/>
      <c r="D477" s="91" t="s">
        <v>225</v>
      </c>
      <c r="E477" s="90"/>
      <c r="F477" s="257" t="s">
        <v>227</v>
      </c>
      <c r="G477" s="90">
        <v>0.08</v>
      </c>
      <c r="H477" s="20">
        <f>Rates!E16</f>
        <v>25000</v>
      </c>
      <c r="I477" s="104">
        <f t="shared" si="25"/>
        <v>2000</v>
      </c>
    </row>
    <row r="478" spans="2:9">
      <c r="B478" s="89"/>
      <c r="C478" s="90"/>
      <c r="D478" s="91" t="s">
        <v>239</v>
      </c>
      <c r="E478" s="90"/>
      <c r="F478" s="90" t="s">
        <v>138</v>
      </c>
      <c r="G478" s="90">
        <v>10</v>
      </c>
      <c r="H478" s="92">
        <f>Rates!E29</f>
        <v>3</v>
      </c>
      <c r="I478" s="104">
        <f t="shared" si="25"/>
        <v>30</v>
      </c>
    </row>
    <row r="479" spans="2:9">
      <c r="B479" s="89"/>
      <c r="C479" s="90"/>
      <c r="D479" s="91" t="s">
        <v>231</v>
      </c>
      <c r="E479" s="90"/>
      <c r="F479" s="90" t="s">
        <v>177</v>
      </c>
      <c r="G479" s="90">
        <v>1.25</v>
      </c>
      <c r="H479" s="92">
        <f>Rates!E41</f>
        <v>4000</v>
      </c>
      <c r="I479" s="104">
        <f t="shared" si="25"/>
        <v>5000</v>
      </c>
    </row>
    <row r="480" spans="2:9">
      <c r="B480" s="89"/>
      <c r="C480" s="90"/>
      <c r="D480" s="91" t="s">
        <v>178</v>
      </c>
      <c r="E480" s="90"/>
      <c r="F480" s="257" t="s">
        <v>177</v>
      </c>
      <c r="G480" s="90">
        <v>2</v>
      </c>
      <c r="H480" s="92">
        <f>Rates!E44</f>
        <v>2300</v>
      </c>
      <c r="I480" s="104">
        <f t="shared" si="25"/>
        <v>4600</v>
      </c>
    </row>
    <row r="481" spans="2:9">
      <c r="B481" s="89"/>
      <c r="C481" s="90"/>
      <c r="D481" s="91" t="s">
        <v>301</v>
      </c>
      <c r="E481" s="90"/>
      <c r="F481" s="257" t="s">
        <v>177</v>
      </c>
      <c r="G481" s="90">
        <v>0.25</v>
      </c>
      <c r="H481" s="92">
        <f>Rates!E44</f>
        <v>2300</v>
      </c>
      <c r="I481" s="104">
        <f t="shared" si="25"/>
        <v>575</v>
      </c>
    </row>
    <row r="482" spans="2:9">
      <c r="B482" s="89"/>
      <c r="C482" s="18"/>
      <c r="D482" s="19" t="s">
        <v>202</v>
      </c>
      <c r="E482" s="18"/>
      <c r="F482" s="18"/>
      <c r="G482" s="52"/>
      <c r="H482" s="20"/>
      <c r="I482" s="42">
        <f>(I479+I480+I481)*0.03</f>
        <v>305.25</v>
      </c>
    </row>
    <row r="483" spans="2:9">
      <c r="B483" s="89"/>
      <c r="C483" s="89"/>
      <c r="D483" s="89"/>
      <c r="E483" s="106" t="s">
        <v>173</v>
      </c>
      <c r="F483" s="107">
        <f>G474</f>
        <v>1</v>
      </c>
      <c r="G483" s="107">
        <f>$G$428</f>
        <v>0</v>
      </c>
      <c r="H483" s="108"/>
      <c r="I483" s="104">
        <f>SUM(I476:I482)</f>
        <v>16754</v>
      </c>
    </row>
    <row r="484" spans="2:9">
      <c r="B484" s="89"/>
      <c r="C484" s="89"/>
      <c r="D484" s="89"/>
      <c r="E484" s="106" t="s">
        <v>174</v>
      </c>
      <c r="F484" s="107">
        <f>$G$428</f>
        <v>0</v>
      </c>
      <c r="G484" s="107"/>
      <c r="H484" s="108"/>
      <c r="I484" s="104">
        <f>I483/F483</f>
        <v>16754</v>
      </c>
    </row>
    <row r="485" spans="2:9">
      <c r="B485" s="96"/>
      <c r="C485" s="97"/>
      <c r="D485" s="97"/>
      <c r="E485" s="98" t="s">
        <v>182</v>
      </c>
      <c r="F485" s="99"/>
      <c r="G485" s="99"/>
      <c r="H485" s="100" t="s">
        <v>234</v>
      </c>
      <c r="I485" s="105">
        <f>ROUND(I484,0)</f>
        <v>16754</v>
      </c>
    </row>
    <row r="486" spans="2:9">
      <c r="B486" s="96"/>
      <c r="C486" s="96"/>
      <c r="D486" s="96"/>
      <c r="E486" s="98" t="s">
        <v>182</v>
      </c>
      <c r="F486" s="99"/>
      <c r="G486" s="99"/>
      <c r="H486" s="100" t="s">
        <v>294</v>
      </c>
      <c r="I486" s="105">
        <f>I485/100*10.76</f>
        <v>1802.7304</v>
      </c>
    </row>
    <row r="487" spans="5:9">
      <c r="E487" s="33" t="s">
        <v>1</v>
      </c>
      <c r="F487" s="34"/>
      <c r="G487" s="36"/>
      <c r="H487" s="37">
        <f>H1</f>
        <v>0</v>
      </c>
      <c r="I487" s="46">
        <f>I486*H487</f>
        <v>0</v>
      </c>
    </row>
    <row r="488" spans="5:9">
      <c r="E488" s="33" t="s">
        <v>183</v>
      </c>
      <c r="F488" s="34"/>
      <c r="G488" s="36"/>
      <c r="H488" s="35"/>
      <c r="I488" s="46">
        <f>I486+I487</f>
        <v>1802.7304</v>
      </c>
    </row>
    <row r="491" spans="2:9">
      <c r="B491" s="49"/>
      <c r="C491" s="49"/>
      <c r="D491" s="13" t="s">
        <v>302</v>
      </c>
      <c r="E491" s="13"/>
      <c r="F491" s="13"/>
      <c r="G491" s="13"/>
      <c r="H491" s="13"/>
      <c r="I491" s="13"/>
    </row>
    <row r="492" spans="2:9">
      <c r="B492" s="14"/>
      <c r="C492" s="14"/>
      <c r="D492" s="14"/>
      <c r="E492" s="15"/>
      <c r="F492" s="16" t="s">
        <v>161</v>
      </c>
      <c r="G492" s="15">
        <v>1</v>
      </c>
      <c r="H492" s="16" t="s">
        <v>219</v>
      </c>
      <c r="I492" s="40"/>
    </row>
    <row r="493" spans="2:9">
      <c r="B493" s="17"/>
      <c r="C493" s="18" t="s">
        <v>162</v>
      </c>
      <c r="D493" s="18" t="s">
        <v>163</v>
      </c>
      <c r="E493" s="18" t="s">
        <v>164</v>
      </c>
      <c r="F493" s="18" t="s">
        <v>165</v>
      </c>
      <c r="G493" s="18" t="s">
        <v>166</v>
      </c>
      <c r="H493" s="18" t="s">
        <v>8</v>
      </c>
      <c r="I493" s="41" t="s">
        <v>167</v>
      </c>
    </row>
    <row r="494" spans="2:9">
      <c r="B494" s="17"/>
      <c r="C494" s="18"/>
      <c r="D494" s="19" t="s">
        <v>139</v>
      </c>
      <c r="E494" s="18"/>
      <c r="F494" s="254" t="s">
        <v>303</v>
      </c>
      <c r="G494" s="18">
        <v>0.9</v>
      </c>
      <c r="H494" s="109">
        <f>Rates!E30</f>
        <v>1145</v>
      </c>
      <c r="I494" s="42">
        <f t="shared" ref="I494:I499" si="26">H494*G494</f>
        <v>1030.5</v>
      </c>
    </row>
    <row r="495" spans="2:9">
      <c r="B495" s="17"/>
      <c r="C495" s="18"/>
      <c r="D495" s="19" t="s">
        <v>304</v>
      </c>
      <c r="E495" s="18"/>
      <c r="F495" s="254" t="s">
        <v>303</v>
      </c>
      <c r="G495" s="18">
        <v>1.4</v>
      </c>
      <c r="H495" s="109">
        <f>Rates!E32</f>
        <v>2066.25</v>
      </c>
      <c r="I495" s="42">
        <f t="shared" si="26"/>
        <v>2892.75</v>
      </c>
    </row>
    <row r="496" spans="2:9">
      <c r="B496" s="17"/>
      <c r="C496" s="18"/>
      <c r="D496" s="19" t="s">
        <v>239</v>
      </c>
      <c r="E496" s="18"/>
      <c r="F496" s="18" t="s">
        <v>138</v>
      </c>
      <c r="G496" s="18">
        <v>0.1</v>
      </c>
      <c r="H496" s="109">
        <f>Rates!E29</f>
        <v>3</v>
      </c>
      <c r="I496" s="42">
        <f t="shared" si="26"/>
        <v>0.3</v>
      </c>
    </row>
    <row r="497" spans="2:9">
      <c r="B497" s="17"/>
      <c r="C497" s="18"/>
      <c r="D497" s="19" t="s">
        <v>305</v>
      </c>
      <c r="E497" s="18"/>
      <c r="F497" s="18" t="s">
        <v>162</v>
      </c>
      <c r="G497" s="18">
        <v>0.1</v>
      </c>
      <c r="H497" s="109"/>
      <c r="I497" s="42">
        <f t="shared" si="26"/>
        <v>0</v>
      </c>
    </row>
    <row r="498" spans="2:9">
      <c r="B498" s="17"/>
      <c r="C498" s="18"/>
      <c r="D498" s="19" t="s">
        <v>306</v>
      </c>
      <c r="E498" s="18"/>
      <c r="F498" s="254" t="s">
        <v>307</v>
      </c>
      <c r="G498" s="18">
        <v>2</v>
      </c>
      <c r="H498" s="109">
        <v>450</v>
      </c>
      <c r="I498" s="42">
        <f t="shared" si="26"/>
        <v>900</v>
      </c>
    </row>
    <row r="499" spans="2:9">
      <c r="B499" s="17"/>
      <c r="C499" s="18"/>
      <c r="D499" s="19" t="s">
        <v>308</v>
      </c>
      <c r="E499" s="18"/>
      <c r="F499" s="254" t="s">
        <v>177</v>
      </c>
      <c r="G499" s="18">
        <v>1.25</v>
      </c>
      <c r="H499" s="109">
        <f>Rates!E42</f>
        <v>4000</v>
      </c>
      <c r="I499" s="42">
        <f t="shared" si="26"/>
        <v>5000</v>
      </c>
    </row>
    <row r="500" ht="26.4" spans="2:9">
      <c r="B500" s="17"/>
      <c r="C500" s="18"/>
      <c r="D500" s="19" t="s">
        <v>309</v>
      </c>
      <c r="E500" s="254" t="s">
        <v>223</v>
      </c>
      <c r="F500" s="254" t="s">
        <v>223</v>
      </c>
      <c r="G500" s="254" t="s">
        <v>223</v>
      </c>
      <c r="H500" s="254" t="s">
        <v>223</v>
      </c>
      <c r="I500" s="42">
        <f>(I499)*5/100</f>
        <v>250</v>
      </c>
    </row>
    <row r="501" spans="2:9">
      <c r="B501" s="17"/>
      <c r="C501" s="18"/>
      <c r="D501" s="19" t="s">
        <v>202</v>
      </c>
      <c r="E501" s="18"/>
      <c r="F501" s="18"/>
      <c r="G501" s="52"/>
      <c r="H501" s="20"/>
      <c r="I501" s="42">
        <f>(I499)*0.03</f>
        <v>150</v>
      </c>
    </row>
    <row r="502" spans="2:9">
      <c r="B502" s="17"/>
      <c r="C502" s="17"/>
      <c r="D502" s="17"/>
      <c r="E502" s="22" t="s">
        <v>173</v>
      </c>
      <c r="F502" s="23">
        <v>1</v>
      </c>
      <c r="G502" s="23">
        <f>$G$116</f>
        <v>0</v>
      </c>
      <c r="H502" s="24"/>
      <c r="I502" s="42">
        <f>SUM(I494:I501)</f>
        <v>10223.55</v>
      </c>
    </row>
    <row r="503" spans="2:9">
      <c r="B503" s="17"/>
      <c r="C503" s="17"/>
      <c r="D503" s="17"/>
      <c r="E503" s="22" t="s">
        <v>174</v>
      </c>
      <c r="F503" s="23">
        <f>$G$116</f>
        <v>0</v>
      </c>
      <c r="G503" s="23"/>
      <c r="H503" s="24"/>
      <c r="I503" s="42">
        <f>I502/F502</f>
        <v>10223.55</v>
      </c>
    </row>
    <row r="504" spans="2:9">
      <c r="B504" s="31"/>
      <c r="C504" s="32"/>
      <c r="D504" s="32"/>
      <c r="E504" s="33" t="s">
        <v>182</v>
      </c>
      <c r="F504" s="34"/>
      <c r="G504" s="34"/>
      <c r="H504" s="35" t="s">
        <v>310</v>
      </c>
      <c r="I504" s="46">
        <f>ROUND(I503,0)</f>
        <v>10224</v>
      </c>
    </row>
    <row r="505" ht="14.4" spans="2:9">
      <c r="B505" s="31"/>
      <c r="C505" s="32"/>
      <c r="D505" s="32"/>
      <c r="E505" s="33" t="s">
        <v>182</v>
      </c>
      <c r="F505" s="34"/>
      <c r="G505" s="34"/>
      <c r="H505" s="35" t="s">
        <v>311</v>
      </c>
      <c r="I505" s="46">
        <f>I504/100</f>
        <v>102.24</v>
      </c>
    </row>
    <row r="506" ht="14.4" spans="2:9">
      <c r="B506" s="31"/>
      <c r="C506" s="32"/>
      <c r="D506" s="17"/>
      <c r="E506" s="33" t="s">
        <v>182</v>
      </c>
      <c r="F506" s="34"/>
      <c r="G506" s="34"/>
      <c r="H506" s="35" t="s">
        <v>258</v>
      </c>
      <c r="I506" s="46">
        <f>I505*10.76</f>
        <v>1100.1024</v>
      </c>
    </row>
    <row r="507" spans="5:9">
      <c r="E507" s="33" t="s">
        <v>1</v>
      </c>
      <c r="F507" s="34"/>
      <c r="G507" s="36"/>
      <c r="H507" s="37">
        <f>H1</f>
        <v>0</v>
      </c>
      <c r="I507" s="110">
        <f>I506*H507</f>
        <v>0</v>
      </c>
    </row>
    <row r="508" spans="5:9">
      <c r="E508" s="33" t="s">
        <v>183</v>
      </c>
      <c r="F508" s="34"/>
      <c r="G508" s="36"/>
      <c r="H508" s="35"/>
      <c r="I508" s="110">
        <f>I506+I507</f>
        <v>1100.1024</v>
      </c>
    </row>
    <row r="511" spans="2:9">
      <c r="B511" s="49"/>
      <c r="C511" s="49"/>
      <c r="D511" s="13" t="s">
        <v>312</v>
      </c>
      <c r="E511" s="13"/>
      <c r="F511" s="13"/>
      <c r="G511" s="13"/>
      <c r="H511" s="13"/>
      <c r="I511" s="13"/>
    </row>
    <row r="512" spans="2:9">
      <c r="B512" s="14"/>
      <c r="C512" s="14"/>
      <c r="D512" s="14"/>
      <c r="E512" s="15"/>
      <c r="F512" s="16" t="s">
        <v>161</v>
      </c>
      <c r="G512" s="15">
        <v>1</v>
      </c>
      <c r="H512" s="16" t="s">
        <v>219</v>
      </c>
      <c r="I512" s="40"/>
    </row>
    <row r="513" spans="2:9">
      <c r="B513" s="17"/>
      <c r="C513" s="18" t="s">
        <v>162</v>
      </c>
      <c r="D513" s="18" t="s">
        <v>163</v>
      </c>
      <c r="E513" s="18" t="s">
        <v>164</v>
      </c>
      <c r="F513" s="18" t="s">
        <v>165</v>
      </c>
      <c r="G513" s="18" t="s">
        <v>166</v>
      </c>
      <c r="H513" s="18" t="s">
        <v>8</v>
      </c>
      <c r="I513" s="41" t="s">
        <v>167</v>
      </c>
    </row>
    <row r="514" spans="2:9">
      <c r="B514" s="17"/>
      <c r="C514" s="18"/>
      <c r="D514" s="19" t="s">
        <v>139</v>
      </c>
      <c r="E514" s="18"/>
      <c r="F514" s="254" t="s">
        <v>303</v>
      </c>
      <c r="G514" s="18">
        <v>0.9</v>
      </c>
      <c r="H514" s="109">
        <f>Rates!E31</f>
        <v>2490</v>
      </c>
      <c r="I514" s="42">
        <f t="shared" ref="I514:I521" si="27">H514*G514</f>
        <v>2241</v>
      </c>
    </row>
    <row r="515" spans="2:9">
      <c r="B515" s="17"/>
      <c r="C515" s="18"/>
      <c r="D515" s="19" t="s">
        <v>143</v>
      </c>
      <c r="E515" s="18"/>
      <c r="F515" s="18" t="s">
        <v>64</v>
      </c>
      <c r="G515" s="18">
        <v>8</v>
      </c>
      <c r="H515" s="109">
        <f>Rates!E33</f>
        <v>150</v>
      </c>
      <c r="I515" s="42">
        <f t="shared" si="27"/>
        <v>1200</v>
      </c>
    </row>
    <row r="516" spans="2:9">
      <c r="B516" s="17"/>
      <c r="C516" s="18"/>
      <c r="D516" s="19" t="s">
        <v>313</v>
      </c>
      <c r="E516" s="18"/>
      <c r="F516" s="254" t="s">
        <v>303</v>
      </c>
      <c r="G516" s="18">
        <v>1.4</v>
      </c>
      <c r="H516" s="109">
        <f>Rates!E34</f>
        <v>2937.5</v>
      </c>
      <c r="I516" s="42">
        <f t="shared" si="27"/>
        <v>4112.5</v>
      </c>
    </row>
    <row r="517" spans="2:9">
      <c r="B517" s="17"/>
      <c r="C517" s="18"/>
      <c r="D517" s="19" t="s">
        <v>239</v>
      </c>
      <c r="E517" s="18"/>
      <c r="F517" s="18" t="s">
        <v>138</v>
      </c>
      <c r="G517" s="18">
        <v>0.1</v>
      </c>
      <c r="H517" s="109">
        <f>Rates!E29</f>
        <v>3</v>
      </c>
      <c r="I517" s="42">
        <f t="shared" si="27"/>
        <v>0.3</v>
      </c>
    </row>
    <row r="518" spans="2:9">
      <c r="B518" s="17"/>
      <c r="C518" s="18"/>
      <c r="D518" s="19" t="s">
        <v>305</v>
      </c>
      <c r="E518" s="18"/>
      <c r="F518" s="18" t="s">
        <v>162</v>
      </c>
      <c r="G518" s="18">
        <v>0.1</v>
      </c>
      <c r="H518" s="109"/>
      <c r="I518" s="42">
        <f t="shared" si="27"/>
        <v>0</v>
      </c>
    </row>
    <row r="519" spans="2:9">
      <c r="B519" s="17"/>
      <c r="C519" s="18"/>
      <c r="D519" s="19" t="s">
        <v>306</v>
      </c>
      <c r="E519" s="18"/>
      <c r="F519" s="254" t="s">
        <v>307</v>
      </c>
      <c r="G519" s="18">
        <v>2</v>
      </c>
      <c r="H519" s="109">
        <f>Rates!E35</f>
        <v>450</v>
      </c>
      <c r="I519" s="42">
        <f t="shared" si="27"/>
        <v>900</v>
      </c>
    </row>
    <row r="520" spans="2:10">
      <c r="B520" s="17"/>
      <c r="C520" s="18"/>
      <c r="D520" s="19" t="s">
        <v>308</v>
      </c>
      <c r="E520" s="18"/>
      <c r="F520" s="254" t="s">
        <v>177</v>
      </c>
      <c r="G520" s="18">
        <v>1.25</v>
      </c>
      <c r="H520" s="109">
        <f>Rates!E42</f>
        <v>4000</v>
      </c>
      <c r="I520" s="42">
        <f t="shared" si="27"/>
        <v>5000</v>
      </c>
      <c r="J520" s="45"/>
    </row>
    <row r="521" spans="2:10">
      <c r="B521" s="17"/>
      <c r="C521" s="18"/>
      <c r="D521" s="111" t="s">
        <v>308</v>
      </c>
      <c r="E521" s="73"/>
      <c r="F521" s="258" t="s">
        <v>177</v>
      </c>
      <c r="G521" s="73">
        <v>1</v>
      </c>
      <c r="H521" s="112">
        <f>Rates!E43</f>
        <v>4000</v>
      </c>
      <c r="I521" s="115">
        <f t="shared" si="27"/>
        <v>4000</v>
      </c>
      <c r="J521" s="45"/>
    </row>
    <row r="522" ht="26.4" spans="2:9">
      <c r="B522" s="17"/>
      <c r="C522" s="18"/>
      <c r="D522" s="19" t="s">
        <v>309</v>
      </c>
      <c r="E522" s="254" t="s">
        <v>223</v>
      </c>
      <c r="F522" s="254" t="s">
        <v>223</v>
      </c>
      <c r="G522" s="254" t="s">
        <v>223</v>
      </c>
      <c r="H522" s="254" t="s">
        <v>223</v>
      </c>
      <c r="I522" s="42">
        <f>(I520)*3/100</f>
        <v>150</v>
      </c>
    </row>
    <row r="523" spans="2:9">
      <c r="B523" s="17"/>
      <c r="C523" s="18"/>
      <c r="D523" s="19" t="s">
        <v>202</v>
      </c>
      <c r="E523" s="18"/>
      <c r="F523" s="18"/>
      <c r="G523" s="52"/>
      <c r="H523" s="20"/>
      <c r="I523" s="42">
        <f>(I520)*0.03</f>
        <v>150</v>
      </c>
    </row>
    <row r="524" spans="2:9">
      <c r="B524" s="17"/>
      <c r="C524" s="17"/>
      <c r="D524" s="17"/>
      <c r="E524" s="22" t="s">
        <v>173</v>
      </c>
      <c r="F524" s="23">
        <v>1</v>
      </c>
      <c r="G524" s="23">
        <f>$G$116</f>
        <v>0</v>
      </c>
      <c r="H524" s="24"/>
      <c r="I524" s="42">
        <f>SUM(I514:I523)</f>
        <v>17753.8</v>
      </c>
    </row>
    <row r="525" spans="2:9">
      <c r="B525" s="17"/>
      <c r="C525" s="17"/>
      <c r="D525" s="17"/>
      <c r="E525" s="22" t="s">
        <v>174</v>
      </c>
      <c r="F525" s="23">
        <f>$G$116</f>
        <v>0</v>
      </c>
      <c r="G525" s="23"/>
      <c r="H525" s="24"/>
      <c r="I525" s="42">
        <f>I524/F524</f>
        <v>17753.8</v>
      </c>
    </row>
    <row r="526" spans="2:9">
      <c r="B526" s="31"/>
      <c r="C526" s="32"/>
      <c r="D526" s="32"/>
      <c r="E526" s="33" t="s">
        <v>182</v>
      </c>
      <c r="F526" s="34"/>
      <c r="G526" s="34"/>
      <c r="H526" s="35" t="s">
        <v>310</v>
      </c>
      <c r="I526" s="46">
        <f>ROUND(I525,0)</f>
        <v>17754</v>
      </c>
    </row>
    <row r="527" ht="14.4" spans="2:9">
      <c r="B527" s="31"/>
      <c r="C527" s="32"/>
      <c r="D527" s="32"/>
      <c r="E527" s="33" t="s">
        <v>182</v>
      </c>
      <c r="F527" s="34"/>
      <c r="G527" s="34"/>
      <c r="H527" s="35" t="s">
        <v>311</v>
      </c>
      <c r="I527" s="46">
        <f>I526/100</f>
        <v>177.54</v>
      </c>
    </row>
    <row r="528" ht="14.4" spans="2:10">
      <c r="B528" s="31"/>
      <c r="C528" s="32"/>
      <c r="D528" s="17"/>
      <c r="E528" s="33" t="s">
        <v>182</v>
      </c>
      <c r="F528" s="34"/>
      <c r="G528" s="34"/>
      <c r="H528" s="35" t="s">
        <v>258</v>
      </c>
      <c r="I528" s="46">
        <f>I527*10.76</f>
        <v>1910.3304</v>
      </c>
      <c r="J528" s="45">
        <f>I526/10.76</f>
        <v>1650</v>
      </c>
    </row>
    <row r="529" spans="5:12">
      <c r="E529" s="33" t="s">
        <v>1</v>
      </c>
      <c r="F529" s="34"/>
      <c r="G529" s="36"/>
      <c r="H529" s="37">
        <f>H1</f>
        <v>0</v>
      </c>
      <c r="I529" s="46">
        <f>I528*H529</f>
        <v>0</v>
      </c>
      <c r="L529" s="1">
        <f>100/10.76</f>
        <v>9.29368029739777</v>
      </c>
    </row>
    <row r="530" spans="5:9">
      <c r="E530" s="33" t="s">
        <v>183</v>
      </c>
      <c r="F530" s="34"/>
      <c r="G530" s="36"/>
      <c r="H530" s="35"/>
      <c r="I530" s="46">
        <f>I528+I529</f>
        <v>1910.3304</v>
      </c>
    </row>
    <row r="533" spans="2:9">
      <c r="B533" s="49"/>
      <c r="C533" s="49"/>
      <c r="D533" s="13" t="s">
        <v>314</v>
      </c>
      <c r="E533" s="13"/>
      <c r="F533" s="13"/>
      <c r="G533" s="13"/>
      <c r="H533" s="13"/>
      <c r="I533" s="13"/>
    </row>
    <row r="534" spans="2:9">
      <c r="B534" s="14"/>
      <c r="C534" s="14"/>
      <c r="D534" s="14"/>
      <c r="E534" s="15"/>
      <c r="F534" s="16" t="s">
        <v>161</v>
      </c>
      <c r="G534" s="15">
        <v>1</v>
      </c>
      <c r="H534" s="16" t="s">
        <v>315</v>
      </c>
      <c r="I534" s="40"/>
    </row>
    <row r="535" spans="2:9">
      <c r="B535" s="17"/>
      <c r="C535" s="18" t="s">
        <v>162</v>
      </c>
      <c r="D535" s="18" t="s">
        <v>163</v>
      </c>
      <c r="E535" s="18" t="s">
        <v>164</v>
      </c>
      <c r="F535" s="18" t="s">
        <v>165</v>
      </c>
      <c r="G535" s="18" t="s">
        <v>166</v>
      </c>
      <c r="H535" s="18" t="s">
        <v>8</v>
      </c>
      <c r="I535" s="41" t="s">
        <v>167</v>
      </c>
    </row>
    <row r="536" spans="2:9">
      <c r="B536" s="17"/>
      <c r="C536" s="18"/>
      <c r="D536" s="19" t="s">
        <v>139</v>
      </c>
      <c r="E536" s="18"/>
      <c r="F536" s="254" t="s">
        <v>303</v>
      </c>
      <c r="G536" s="18">
        <v>0.9</v>
      </c>
      <c r="H536" s="109">
        <f>Rates!E30</f>
        <v>1145</v>
      </c>
      <c r="I536" s="42">
        <f t="shared" ref="I536:I543" si="28">H536*G536</f>
        <v>1030.5</v>
      </c>
    </row>
    <row r="537" spans="2:9">
      <c r="B537" s="17"/>
      <c r="C537" s="18"/>
      <c r="D537" s="19" t="s">
        <v>143</v>
      </c>
      <c r="E537" s="18"/>
      <c r="F537" s="18" t="s">
        <v>64</v>
      </c>
      <c r="G537" s="18">
        <v>8</v>
      </c>
      <c r="H537" s="109">
        <f>Rates!E33</f>
        <v>150</v>
      </c>
      <c r="I537" s="42">
        <f t="shared" si="28"/>
        <v>1200</v>
      </c>
    </row>
    <row r="538" spans="2:9">
      <c r="B538" s="17"/>
      <c r="C538" s="18"/>
      <c r="D538" s="19" t="s">
        <v>304</v>
      </c>
      <c r="E538" s="18"/>
      <c r="F538" s="254" t="s">
        <v>303</v>
      </c>
      <c r="G538" s="18">
        <v>1.5</v>
      </c>
      <c r="H538" s="109">
        <f>Rates!E32</f>
        <v>2066.25</v>
      </c>
      <c r="I538" s="42">
        <f t="shared" si="28"/>
        <v>3099.375</v>
      </c>
    </row>
    <row r="539" spans="2:9">
      <c r="B539" s="17"/>
      <c r="C539" s="18"/>
      <c r="D539" s="19" t="s">
        <v>239</v>
      </c>
      <c r="E539" s="18"/>
      <c r="F539" s="18" t="s">
        <v>138</v>
      </c>
      <c r="G539" s="18">
        <v>0.1</v>
      </c>
      <c r="H539" s="109"/>
      <c r="I539" s="42">
        <f t="shared" si="28"/>
        <v>0</v>
      </c>
    </row>
    <row r="540" spans="2:9">
      <c r="B540" s="17"/>
      <c r="C540" s="18"/>
      <c r="D540" s="19" t="s">
        <v>305</v>
      </c>
      <c r="E540" s="18"/>
      <c r="F540" s="18" t="s">
        <v>162</v>
      </c>
      <c r="G540" s="18">
        <v>0.1</v>
      </c>
      <c r="H540" s="109">
        <v>0</v>
      </c>
      <c r="I540" s="42">
        <f t="shared" si="28"/>
        <v>0</v>
      </c>
    </row>
    <row r="541" spans="2:9">
      <c r="B541" s="17"/>
      <c r="C541" s="18"/>
      <c r="D541" s="19" t="s">
        <v>316</v>
      </c>
      <c r="E541" s="18"/>
      <c r="F541" s="18" t="s">
        <v>129</v>
      </c>
      <c r="G541" s="18">
        <v>3</v>
      </c>
      <c r="H541" s="109">
        <f>Rates!E35</f>
        <v>450</v>
      </c>
      <c r="I541" s="42">
        <f t="shared" si="28"/>
        <v>1350</v>
      </c>
    </row>
    <row r="542" spans="2:9">
      <c r="B542" s="17"/>
      <c r="C542" s="18"/>
      <c r="D542" s="19" t="s">
        <v>308</v>
      </c>
      <c r="E542" s="18"/>
      <c r="F542" s="254" t="s">
        <v>177</v>
      </c>
      <c r="G542" s="18">
        <v>1.75</v>
      </c>
      <c r="H542" s="109">
        <f>Rates!E40</f>
        <v>4000</v>
      </c>
      <c r="I542" s="42">
        <f t="shared" si="28"/>
        <v>7000</v>
      </c>
    </row>
    <row r="543" spans="2:10">
      <c r="B543" s="17"/>
      <c r="C543" s="18"/>
      <c r="D543" s="19" t="s">
        <v>308</v>
      </c>
      <c r="E543" s="18"/>
      <c r="F543" s="254" t="s">
        <v>177</v>
      </c>
      <c r="G543" s="18">
        <v>1</v>
      </c>
      <c r="H543" s="109">
        <f>H542</f>
        <v>4000</v>
      </c>
      <c r="I543" s="42">
        <f t="shared" si="28"/>
        <v>4000</v>
      </c>
      <c r="J543" s="1">
        <f>4000/9.3</f>
        <v>430.10752688172</v>
      </c>
    </row>
    <row r="544" ht="26.4" spans="2:10">
      <c r="B544" s="17"/>
      <c r="C544" s="18"/>
      <c r="D544" s="19" t="s">
        <v>317</v>
      </c>
      <c r="E544" s="254" t="s">
        <v>223</v>
      </c>
      <c r="F544" s="254" t="s">
        <v>223</v>
      </c>
      <c r="G544" s="254" t="s">
        <v>223</v>
      </c>
      <c r="H544" s="254" t="s">
        <v>223</v>
      </c>
      <c r="I544" s="42">
        <f>(I542)*3/100</f>
        <v>210</v>
      </c>
      <c r="J544" s="1">
        <f>J543/10.75</f>
        <v>40.0100025006252</v>
      </c>
    </row>
    <row r="545" spans="2:9">
      <c r="B545" s="17"/>
      <c r="C545" s="18"/>
      <c r="D545" s="19" t="s">
        <v>202</v>
      </c>
      <c r="E545" s="18"/>
      <c r="F545" s="18"/>
      <c r="G545" s="52"/>
      <c r="H545" s="20"/>
      <c r="I545" s="42">
        <f>(I542+I543)*0.03</f>
        <v>330</v>
      </c>
    </row>
    <row r="546" spans="2:9">
      <c r="B546" s="17"/>
      <c r="C546" s="17"/>
      <c r="D546" s="17"/>
      <c r="E546" s="22" t="s">
        <v>173</v>
      </c>
      <c r="F546" s="23" t="s">
        <v>126</v>
      </c>
      <c r="G546" s="23"/>
      <c r="H546" s="24"/>
      <c r="I546" s="42">
        <f>SUM(I536:I545)</f>
        <v>18219.875</v>
      </c>
    </row>
    <row r="547" spans="2:9">
      <c r="B547" s="17"/>
      <c r="C547" s="17"/>
      <c r="D547" s="17"/>
      <c r="E547" s="22" t="s">
        <v>174</v>
      </c>
      <c r="F547" s="23">
        <f>$G$109</f>
        <v>2.9715</v>
      </c>
      <c r="G547" s="23"/>
      <c r="H547" s="24"/>
      <c r="I547" s="42">
        <f>I546/10.76</f>
        <v>1693.2969330855</v>
      </c>
    </row>
    <row r="548" spans="2:9">
      <c r="B548" s="31"/>
      <c r="C548" s="32"/>
      <c r="D548" s="32"/>
      <c r="E548" s="70" t="s">
        <v>182</v>
      </c>
      <c r="F548" s="71"/>
      <c r="G548" s="71"/>
      <c r="H548" s="35" t="s">
        <v>310</v>
      </c>
      <c r="I548" s="46">
        <f>I546</f>
        <v>18219.875</v>
      </c>
    </row>
    <row r="549" ht="14.4" spans="2:11">
      <c r="B549" s="31"/>
      <c r="C549" s="32"/>
      <c r="D549" s="17"/>
      <c r="E549" s="70" t="s">
        <v>182</v>
      </c>
      <c r="F549" s="71"/>
      <c r="G549" s="71"/>
      <c r="H549" s="35" t="s">
        <v>258</v>
      </c>
      <c r="I549" s="46">
        <f>I548/100*10.76</f>
        <v>1960.45855</v>
      </c>
      <c r="K549" s="45"/>
    </row>
    <row r="550" ht="14.4" spans="2:10">
      <c r="B550" s="31"/>
      <c r="C550" s="31"/>
      <c r="D550" s="31"/>
      <c r="E550" s="113" t="s">
        <v>318</v>
      </c>
      <c r="F550" s="114"/>
      <c r="G550" s="114"/>
      <c r="H550" s="35" t="s">
        <v>258</v>
      </c>
      <c r="I550" s="46">
        <f>I549</f>
        <v>1960.45855</v>
      </c>
      <c r="J550" s="45">
        <f>I548/9.3</f>
        <v>1959.12634408602</v>
      </c>
    </row>
    <row r="551" spans="5:9">
      <c r="E551" s="33" t="s">
        <v>1</v>
      </c>
      <c r="F551" s="34"/>
      <c r="G551" s="36"/>
      <c r="H551" s="37">
        <f>H529</f>
        <v>0</v>
      </c>
      <c r="I551" s="46">
        <f>I550*H551</f>
        <v>0</v>
      </c>
    </row>
    <row r="552" spans="5:9">
      <c r="E552" s="33" t="s">
        <v>183</v>
      </c>
      <c r="F552" s="34"/>
      <c r="G552" s="36"/>
      <c r="H552" s="35"/>
      <c r="I552" s="46">
        <f>I550+I551</f>
        <v>1960.45855</v>
      </c>
    </row>
    <row r="557" spans="2:9">
      <c r="B557" s="49"/>
      <c r="C557" s="49"/>
      <c r="D557" s="13" t="s">
        <v>91</v>
      </c>
      <c r="E557" s="13"/>
      <c r="F557" s="13"/>
      <c r="G557" s="13"/>
      <c r="H557" s="13"/>
      <c r="I557" s="13"/>
    </row>
    <row r="558" spans="2:9">
      <c r="B558" s="14"/>
      <c r="C558" s="14"/>
      <c r="D558" s="14"/>
      <c r="E558" s="15"/>
      <c r="F558" s="16" t="s">
        <v>161</v>
      </c>
      <c r="G558" s="15">
        <v>1</v>
      </c>
      <c r="H558" s="16" t="s">
        <v>129</v>
      </c>
      <c r="I558" s="40"/>
    </row>
    <row r="559" spans="2:9">
      <c r="B559" s="17"/>
      <c r="C559" s="18" t="s">
        <v>162</v>
      </c>
      <c r="D559" s="18" t="s">
        <v>163</v>
      </c>
      <c r="E559" s="18" t="s">
        <v>164</v>
      </c>
      <c r="F559" s="18" t="s">
        <v>165</v>
      </c>
      <c r="G559" s="18" t="s">
        <v>166</v>
      </c>
      <c r="H559" s="18" t="s">
        <v>8</v>
      </c>
      <c r="I559" s="41" t="s">
        <v>167</v>
      </c>
    </row>
    <row r="560" spans="2:9">
      <c r="B560" s="17"/>
      <c r="C560" s="18"/>
      <c r="D560" s="19" t="s">
        <v>319</v>
      </c>
      <c r="E560" s="18"/>
      <c r="F560" s="18" t="s">
        <v>129</v>
      </c>
      <c r="G560" s="18">
        <v>1</v>
      </c>
      <c r="H560" s="109">
        <f>499600+50000</f>
        <v>549600</v>
      </c>
      <c r="I560" s="42">
        <f t="shared" ref="I560:I565" si="29">H560*G560</f>
        <v>549600</v>
      </c>
    </row>
    <row r="561" spans="2:9">
      <c r="B561" s="17"/>
      <c r="C561" s="18"/>
      <c r="D561" s="19"/>
      <c r="E561" s="18"/>
      <c r="F561" s="18"/>
      <c r="G561" s="18"/>
      <c r="H561" s="109"/>
      <c r="I561" s="42">
        <f t="shared" si="29"/>
        <v>0</v>
      </c>
    </row>
    <row r="562" spans="2:9">
      <c r="B562" s="17"/>
      <c r="C562" s="18"/>
      <c r="D562" s="19"/>
      <c r="E562" s="18"/>
      <c r="F562" s="18"/>
      <c r="G562" s="18"/>
      <c r="H562" s="109"/>
      <c r="I562" s="42">
        <f t="shared" si="29"/>
        <v>0</v>
      </c>
    </row>
    <row r="563" spans="2:9">
      <c r="B563" s="17"/>
      <c r="C563" s="18"/>
      <c r="D563" s="19"/>
      <c r="E563" s="18"/>
      <c r="F563" s="18"/>
      <c r="G563" s="18"/>
      <c r="H563" s="109"/>
      <c r="I563" s="42">
        <f t="shared" si="29"/>
        <v>0</v>
      </c>
    </row>
    <row r="564" spans="2:9">
      <c r="B564" s="17"/>
      <c r="C564" s="18"/>
      <c r="D564" s="19"/>
      <c r="E564" s="18"/>
      <c r="F564" s="18"/>
      <c r="G564" s="18"/>
      <c r="H564" s="109"/>
      <c r="I564" s="42">
        <f t="shared" si="29"/>
        <v>0</v>
      </c>
    </row>
    <row r="565" spans="2:9">
      <c r="B565" s="17"/>
      <c r="C565" s="18"/>
      <c r="D565" s="19"/>
      <c r="E565" s="18"/>
      <c r="F565" s="18"/>
      <c r="G565" s="18"/>
      <c r="H565" s="109"/>
      <c r="I565" s="42">
        <f t="shared" si="29"/>
        <v>0</v>
      </c>
    </row>
    <row r="566" spans="2:9">
      <c r="B566" s="17"/>
      <c r="C566" s="18"/>
      <c r="D566" s="19"/>
      <c r="E566" s="18"/>
      <c r="F566" s="18"/>
      <c r="G566" s="18"/>
      <c r="H566" s="18"/>
      <c r="I566" s="42">
        <f>(I565)*3/100</f>
        <v>0</v>
      </c>
    </row>
    <row r="567" spans="2:9">
      <c r="B567" s="17"/>
      <c r="C567" s="18"/>
      <c r="D567" s="19" t="s">
        <v>202</v>
      </c>
      <c r="E567" s="18"/>
      <c r="F567" s="18"/>
      <c r="G567" s="52"/>
      <c r="H567" s="20"/>
      <c r="I567" s="42">
        <f>(I565)*0.03</f>
        <v>0</v>
      </c>
    </row>
    <row r="568" spans="2:9">
      <c r="B568" s="17"/>
      <c r="C568" s="17"/>
      <c r="D568" s="17"/>
      <c r="E568" s="22" t="s">
        <v>173</v>
      </c>
      <c r="F568" s="23">
        <v>1</v>
      </c>
      <c r="G568" s="23">
        <f>$G$116</f>
        <v>0</v>
      </c>
      <c r="H568" s="24"/>
      <c r="I568" s="42">
        <f>SUM(I560:I567)</f>
        <v>549600</v>
      </c>
    </row>
    <row r="569" spans="2:9">
      <c r="B569" s="17"/>
      <c r="C569" s="17"/>
      <c r="D569" s="17"/>
      <c r="E569" s="22" t="s">
        <v>174</v>
      </c>
      <c r="F569" s="23">
        <f>$G$116</f>
        <v>0</v>
      </c>
      <c r="G569" s="23"/>
      <c r="H569" s="24"/>
      <c r="I569" s="42">
        <f>I568/F568</f>
        <v>549600</v>
      </c>
    </row>
    <row r="570" spans="2:9">
      <c r="B570" s="31"/>
      <c r="C570" s="32"/>
      <c r="D570" s="32"/>
      <c r="E570" s="33" t="s">
        <v>182</v>
      </c>
      <c r="F570" s="34"/>
      <c r="G570" s="34"/>
      <c r="H570" s="35" t="s">
        <v>320</v>
      </c>
      <c r="I570" s="46">
        <f>ROUND(I569,0)</f>
        <v>549600</v>
      </c>
    </row>
    <row r="571" spans="2:9">
      <c r="B571" s="31"/>
      <c r="C571" s="32"/>
      <c r="D571" s="32"/>
      <c r="E571" s="33" t="s">
        <v>182</v>
      </c>
      <c r="F571" s="34"/>
      <c r="G571" s="34"/>
      <c r="H571" s="35" t="s">
        <v>320</v>
      </c>
      <c r="I571" s="46">
        <f>I570</f>
        <v>549600</v>
      </c>
    </row>
    <row r="572" spans="2:9">
      <c r="B572" s="31"/>
      <c r="C572" s="32"/>
      <c r="D572" s="17"/>
      <c r="E572" s="33" t="s">
        <v>182</v>
      </c>
      <c r="F572" s="34"/>
      <c r="G572" s="34"/>
      <c r="H572" s="35" t="s">
        <v>320</v>
      </c>
      <c r="I572" s="46">
        <f>I571</f>
        <v>549600</v>
      </c>
    </row>
    <row r="573" spans="5:9">
      <c r="E573" s="33" t="s">
        <v>1</v>
      </c>
      <c r="F573" s="34"/>
      <c r="G573" s="36"/>
      <c r="H573" s="37">
        <f>H529</f>
        <v>0</v>
      </c>
      <c r="I573" s="46">
        <f>I572*H573</f>
        <v>0</v>
      </c>
    </row>
    <row r="574" spans="5:9">
      <c r="E574" s="33" t="s">
        <v>183</v>
      </c>
      <c r="F574" s="34"/>
      <c r="G574" s="36"/>
      <c r="H574" s="35"/>
      <c r="I574" s="46">
        <f>I572+I573</f>
        <v>549600</v>
      </c>
    </row>
    <row r="578" spans="2:9">
      <c r="B578" s="49"/>
      <c r="C578" s="49"/>
      <c r="D578" s="13" t="s">
        <v>95</v>
      </c>
      <c r="E578" s="13"/>
      <c r="F578" s="13"/>
      <c r="G578" s="13"/>
      <c r="H578" s="13"/>
      <c r="I578" s="13"/>
    </row>
    <row r="579" spans="2:9">
      <c r="B579" s="14"/>
      <c r="C579" s="14"/>
      <c r="D579" s="14"/>
      <c r="E579" s="15"/>
      <c r="F579" s="16" t="s">
        <v>161</v>
      </c>
      <c r="G579" s="15">
        <v>1</v>
      </c>
      <c r="H579" s="16" t="s">
        <v>129</v>
      </c>
      <c r="I579" s="40"/>
    </row>
    <row r="580" spans="2:9">
      <c r="B580" s="17"/>
      <c r="C580" s="18" t="s">
        <v>162</v>
      </c>
      <c r="D580" s="18" t="s">
        <v>163</v>
      </c>
      <c r="E580" s="18" t="s">
        <v>164</v>
      </c>
      <c r="F580" s="18" t="s">
        <v>165</v>
      </c>
      <c r="G580" s="18" t="s">
        <v>166</v>
      </c>
      <c r="H580" s="18" t="s">
        <v>8</v>
      </c>
      <c r="I580" s="41" t="s">
        <v>167</v>
      </c>
    </row>
    <row r="581" spans="2:9">
      <c r="B581" s="17"/>
      <c r="C581" s="18"/>
      <c r="D581" s="19" t="s">
        <v>319</v>
      </c>
      <c r="E581" s="18"/>
      <c r="F581" s="18" t="s">
        <v>129</v>
      </c>
      <c r="G581" s="18">
        <v>1</v>
      </c>
      <c r="H581" s="109">
        <f>585400+50000</f>
        <v>635400</v>
      </c>
      <c r="I581" s="42">
        <f t="shared" ref="I581:I586" si="30">H581*G581</f>
        <v>635400</v>
      </c>
    </row>
    <row r="582" spans="2:9">
      <c r="B582" s="17"/>
      <c r="C582" s="18"/>
      <c r="D582" s="19"/>
      <c r="E582" s="18"/>
      <c r="F582" s="18"/>
      <c r="G582" s="18"/>
      <c r="H582" s="109"/>
      <c r="I582" s="42">
        <f t="shared" si="30"/>
        <v>0</v>
      </c>
    </row>
    <row r="583" spans="2:9">
      <c r="B583" s="17"/>
      <c r="C583" s="18"/>
      <c r="D583" s="19"/>
      <c r="E583" s="18"/>
      <c r="F583" s="18"/>
      <c r="G583" s="18"/>
      <c r="H583" s="109"/>
      <c r="I583" s="42">
        <f t="shared" si="30"/>
        <v>0</v>
      </c>
    </row>
    <row r="584" spans="2:9">
      <c r="B584" s="17"/>
      <c r="C584" s="18"/>
      <c r="D584" s="19"/>
      <c r="E584" s="18"/>
      <c r="F584" s="18"/>
      <c r="G584" s="18"/>
      <c r="H584" s="109"/>
      <c r="I584" s="42">
        <f t="shared" si="30"/>
        <v>0</v>
      </c>
    </row>
    <row r="585" spans="2:9">
      <c r="B585" s="17"/>
      <c r="C585" s="18"/>
      <c r="D585" s="19"/>
      <c r="E585" s="18"/>
      <c r="F585" s="18"/>
      <c r="G585" s="18"/>
      <c r="H585" s="109"/>
      <c r="I585" s="42">
        <f t="shared" si="30"/>
        <v>0</v>
      </c>
    </row>
    <row r="586" spans="2:9">
      <c r="B586" s="17"/>
      <c r="C586" s="18"/>
      <c r="D586" s="19"/>
      <c r="E586" s="18"/>
      <c r="F586" s="18"/>
      <c r="G586" s="18"/>
      <c r="H586" s="109"/>
      <c r="I586" s="42">
        <f t="shared" si="30"/>
        <v>0</v>
      </c>
    </row>
    <row r="587" spans="2:9">
      <c r="B587" s="17"/>
      <c r="C587" s="18"/>
      <c r="D587" s="19"/>
      <c r="E587" s="18"/>
      <c r="F587" s="18"/>
      <c r="G587" s="18"/>
      <c r="H587" s="18"/>
      <c r="I587" s="42">
        <f>(I586)*3/100</f>
        <v>0</v>
      </c>
    </row>
    <row r="588" spans="2:9">
      <c r="B588" s="17"/>
      <c r="C588" s="18"/>
      <c r="D588" s="19" t="s">
        <v>202</v>
      </c>
      <c r="E588" s="18"/>
      <c r="F588" s="18"/>
      <c r="G588" s="52"/>
      <c r="H588" s="20"/>
      <c r="I588" s="42">
        <f>(I586)*0.03</f>
        <v>0</v>
      </c>
    </row>
    <row r="589" spans="2:9">
      <c r="B589" s="17"/>
      <c r="C589" s="17"/>
      <c r="D589" s="17"/>
      <c r="E589" s="22" t="s">
        <v>173</v>
      </c>
      <c r="F589" s="23">
        <v>1</v>
      </c>
      <c r="G589" s="23">
        <f>$G$116</f>
        <v>0</v>
      </c>
      <c r="H589" s="24"/>
      <c r="I589" s="42">
        <f>SUM(I581:I588)</f>
        <v>635400</v>
      </c>
    </row>
    <row r="590" spans="2:9">
      <c r="B590" s="17"/>
      <c r="C590" s="17"/>
      <c r="D590" s="17"/>
      <c r="E590" s="22" t="s">
        <v>174</v>
      </c>
      <c r="F590" s="23">
        <f>$G$116</f>
        <v>0</v>
      </c>
      <c r="G590" s="23"/>
      <c r="H590" s="24"/>
      <c r="I590" s="42">
        <f>I589/F589</f>
        <v>635400</v>
      </c>
    </row>
    <row r="591" spans="2:9">
      <c r="B591" s="31"/>
      <c r="C591" s="32"/>
      <c r="D591" s="32"/>
      <c r="E591" s="33" t="s">
        <v>182</v>
      </c>
      <c r="F591" s="34"/>
      <c r="G591" s="34"/>
      <c r="H591" s="35" t="s">
        <v>320</v>
      </c>
      <c r="I591" s="46">
        <f>ROUND(I590,0)</f>
        <v>635400</v>
      </c>
    </row>
    <row r="592" spans="2:9">
      <c r="B592" s="31"/>
      <c r="C592" s="32"/>
      <c r="D592" s="32"/>
      <c r="E592" s="33" t="s">
        <v>182</v>
      </c>
      <c r="F592" s="34"/>
      <c r="G592" s="34"/>
      <c r="H592" s="35" t="s">
        <v>320</v>
      </c>
      <c r="I592" s="46">
        <f>I591</f>
        <v>635400</v>
      </c>
    </row>
    <row r="593" spans="2:9">
      <c r="B593" s="31"/>
      <c r="C593" s="32"/>
      <c r="D593" s="17"/>
      <c r="E593" s="33" t="s">
        <v>182</v>
      </c>
      <c r="F593" s="34"/>
      <c r="G593" s="34"/>
      <c r="H593" s="35" t="s">
        <v>320</v>
      </c>
      <c r="I593" s="46">
        <f>I592</f>
        <v>635400</v>
      </c>
    </row>
    <row r="594" spans="5:9">
      <c r="E594" s="33" t="s">
        <v>1</v>
      </c>
      <c r="F594" s="34"/>
      <c r="G594" s="36"/>
      <c r="H594" s="37">
        <f>H573</f>
        <v>0</v>
      </c>
      <c r="I594" s="46">
        <f>I593*H594</f>
        <v>0</v>
      </c>
    </row>
    <row r="595" spans="5:9">
      <c r="E595" s="33" t="s">
        <v>183</v>
      </c>
      <c r="F595" s="34"/>
      <c r="G595" s="36"/>
      <c r="H595" s="35"/>
      <c r="I595" s="46">
        <f>I593+I594</f>
        <v>635400</v>
      </c>
    </row>
    <row r="598" customFormat="1" ht="14.4" spans="2:9">
      <c r="B598" s="1"/>
      <c r="C598" s="1"/>
      <c r="D598" s="1"/>
      <c r="E598" s="1"/>
      <c r="F598" s="7"/>
      <c r="G598" s="4"/>
      <c r="H598" s="1"/>
      <c r="I598" s="4"/>
    </row>
    <row r="599" customFormat="1" ht="14.4" spans="2:9">
      <c r="B599" s="49" t="s">
        <v>216</v>
      </c>
      <c r="C599" s="49"/>
      <c r="D599" s="13" t="s">
        <v>217</v>
      </c>
      <c r="E599" s="13"/>
      <c r="F599" s="13"/>
      <c r="G599" s="13"/>
      <c r="H599" s="13"/>
      <c r="I599" s="13"/>
    </row>
    <row r="600" customFormat="1" ht="14.4" spans="2:9">
      <c r="B600" s="14"/>
      <c r="C600" s="14"/>
      <c r="D600" s="14"/>
      <c r="E600" s="15"/>
      <c r="F600" s="16" t="s">
        <v>161</v>
      </c>
      <c r="G600" s="15">
        <v>1</v>
      </c>
      <c r="H600" s="16" t="s">
        <v>219</v>
      </c>
      <c r="I600" s="40"/>
    </row>
    <row r="601" customFormat="1" ht="14.4" spans="2:9">
      <c r="B601" s="17"/>
      <c r="C601" s="18" t="s">
        <v>162</v>
      </c>
      <c r="D601" s="18" t="s">
        <v>163</v>
      </c>
      <c r="E601" s="18" t="s">
        <v>164</v>
      </c>
      <c r="F601" s="18" t="s">
        <v>165</v>
      </c>
      <c r="G601" s="18" t="s">
        <v>166</v>
      </c>
      <c r="H601" s="18" t="s">
        <v>8</v>
      </c>
      <c r="I601" s="41" t="s">
        <v>167</v>
      </c>
    </row>
    <row r="602" customFormat="1" ht="14.4" spans="2:9">
      <c r="B602" s="17"/>
      <c r="C602" s="18"/>
      <c r="D602" s="19" t="s">
        <v>321</v>
      </c>
      <c r="E602" s="18"/>
      <c r="F602" s="254" t="s">
        <v>162</v>
      </c>
      <c r="G602" s="48">
        <f>(100/10.76/(0.3*0.6))</f>
        <v>51.6315572077654</v>
      </c>
      <c r="H602" s="20">
        <f>Rates!E37</f>
        <v>1204</v>
      </c>
      <c r="I602" s="42">
        <f t="shared" ref="I602:I609" si="31">H602*G602</f>
        <v>62164.3948781495</v>
      </c>
    </row>
    <row r="603" customFormat="1" ht="26.4" spans="2:9">
      <c r="B603" s="17"/>
      <c r="C603" s="18"/>
      <c r="D603" s="19" t="s">
        <v>222</v>
      </c>
      <c r="E603" s="18"/>
      <c r="F603" s="254" t="s">
        <v>223</v>
      </c>
      <c r="G603" s="254" t="s">
        <v>223</v>
      </c>
      <c r="H603" s="254" t="s">
        <v>223</v>
      </c>
      <c r="I603" s="42">
        <f>(I602)*10/100</f>
        <v>6216.43948781495</v>
      </c>
    </row>
    <row r="604" customFormat="1" ht="14.4" spans="2:9">
      <c r="B604" s="17"/>
      <c r="C604" s="18"/>
      <c r="D604" s="19" t="s">
        <v>118</v>
      </c>
      <c r="E604" s="69"/>
      <c r="F604" s="18" t="s">
        <v>119</v>
      </c>
      <c r="G604" s="18">
        <v>2.5</v>
      </c>
      <c r="H604" s="72">
        <f>Rates!E15</f>
        <v>2425</v>
      </c>
      <c r="I604" s="42">
        <f>H604*G604</f>
        <v>6062.5</v>
      </c>
    </row>
    <row r="605" customFormat="1" ht="14.4" spans="2:9">
      <c r="B605" s="17"/>
      <c r="C605" s="18"/>
      <c r="D605" s="19" t="s">
        <v>225</v>
      </c>
      <c r="E605" s="69"/>
      <c r="F605" s="254" t="s">
        <v>227</v>
      </c>
      <c r="G605" s="18">
        <v>0.11</v>
      </c>
      <c r="H605" s="72">
        <f>Rates!E16</f>
        <v>25000</v>
      </c>
      <c r="I605" s="42">
        <f t="shared" si="31"/>
        <v>2750</v>
      </c>
    </row>
    <row r="606" customFormat="1" ht="14.4" spans="2:9">
      <c r="B606" s="17"/>
      <c r="C606" s="18"/>
      <c r="D606" s="19" t="s">
        <v>228</v>
      </c>
      <c r="E606" s="18"/>
      <c r="F606" s="254" t="s">
        <v>230</v>
      </c>
      <c r="G606" s="18">
        <v>1</v>
      </c>
      <c r="H606" s="20">
        <v>0</v>
      </c>
      <c r="I606" s="42">
        <f t="shared" si="31"/>
        <v>0</v>
      </c>
    </row>
    <row r="607" customFormat="1" ht="14.4" spans="2:9">
      <c r="B607" s="17"/>
      <c r="C607" s="18"/>
      <c r="D607" s="19" t="s">
        <v>231</v>
      </c>
      <c r="E607" s="69"/>
      <c r="F607" s="18" t="s">
        <v>177</v>
      </c>
      <c r="G607" s="18">
        <v>4</v>
      </c>
      <c r="H607" s="72">
        <f>Rates!E41</f>
        <v>4000</v>
      </c>
      <c r="I607" s="42">
        <f t="shared" si="31"/>
        <v>16000</v>
      </c>
    </row>
    <row r="608" customFormat="1" ht="14.4" spans="2:9">
      <c r="B608" s="17"/>
      <c r="C608" s="18"/>
      <c r="D608" s="19" t="s">
        <v>178</v>
      </c>
      <c r="E608" s="69"/>
      <c r="F608" s="254" t="s">
        <v>177</v>
      </c>
      <c r="G608" s="18">
        <v>4</v>
      </c>
      <c r="H608" s="72">
        <f>Rates!E44</f>
        <v>2300</v>
      </c>
      <c r="I608" s="42">
        <f t="shared" si="31"/>
        <v>9200</v>
      </c>
    </row>
    <row r="609" customFormat="1" ht="14.4" spans="2:9">
      <c r="B609" s="17"/>
      <c r="C609" s="18"/>
      <c r="D609" s="19" t="s">
        <v>178</v>
      </c>
      <c r="E609" s="69"/>
      <c r="F609" s="254" t="s">
        <v>177</v>
      </c>
      <c r="G609" s="18">
        <v>0.25</v>
      </c>
      <c r="H609" s="72">
        <f>H608</f>
        <v>2300</v>
      </c>
      <c r="I609" s="42">
        <f t="shared" si="31"/>
        <v>575</v>
      </c>
    </row>
    <row r="610" customFormat="1" ht="14.4" spans="2:9">
      <c r="B610" s="17"/>
      <c r="C610" s="21"/>
      <c r="D610" s="21"/>
      <c r="E610" s="22" t="s">
        <v>173</v>
      </c>
      <c r="F610" s="23">
        <f>$F$31</f>
        <v>0</v>
      </c>
      <c r="G610" s="23">
        <f>$G$31</f>
        <v>0</v>
      </c>
      <c r="H610" s="24"/>
      <c r="I610" s="42">
        <f>SUM(I602:I609)</f>
        <v>102968.334365964</v>
      </c>
    </row>
    <row r="611" customFormat="1" ht="14.4" spans="2:9">
      <c r="B611" s="17"/>
      <c r="C611" s="21"/>
      <c r="D611" s="21"/>
      <c r="E611" s="22" t="s">
        <v>174</v>
      </c>
      <c r="F611" s="23">
        <f>$G$31</f>
        <v>0</v>
      </c>
      <c r="G611" s="23"/>
      <c r="H611" s="24"/>
      <c r="I611" s="42">
        <f>I610/G600</f>
        <v>102968.334365964</v>
      </c>
    </row>
    <row r="612" customFormat="1" ht="14.4" spans="2:9">
      <c r="B612" s="31"/>
      <c r="C612" s="32"/>
      <c r="D612" s="32"/>
      <c r="E612" s="70" t="s">
        <v>182</v>
      </c>
      <c r="F612" s="71"/>
      <c r="G612" s="71"/>
      <c r="H612" s="35" t="s">
        <v>234</v>
      </c>
      <c r="I612" s="46">
        <f>ROUND(I611,0)</f>
        <v>102968</v>
      </c>
    </row>
    <row r="613" customFormat="1" ht="14.4" spans="2:9">
      <c r="B613" s="1"/>
      <c r="C613" s="1"/>
      <c r="D613" s="1"/>
      <c r="E613" s="33" t="s">
        <v>182</v>
      </c>
      <c r="F613" s="34"/>
      <c r="G613" s="34"/>
      <c r="H613" s="35" t="s">
        <v>322</v>
      </c>
      <c r="I613" s="46">
        <f>I612/100*10.76</f>
        <v>11079.3568</v>
      </c>
    </row>
    <row r="614" customFormat="1" ht="14.4" spans="2:9">
      <c r="B614" s="1"/>
      <c r="C614" s="1"/>
      <c r="D614" s="1"/>
      <c r="E614" s="33" t="s">
        <v>182</v>
      </c>
      <c r="F614" s="34"/>
      <c r="G614" s="34"/>
      <c r="H614" s="35"/>
      <c r="I614" s="46">
        <f>I613</f>
        <v>11079.3568</v>
      </c>
    </row>
    <row r="615" customFormat="1" ht="14.4" spans="2:9">
      <c r="B615" s="1"/>
      <c r="C615" s="1"/>
      <c r="D615" s="1"/>
      <c r="E615" s="33" t="s">
        <v>182</v>
      </c>
      <c r="F615" s="34"/>
      <c r="G615" s="34"/>
      <c r="H615" s="35" t="s">
        <v>320</v>
      </c>
      <c r="I615" s="46">
        <f>I614</f>
        <v>11079.3568</v>
      </c>
    </row>
    <row r="616" customFormat="1" ht="14.4" spans="2:9">
      <c r="B616" s="1"/>
      <c r="C616" s="1"/>
      <c r="D616" s="1"/>
      <c r="E616" s="33" t="s">
        <v>1</v>
      </c>
      <c r="F616" s="34"/>
      <c r="G616" s="36"/>
      <c r="H616" s="37">
        <f>H594</f>
        <v>0</v>
      </c>
      <c r="I616" s="46">
        <f>I615*H616</f>
        <v>0</v>
      </c>
    </row>
    <row r="617" customFormat="1" ht="14.4" spans="2:9">
      <c r="B617" s="1"/>
      <c r="C617" s="1"/>
      <c r="D617" s="1"/>
      <c r="E617" s="33" t="s">
        <v>183</v>
      </c>
      <c r="F617" s="34"/>
      <c r="G617" s="36"/>
      <c r="H617" s="35"/>
      <c r="I617" s="46">
        <f>I615+I616</f>
        <v>11079.3568</v>
      </c>
    </row>
    <row r="618" customFormat="1" ht="14.4" spans="2:9">
      <c r="B618" s="1"/>
      <c r="C618" s="1"/>
      <c r="D618" s="1"/>
      <c r="E618" s="1"/>
      <c r="F618" s="7"/>
      <c r="G618" s="4"/>
      <c r="H618" s="1"/>
      <c r="I618" s="4"/>
    </row>
    <row r="619" customFormat="1" ht="14.4" spans="2:9">
      <c r="B619" s="1"/>
      <c r="C619" s="1"/>
      <c r="D619" s="1"/>
      <c r="E619" s="1"/>
      <c r="F619" s="7"/>
      <c r="G619" s="4"/>
      <c r="H619" s="1"/>
      <c r="I619" s="4"/>
    </row>
    <row r="620" customFormat="1" ht="14.4" spans="2:9">
      <c r="B620" s="1"/>
      <c r="C620" s="1"/>
      <c r="D620" s="1"/>
      <c r="E620" s="1"/>
      <c r="F620" s="7"/>
      <c r="G620" s="4"/>
      <c r="H620" s="1"/>
      <c r="I620" s="4"/>
    </row>
    <row r="621" customFormat="1" ht="14.4" spans="2:9">
      <c r="B621" s="1"/>
      <c r="C621" s="1"/>
      <c r="D621" s="1"/>
      <c r="E621" s="1"/>
      <c r="F621" s="7"/>
      <c r="G621" s="4"/>
      <c r="H621" s="1"/>
      <c r="I621" s="4"/>
    </row>
    <row r="622" customFormat="1" ht="14.4" spans="2:9">
      <c r="B622" s="1"/>
      <c r="C622" s="1"/>
      <c r="D622" s="1"/>
      <c r="E622" s="1"/>
      <c r="F622" s="7"/>
      <c r="G622" s="4"/>
      <c r="H622" s="1"/>
      <c r="I622" s="4"/>
    </row>
    <row r="623" customFormat="1" ht="14.4" spans="2:9">
      <c r="B623" s="1"/>
      <c r="C623" s="1"/>
      <c r="D623" s="1"/>
      <c r="E623" s="1"/>
      <c r="F623" s="7"/>
      <c r="G623" s="4"/>
      <c r="H623" s="1"/>
      <c r="I623" s="4"/>
    </row>
  </sheetData>
  <mergeCells count="65">
    <mergeCell ref="B4:C4"/>
    <mergeCell ref="D4:I4"/>
    <mergeCell ref="B17:C17"/>
    <mergeCell ref="D17:I17"/>
    <mergeCell ref="B41:C41"/>
    <mergeCell ref="D41:I41"/>
    <mergeCell ref="B64:C64"/>
    <mergeCell ref="D64:I64"/>
    <mergeCell ref="B84:C84"/>
    <mergeCell ref="D84:I84"/>
    <mergeCell ref="B106:C106"/>
    <mergeCell ref="D106:I106"/>
    <mergeCell ref="B126:C126"/>
    <mergeCell ref="D126:I126"/>
    <mergeCell ref="B145:C145"/>
    <mergeCell ref="D145:I145"/>
    <mergeCell ref="B165:C165"/>
    <mergeCell ref="D165:I165"/>
    <mergeCell ref="B183:C183"/>
    <mergeCell ref="D183:I183"/>
    <mergeCell ref="B202:C202"/>
    <mergeCell ref="D202:I202"/>
    <mergeCell ref="B220:C220"/>
    <mergeCell ref="D220:I220"/>
    <mergeCell ref="K224:L224"/>
    <mergeCell ref="M224:R224"/>
    <mergeCell ref="B238:C238"/>
    <mergeCell ref="D238:I238"/>
    <mergeCell ref="B256:C256"/>
    <mergeCell ref="D256:I256"/>
    <mergeCell ref="B275:C275"/>
    <mergeCell ref="D275:I275"/>
    <mergeCell ref="B294:C294"/>
    <mergeCell ref="D294:I294"/>
    <mergeCell ref="B314:C314"/>
    <mergeCell ref="D314:I314"/>
    <mergeCell ref="B334:C334"/>
    <mergeCell ref="D334:I334"/>
    <mergeCell ref="B353:C353"/>
    <mergeCell ref="D353:I353"/>
    <mergeCell ref="B370:C370"/>
    <mergeCell ref="D370:I370"/>
    <mergeCell ref="B389:C389"/>
    <mergeCell ref="D389:I389"/>
    <mergeCell ref="B408:C408"/>
    <mergeCell ref="D408:I408"/>
    <mergeCell ref="B428:C428"/>
    <mergeCell ref="D428:I428"/>
    <mergeCell ref="B450:C450"/>
    <mergeCell ref="D450:I450"/>
    <mergeCell ref="B473:C473"/>
    <mergeCell ref="D473:I473"/>
    <mergeCell ref="B491:C491"/>
    <mergeCell ref="D491:I491"/>
    <mergeCell ref="B511:C511"/>
    <mergeCell ref="D511:I511"/>
    <mergeCell ref="B533:C533"/>
    <mergeCell ref="D533:I533"/>
    <mergeCell ref="B557:C557"/>
    <mergeCell ref="D557:I557"/>
    <mergeCell ref="B578:C578"/>
    <mergeCell ref="D578:I578"/>
    <mergeCell ref="B599:C599"/>
    <mergeCell ref="D599:I599"/>
    <mergeCell ref="J318:J326"/>
  </mergeCells>
  <pageMargins left="0.751388888888889" right="0.751388888888889" top="1" bottom="1" header="0.5" footer="0.5"/>
  <pageSetup paperSize="9" scale="88" fitToHeight="0" orientation="portrait" horizontalDpi="600"/>
  <headerFooter/>
  <rowBreaks count="2" manualBreakCount="2">
    <brk id="404" max="8" man="1"/>
    <brk id="479" max="8" man="1"/>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5:J25"/>
  <sheetViews>
    <sheetView topLeftCell="A7" workbookViewId="0">
      <selection activeCell="G17" sqref="G17:G22"/>
    </sheetView>
  </sheetViews>
  <sheetFormatPr defaultColWidth="9.13888888888889" defaultRowHeight="14.4"/>
  <cols>
    <col min="6" max="7" width="9.28703703703704"/>
    <col min="8" max="8" width="11.4259259259259" customWidth="1"/>
    <col min="9" max="9" width="13" customWidth="1"/>
    <col min="10" max="10" width="11.4259259259259" customWidth="1"/>
  </cols>
  <sheetData>
    <row r="5" spans="3:10">
      <c r="C5" s="1"/>
      <c r="D5" s="1" t="s">
        <v>323</v>
      </c>
      <c r="E5" s="1"/>
      <c r="F5" s="2"/>
      <c r="G5" s="2"/>
      <c r="H5" s="3"/>
      <c r="I5" s="4"/>
      <c r="J5" s="4"/>
    </row>
    <row r="6" spans="3:10">
      <c r="C6" s="1"/>
      <c r="D6" s="1" t="s">
        <v>324</v>
      </c>
      <c r="E6" s="1"/>
      <c r="F6" s="4">
        <v>1</v>
      </c>
      <c r="G6" s="4"/>
      <c r="H6" s="3">
        <v>90000</v>
      </c>
      <c r="I6" s="4">
        <f>F6*H6</f>
        <v>90000</v>
      </c>
      <c r="J6" s="4"/>
    </row>
    <row r="7" spans="3:10">
      <c r="C7" s="1"/>
      <c r="D7" s="1" t="s">
        <v>325</v>
      </c>
      <c r="E7" s="1" t="s">
        <v>326</v>
      </c>
      <c r="F7" s="4">
        <v>1</v>
      </c>
      <c r="G7" s="4"/>
      <c r="H7" s="3">
        <v>12500</v>
      </c>
      <c r="I7" s="4">
        <f t="shared" ref="I7:I15" si="0">F7*H7</f>
        <v>12500</v>
      </c>
      <c r="J7" s="4" t="s">
        <v>327</v>
      </c>
    </row>
    <row r="8" spans="3:10">
      <c r="C8" s="1"/>
      <c r="D8" s="1" t="s">
        <v>328</v>
      </c>
      <c r="E8" s="1" t="s">
        <v>326</v>
      </c>
      <c r="F8" s="4">
        <v>1</v>
      </c>
      <c r="G8" s="4"/>
      <c r="H8" s="3">
        <v>10000</v>
      </c>
      <c r="I8" s="4">
        <f t="shared" si="0"/>
        <v>10000</v>
      </c>
      <c r="J8" s="4" t="s">
        <v>327</v>
      </c>
    </row>
    <row r="9" spans="3:10">
      <c r="C9" s="1"/>
      <c r="D9" s="1" t="s">
        <v>329</v>
      </c>
      <c r="E9" s="1" t="s">
        <v>326</v>
      </c>
      <c r="F9" s="4">
        <v>1</v>
      </c>
      <c r="G9" s="4"/>
      <c r="H9" s="3">
        <v>7500</v>
      </c>
      <c r="I9" s="4">
        <f t="shared" si="0"/>
        <v>7500</v>
      </c>
      <c r="J9" s="4" t="s">
        <v>327</v>
      </c>
    </row>
    <row r="10" spans="3:10">
      <c r="C10" s="1"/>
      <c r="D10" s="1" t="s">
        <v>330</v>
      </c>
      <c r="E10" s="1"/>
      <c r="F10" s="4">
        <v>1</v>
      </c>
      <c r="G10" s="4"/>
      <c r="H10" s="3">
        <v>100000</v>
      </c>
      <c r="I10" s="4">
        <f t="shared" si="0"/>
        <v>100000</v>
      </c>
      <c r="J10" s="4"/>
    </row>
    <row r="11" spans="3:10">
      <c r="C11" s="1"/>
      <c r="D11" s="1" t="s">
        <v>331</v>
      </c>
      <c r="E11" s="1"/>
      <c r="F11" s="3">
        <v>1</v>
      </c>
      <c r="G11" s="3"/>
      <c r="H11" s="4">
        <v>50000</v>
      </c>
      <c r="I11" s="4">
        <f t="shared" si="0"/>
        <v>50000</v>
      </c>
      <c r="J11" s="4"/>
    </row>
    <row r="12" spans="3:10">
      <c r="C12" s="1"/>
      <c r="D12" s="1" t="s">
        <v>332</v>
      </c>
      <c r="E12" s="1"/>
      <c r="F12" s="3">
        <v>9600</v>
      </c>
      <c r="G12" s="3"/>
      <c r="H12" s="4">
        <v>1</v>
      </c>
      <c r="I12" s="4">
        <f t="shared" si="0"/>
        <v>9600</v>
      </c>
      <c r="J12" s="4"/>
    </row>
    <row r="13" spans="3:10">
      <c r="C13" s="1"/>
      <c r="D13" s="1" t="s">
        <v>333</v>
      </c>
      <c r="E13" s="1"/>
      <c r="F13" s="3">
        <v>9600</v>
      </c>
      <c r="G13" s="3"/>
      <c r="H13" s="4">
        <v>1</v>
      </c>
      <c r="I13" s="4">
        <f t="shared" si="0"/>
        <v>9600</v>
      </c>
      <c r="J13" s="4"/>
    </row>
    <row r="14" spans="3:10">
      <c r="C14" s="1"/>
      <c r="D14" s="1" t="s">
        <v>334</v>
      </c>
      <c r="E14" s="1"/>
      <c r="F14" s="3">
        <v>5000</v>
      </c>
      <c r="G14" s="3"/>
      <c r="H14" s="4">
        <v>1</v>
      </c>
      <c r="I14" s="4">
        <f t="shared" si="0"/>
        <v>5000</v>
      </c>
      <c r="J14" s="4">
        <f>SUM(I5:I14)</f>
        <v>294200</v>
      </c>
    </row>
    <row r="15" spans="3:10">
      <c r="C15" s="1"/>
      <c r="D15" s="1" t="s">
        <v>335</v>
      </c>
      <c r="E15" s="1"/>
      <c r="F15" s="3">
        <v>1</v>
      </c>
      <c r="G15" s="3"/>
      <c r="H15" s="4">
        <v>15000</v>
      </c>
      <c r="I15" s="4">
        <f t="shared" si="0"/>
        <v>15000</v>
      </c>
      <c r="J15" s="4"/>
    </row>
    <row r="16" spans="3:10">
      <c r="C16" s="1"/>
      <c r="D16" s="1"/>
      <c r="E16" s="1"/>
      <c r="F16" s="3"/>
      <c r="G16" s="3"/>
      <c r="H16" s="4"/>
      <c r="I16" s="4"/>
      <c r="J16" s="4"/>
    </row>
    <row r="17" spans="3:10">
      <c r="C17" s="5" t="s">
        <v>336</v>
      </c>
      <c r="D17" s="1" t="s">
        <v>337</v>
      </c>
      <c r="E17" s="1"/>
      <c r="F17" s="3">
        <v>10</v>
      </c>
      <c r="G17" s="6">
        <v>1</v>
      </c>
      <c r="H17" s="4">
        <v>5900</v>
      </c>
      <c r="I17" s="4">
        <f>F17*H17*G17</f>
        <v>59000</v>
      </c>
      <c r="J17" s="4"/>
    </row>
    <row r="18" spans="3:10">
      <c r="C18" s="1"/>
      <c r="D18" s="1" t="s">
        <v>338</v>
      </c>
      <c r="E18" s="1"/>
      <c r="F18" s="3">
        <v>10</v>
      </c>
      <c r="G18" s="6">
        <v>1</v>
      </c>
      <c r="H18" s="4">
        <v>450</v>
      </c>
      <c r="I18" s="4">
        <f t="shared" ref="I18:I23" si="1">F18*H18*G18</f>
        <v>4500</v>
      </c>
      <c r="J18" s="4"/>
    </row>
    <row r="19" spans="3:10">
      <c r="C19" s="1"/>
      <c r="D19" s="1" t="s">
        <v>339</v>
      </c>
      <c r="E19" s="1"/>
      <c r="F19" s="3">
        <v>20</v>
      </c>
      <c r="G19" s="6">
        <v>1</v>
      </c>
      <c r="H19" s="4">
        <v>220</v>
      </c>
      <c r="I19" s="4">
        <f t="shared" si="1"/>
        <v>4400</v>
      </c>
      <c r="J19" s="4"/>
    </row>
    <row r="20" spans="3:10">
      <c r="C20" s="1"/>
      <c r="D20" s="1" t="s">
        <v>340</v>
      </c>
      <c r="E20" s="1"/>
      <c r="F20" s="3">
        <v>10</v>
      </c>
      <c r="G20" s="6">
        <v>1</v>
      </c>
      <c r="H20" s="4">
        <v>2750</v>
      </c>
      <c r="I20" s="4">
        <f t="shared" si="1"/>
        <v>27500</v>
      </c>
      <c r="J20" s="4"/>
    </row>
    <row r="21" spans="3:10">
      <c r="C21" s="1"/>
      <c r="D21" s="1" t="s">
        <v>341</v>
      </c>
      <c r="E21" s="1"/>
      <c r="F21" s="3">
        <v>10</v>
      </c>
      <c r="G21" s="6">
        <v>1</v>
      </c>
      <c r="H21" s="4">
        <v>300</v>
      </c>
      <c r="I21" s="4">
        <f t="shared" si="1"/>
        <v>3000</v>
      </c>
      <c r="J21" s="4"/>
    </row>
    <row r="22" spans="3:10">
      <c r="C22" s="1"/>
      <c r="D22" s="1" t="s">
        <v>342</v>
      </c>
      <c r="E22" s="1"/>
      <c r="F22" s="3">
        <v>8</v>
      </c>
      <c r="G22" s="6">
        <v>1</v>
      </c>
      <c r="H22" s="4">
        <v>14800</v>
      </c>
      <c r="I22" s="4">
        <f t="shared" si="1"/>
        <v>118400</v>
      </c>
      <c r="J22" s="4"/>
    </row>
    <row r="23" spans="3:10">
      <c r="C23" s="1"/>
      <c r="D23" s="1" t="s">
        <v>169</v>
      </c>
      <c r="E23" s="1"/>
      <c r="F23" s="7">
        <v>1</v>
      </c>
      <c r="G23" s="6">
        <v>1</v>
      </c>
      <c r="H23" s="8">
        <v>50000</v>
      </c>
      <c r="I23" s="4">
        <f t="shared" si="1"/>
        <v>50000</v>
      </c>
      <c r="J23" s="4">
        <f>SUM(I17:I23)</f>
        <v>266800</v>
      </c>
    </row>
    <row r="24" spans="3:10">
      <c r="C24" s="1"/>
      <c r="D24" s="1"/>
      <c r="E24" s="1"/>
      <c r="F24" s="7"/>
      <c r="G24" s="7"/>
      <c r="H24" s="4"/>
      <c r="I24" s="4"/>
      <c r="J24" s="4"/>
    </row>
    <row r="25" spans="3:10">
      <c r="C25" s="1"/>
      <c r="D25" s="1"/>
      <c r="E25" s="1"/>
      <c r="F25" s="7"/>
      <c r="G25" s="7"/>
      <c r="H25" s="4"/>
      <c r="I25" s="9">
        <f>SUM(I5:I23)</f>
        <v>576000</v>
      </c>
      <c r="J25" s="4"/>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76272D25-257F-47C1-9690-ADB1FD1915D0}">
  <ds:schemaRefs/>
</ds:datastoreItem>
</file>

<file path=customXml/itemProps2.xml><?xml version="1.0" encoding="utf-8"?>
<ds:datastoreItem xmlns:ds="http://schemas.openxmlformats.org/officeDocument/2006/customXml" ds:itemID="{3E487E07-4E1E-42F8-A56A-69114D98F94D}">
  <ds:schemaRefs/>
</ds:datastoreItem>
</file>

<file path=docProps/app.xml><?xml version="1.0" encoding="utf-8"?>
<Properties xmlns="http://schemas.openxmlformats.org/officeDocument/2006/extended-properties" xmlns:vt="http://schemas.openxmlformats.org/officeDocument/2006/docPropsVTypes">
  <Company>Camso</Company>
  <Application>Microsoft Excel</Application>
  <HeadingPairs>
    <vt:vector size="2" baseType="variant">
      <vt:variant>
        <vt:lpstr>工作表</vt:lpstr>
      </vt:variant>
      <vt:variant>
        <vt:i4>4</vt:i4>
      </vt:variant>
    </vt:vector>
  </HeadingPairs>
  <TitlesOfParts>
    <vt:vector size="4" baseType="lpstr">
      <vt:lpstr>ETD01</vt:lpstr>
      <vt:lpstr>Rates</vt:lpstr>
      <vt:lpstr>Rate beak up</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industrial training</dc:creator>
  <cp:lastModifiedBy>Dell</cp:lastModifiedBy>
  <dcterms:created xsi:type="dcterms:W3CDTF">2021-02-08T03:22:00Z</dcterms:created>
  <cp:lastPrinted>2024-02-29T09:31:00Z</cp:lastPrinted>
  <dcterms:modified xsi:type="dcterms:W3CDTF">2024-06-11T23:11:12Z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9e9a456-2778-4ca9-be06-1190b1e1118a_Enabled">
    <vt:lpwstr>true</vt:lpwstr>
  </property>
  <property fmtid="{D5CDD505-2E9C-101B-9397-08002B2CF9AE}" pid="3" name="MSIP_Label_09e9a456-2778-4ca9-be06-1190b1e1118a_SetDate">
    <vt:lpwstr>2022-06-13T10:11:09Z</vt:lpwstr>
  </property>
  <property fmtid="{D5CDD505-2E9C-101B-9397-08002B2CF9AE}" pid="4" name="MSIP_Label_09e9a456-2778-4ca9-be06-1190b1e1118a_Method">
    <vt:lpwstr>Privileged</vt:lpwstr>
  </property>
  <property fmtid="{D5CDD505-2E9C-101B-9397-08002B2CF9AE}" pid="5" name="MSIP_Label_09e9a456-2778-4ca9-be06-1190b1e1118a_Name">
    <vt:lpwstr>D3</vt:lpwstr>
  </property>
  <property fmtid="{D5CDD505-2E9C-101B-9397-08002B2CF9AE}" pid="6" name="MSIP_Label_09e9a456-2778-4ca9-be06-1190b1e1118a_SiteId">
    <vt:lpwstr>658ba197-6c73-4fea-91bd-1c7d8de6bf2c</vt:lpwstr>
  </property>
  <property fmtid="{D5CDD505-2E9C-101B-9397-08002B2CF9AE}" pid="7" name="MSIP_Label_09e9a456-2778-4ca9-be06-1190b1e1118a_ActionId">
    <vt:lpwstr>f31efc76-c5e9-4b7e-8822-5b6e243dd095</vt:lpwstr>
  </property>
  <property fmtid="{D5CDD505-2E9C-101B-9397-08002B2CF9AE}" pid="8" name="MSIP_Label_09e9a456-2778-4ca9-be06-1190b1e1118a_ContentBits">
    <vt:lpwstr>0</vt:lpwstr>
  </property>
  <property fmtid="{D5CDD505-2E9C-101B-9397-08002B2CF9AE}" pid="9" name="ICV">
    <vt:lpwstr>24396A456CC545C18922907A15FD961A_13</vt:lpwstr>
  </property>
  <property fmtid="{D5CDD505-2E9C-101B-9397-08002B2CF9AE}" pid="10" name="KSOProductBuildVer">
    <vt:lpwstr>1033-12.2.0.16909</vt:lpwstr>
  </property>
</Properties>
</file>