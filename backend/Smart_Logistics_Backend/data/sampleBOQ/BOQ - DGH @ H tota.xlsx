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8675" tabRatio="854" activeTab="14"/>
  </bookViews>
  <sheets>
    <sheet name="G. SUM" sheetId="15" r:id="rId1"/>
    <sheet name="mode-pay" sheetId="1" r:id="rId2"/>
    <sheet name="prelem" sheetId="2" r:id="rId3"/>
    <sheet name="SUMMARY" sheetId="13" r:id="rId4"/>
    <sheet name="E.wk" sheetId="3" r:id="rId5"/>
    <sheet name="Concrete" sheetId="4" r:id="rId6"/>
    <sheet name="masonry" sheetId="5" r:id="rId7"/>
    <sheet name="W.proof" sheetId="6" r:id="rId8"/>
    <sheet name="Metal wk" sheetId="7" r:id="rId9"/>
    <sheet name="roofing" sheetId="8" r:id="rId10"/>
    <sheet name="Elec" sheetId="9" r:id="rId11"/>
    <sheet name="Finishes" sheetId="10" r:id="rId12"/>
    <sheet name="Painting" sheetId="11" r:id="rId13"/>
    <sheet name="miscell" sheetId="12" r:id="rId14"/>
    <sheet name="Money provision" sheetId="14" r:id="rId15"/>
  </sheets>
  <externalReferences>
    <externalReference r:id="rId16"/>
    <externalReference r:id="rId17"/>
    <externalReference r:id="rId18"/>
  </externalReferences>
  <definedNames>
    <definedName name="_xlnm.Print_Area" localSheetId="5">Concrete!$B$2:$G$1017</definedName>
    <definedName name="_xlnm.Print_Area" localSheetId="4">E.wk!$B$2:$G$63</definedName>
    <definedName name="_xlnm.Print_Area" localSheetId="10">Elec!$B$2:$G$879</definedName>
    <definedName name="_xlnm.Print_Area" localSheetId="11">Finishes!$B$2:$G$286</definedName>
    <definedName name="_xlnm.Print_Area" localSheetId="0">'G. SUM'!$B$2:$D$37</definedName>
    <definedName name="_xlnm.Print_Area" localSheetId="6">masonry!$B$2:$G$45</definedName>
    <definedName name="_xlnm.Print_Area" localSheetId="8">'Metal wk'!$B$2:$G$512</definedName>
    <definedName name="_xlnm.Print_Area" localSheetId="13">miscell!$B$2:$G$107</definedName>
    <definedName name="_xlnm.Print_Area" localSheetId="1">'mode-pay'!$B$2:$C$13</definedName>
    <definedName name="_xlnm.Print_Area" localSheetId="14">'Money provision'!$B$2:$G$39</definedName>
    <definedName name="_xlnm.Print_Area" localSheetId="12">Painting!$B$2:$G$66</definedName>
    <definedName name="_xlnm.Print_Area" localSheetId="2">prelem!$B$2:$F$74</definedName>
    <definedName name="_xlnm.Print_Area" localSheetId="9">roofing!$B$2:$G$42</definedName>
    <definedName name="_xlnm.Print_Area" localSheetId="3">SUMMARY!$B$2:$D$33</definedName>
    <definedName name="_xlnm.Print_Area" localSheetId="7">W.proof!$B$2:$G$104</definedName>
    <definedName name="_xlnm.Print_Titles" localSheetId="5">Concrete!$5:$5</definedName>
    <definedName name="_xlnm.Print_Titles" localSheetId="4">E.wk!$5:$5</definedName>
    <definedName name="_xlnm.Print_Titles" localSheetId="10">Elec!$5:$5</definedName>
    <definedName name="_xlnm.Print_Titles" localSheetId="11">Finishes!$5:$5</definedName>
    <definedName name="_xlnm.Print_Titles" localSheetId="6">masonry!$5:$5</definedName>
    <definedName name="_xlnm.Print_Titles" localSheetId="8">'Metal wk'!$5:$5</definedName>
    <definedName name="_xlnm.Print_Titles" localSheetId="13">miscell!$5:$5</definedName>
    <definedName name="_xlnm.Print_Titles" localSheetId="14">'Money provision'!$B:$G,'Money provision'!$5:$5</definedName>
    <definedName name="_xlnm.Print_Titles" localSheetId="12">Painting!$5:$5</definedName>
    <definedName name="_xlnm.Print_Titles" localSheetId="2">prelem!$6:$6</definedName>
    <definedName name="_xlnm.Print_Titles" localSheetId="9">roofing!$5:$5</definedName>
    <definedName name="_xlnm.Print_Titles" localSheetId="7">W.proof!$5:$5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Dilini</author>
  </authors>
  <commentList>
    <comment ref="F1014" authorId="0">
      <text>
        <r>
          <rPr>
            <b/>
            <sz val="9"/>
            <rFont val="Tahoma"/>
            <charset val="134"/>
          </rPr>
          <t>Dilini:</t>
        </r>
        <r>
          <rPr>
            <sz val="9"/>
            <rFont val="Tahoma"/>
            <charset val="134"/>
          </rPr>
          <t xml:space="preserve">
Change - Binali
17/04/2013</t>
        </r>
      </text>
    </comment>
  </commentList>
</comments>
</file>

<file path=xl/sharedStrings.xml><?xml version="1.0" encoding="utf-8"?>
<sst xmlns="http://schemas.openxmlformats.org/spreadsheetml/2006/main" count="5213" uniqueCount="2520">
  <si>
    <t>GRAND SUMMARY</t>
  </si>
  <si>
    <t>BILL NO.</t>
  </si>
  <si>
    <t>DESCRIPTION</t>
  </si>
  <si>
    <t>AMOUNT</t>
  </si>
  <si>
    <t xml:space="preserve">              Rs.                 Cts.</t>
  </si>
  <si>
    <t>PRELIMINARIES</t>
  </si>
  <si>
    <t>BUILDING WORKS</t>
  </si>
  <si>
    <t>ATTENDENCE FEE AND BUILDR'S WORK FOR NOMINATED SUB CONTRACTOR'S WORK</t>
  </si>
  <si>
    <t>SUB TOTAL  (1)</t>
  </si>
  <si>
    <r>
      <rPr>
        <b/>
        <sz val="11"/>
        <rFont val="Calibri"/>
        <charset val="134"/>
        <scheme val="minor"/>
      </rPr>
      <t>Less</t>
    </r>
    <r>
      <rPr>
        <sz val="11"/>
        <rFont val="Calibri"/>
        <charset val="134"/>
        <scheme val="minor"/>
      </rPr>
      <t xml:space="preserve"> - Provisional Sum (Excluding Money Provision for Nominated sub contractor's work)</t>
    </r>
  </si>
  <si>
    <t>SUB TOTAL  (2)</t>
  </si>
  <si>
    <t>DISCOUNT IF ANY (………..%)</t>
  </si>
  <si>
    <t>SUB TOTAL AFTER DISCOUNT  (3)</t>
  </si>
  <si>
    <r>
      <rPr>
        <b/>
        <sz val="11"/>
        <rFont val="Calibri"/>
        <charset val="134"/>
        <scheme val="minor"/>
      </rPr>
      <t>Add</t>
    </r>
    <r>
      <rPr>
        <sz val="11"/>
        <rFont val="Calibri"/>
        <charset val="134"/>
        <scheme val="minor"/>
      </rPr>
      <t xml:space="preserve"> - Provisional Sum, above mentioned</t>
    </r>
  </si>
  <si>
    <t xml:space="preserve">BID PRICE (WITHOUT VAT) CARRIED TO FORM OF BID </t>
  </si>
  <si>
    <r>
      <rPr>
        <sz val="11"/>
        <rFont val="Calibri"/>
        <charset val="134"/>
        <scheme val="minor"/>
      </rPr>
      <t xml:space="preserve">Tender Amount (in words) Rupees : </t>
    </r>
    <r>
      <rPr>
        <b/>
        <sz val="11"/>
        <rFont val="Calibri"/>
        <charset val="134"/>
        <scheme val="minor"/>
      </rPr>
      <t>One Billion Four Hundred Ninety Nine million Five Hundred Seventeen Thousand Four Hundred Eleven and Cents Sixty Six Only</t>
    </r>
  </si>
  <si>
    <t>Name of Tenderer  :  ……………………......................…………….……..………...……</t>
  </si>
  <si>
    <t>Address                   : ……………...…......................................…………...…………</t>
  </si>
  <si>
    <t>Tenderer's VAT No. (if any) ……………………………….....................................</t>
  </si>
  <si>
    <t>Signature and Seal  :</t>
  </si>
  <si>
    <t>PROPOSED DISTRICT GENERAL HOSPITAL AT HAMBANTOTA</t>
  </si>
  <si>
    <t>Mode of Payment</t>
  </si>
  <si>
    <t>Item Nr</t>
  </si>
  <si>
    <t>Reimbursement of actual cost on submission of the relevant documents acceptable to the Engineer plus 5% of the actual cost of obtaining the Insurance Policies and Securities.</t>
  </si>
  <si>
    <t xml:space="preserve">B1/01, B1/02, B1/03, B1/04,  </t>
  </si>
  <si>
    <t>To be paid on signing of the formal Contract Agreement.</t>
  </si>
  <si>
    <t>B</t>
  </si>
  <si>
    <t>60% on completion of temporary buildings or structures. 30% in equal installments over the contract period and balance 10% on dismantling and removal on completion.</t>
  </si>
  <si>
    <t xml:space="preserve">B2/01, B3/01, B3/02, B3/03, </t>
  </si>
  <si>
    <t>Paid on satisfactorily completion of the item.</t>
  </si>
  <si>
    <t>B2/02, B3/04, B6/04</t>
  </si>
  <si>
    <t>In equal installments over the contract period.</t>
  </si>
  <si>
    <t>B2/03, B3/05, B4/01, B4/02, B6/01, B6/02, B6/03, B7/01, B7/02, B8/01, B8/02</t>
  </si>
  <si>
    <t>Mode of payment to be mutually agreed between Contractor and the Employer at the commencement of contract in relation to the programme of work.</t>
  </si>
  <si>
    <t>B5/01, B9/01</t>
  </si>
  <si>
    <t>On the completion of Works.</t>
  </si>
  <si>
    <t>B7/03</t>
  </si>
  <si>
    <t>CONSTRUCTION AND COMPLETION OF MAIN BUILDING (BLOCK-E)</t>
  </si>
  <si>
    <t>BILL NO. - 1</t>
  </si>
  <si>
    <t>Item No</t>
  </si>
  <si>
    <t>Description</t>
  </si>
  <si>
    <t>Mode of Payment Category</t>
  </si>
  <si>
    <t>Unit</t>
  </si>
  <si>
    <t>Amount</t>
  </si>
  <si>
    <t>B/-</t>
  </si>
  <si>
    <t>B1</t>
  </si>
  <si>
    <t>Insurance and Securities</t>
  </si>
  <si>
    <t>B1/01</t>
  </si>
  <si>
    <t>Provisional sum for providing a Performance Security.</t>
  </si>
  <si>
    <t>A</t>
  </si>
  <si>
    <t>PS</t>
  </si>
  <si>
    <t>B1/02</t>
  </si>
  <si>
    <t>Provisional sum for providing an Advance Payment Security.</t>
  </si>
  <si>
    <t>B1/03</t>
  </si>
  <si>
    <t>Provisional sum for insurance of Works, Machinery &amp; Equipment, Plant, Materials, third party persons &amp; property and Employer's personnel &amp; property at site as per the Contract.</t>
  </si>
  <si>
    <t>B1/04</t>
  </si>
  <si>
    <t>Provisional sum for insurance against accidents and injury to Contractor's personnel as per the Contract.</t>
  </si>
  <si>
    <t>B2</t>
  </si>
  <si>
    <t>Engineer's Facilities</t>
  </si>
  <si>
    <t>B2/01</t>
  </si>
  <si>
    <t>Allow lump sum for constructing, maintaining, dismantling and removal on completion of the Works, a temporary building for Engineer's office, including necessary furniture and fittings, furnishing, sanitary facilities, etc.</t>
  </si>
  <si>
    <t>C</t>
  </si>
  <si>
    <t>Item</t>
  </si>
  <si>
    <t>Existing facilities shall use</t>
  </si>
  <si>
    <t>B2/02</t>
  </si>
  <si>
    <t>Allow lump sum for providing telephone, facsimile facilities, electricity and water services for the Engineer's site office for their use in connection with the Works.</t>
  </si>
  <si>
    <t>D</t>
  </si>
  <si>
    <t>B2/03</t>
  </si>
  <si>
    <t>Allow lump sum for maintenance, rental, consumption charges etc. for telephone and facsimile facilities, electricity and water services for the Engineer's site office for their use in connection with the Works.</t>
  </si>
  <si>
    <t>E</t>
  </si>
  <si>
    <t>B3</t>
  </si>
  <si>
    <t>Contractor's Facilities</t>
  </si>
  <si>
    <t>B3/01</t>
  </si>
  <si>
    <t>Allow lump sum for constructing, maintaining, dismantling and removal on completion of the Works, a temporary site office including staff rest room and toilets and other facilities for the Contractor's site management office.</t>
  </si>
  <si>
    <t>B3/02</t>
  </si>
  <si>
    <t>Allow lump sum for constructing, maintaining, dismantling and removal on completion of the Works, building to be used as workshops and stores for perishable materials.</t>
  </si>
  <si>
    <t>B3/03</t>
  </si>
  <si>
    <t>Allow lump sum for constructing, maintaining, dismantling and removal on completion of the Works, temporary buildings to accommodate the following;</t>
  </si>
  <si>
    <t>1. Workers' rest room, kitchen</t>
  </si>
  <si>
    <t>2. Toilet and wash areas</t>
  </si>
  <si>
    <t>3. Sick/First-Aid room</t>
  </si>
  <si>
    <t>4. Accommodation for Contractor's staff and workmen including      sanitary facilities on site</t>
  </si>
  <si>
    <t>B3/04</t>
  </si>
  <si>
    <t>Allow lump sum for providing telephone and facsimile facilities, electricity and water services for the Contractor's site office for their use in connection with the Works.</t>
  </si>
  <si>
    <t>B3/05</t>
  </si>
  <si>
    <t>Allow lump sum for maintenance, rental, consumption charges, etc. for telephone and facsimile facilities, electricity and water services for the Contractor's site office for their use in connection with the Works.</t>
  </si>
  <si>
    <t>B4</t>
  </si>
  <si>
    <t>Construction Management and Supervision</t>
  </si>
  <si>
    <t>B4/01</t>
  </si>
  <si>
    <t>Allow lump sum for employing suitably qualified and experienced technical personnel on full time basis for Construction Management Services at the site.</t>
  </si>
  <si>
    <t>B4/02</t>
  </si>
  <si>
    <t xml:space="preserve">Allow lump sum for employing technical supervisory staff on full time basis. </t>
  </si>
  <si>
    <t>B5</t>
  </si>
  <si>
    <t>Setting Out</t>
  </si>
  <si>
    <t>B5/01</t>
  </si>
  <si>
    <t>Allow lump sum for setting out of Works in accordance with drawings and other written information given by the Engineer.</t>
  </si>
  <si>
    <t>F</t>
  </si>
  <si>
    <t>B6</t>
  </si>
  <si>
    <t>Quality, Standards and Progress</t>
  </si>
  <si>
    <t>B6/01</t>
  </si>
  <si>
    <t>Allow lump sum for provision of progress reports including photographic records and other schedules included in the ICTAD publication - Guidelines for Effective Construction Management (ICTAD/CM/01).</t>
  </si>
  <si>
    <t>B6/02</t>
  </si>
  <si>
    <t>Allow lump sum for all cost in connection with preparing samples for testing, making arrangements for testing of materials, Goods, etc., as stipulated in the specification, obtaining test reports and submitting to the Engineer.</t>
  </si>
  <si>
    <t>B6/03</t>
  </si>
  <si>
    <t>Allow lump sum for provision of shop drawings, bar schedules, etc. for Engineer's approval.</t>
  </si>
  <si>
    <t>B6/04</t>
  </si>
  <si>
    <t>Allow lump sum for provision of two sets of (hard copies and soft copies) as-built drawings of all services, (except nominated sub contractor's work) for Engineer's approval.</t>
  </si>
  <si>
    <t>B7</t>
  </si>
  <si>
    <t>Health, Safety and Environment</t>
  </si>
  <si>
    <t>B7/01</t>
  </si>
  <si>
    <t>Allow lump sum for providing all necessary safety measures to workmen at site conforming to the latest industrial safety regulations and as directed by the Engineer. Safety visibility vests, rain-jackets, helmets and safety footwear shall be essential safety items.</t>
  </si>
  <si>
    <t>B7/02</t>
  </si>
  <si>
    <t>Allow lump sum for making adequate provisions against air and noise pollution of surrounding areas. Hoarding and dust screens shall be provided to control dust escaping to surrounding areas.</t>
  </si>
  <si>
    <t>Allow lump sum for demobilization, removal of all rubbish &amp; debris and clearing up site on completion, leaving all in good order and handing over.</t>
  </si>
  <si>
    <t>G</t>
  </si>
  <si>
    <t>B8</t>
  </si>
  <si>
    <t>Security and Protection</t>
  </si>
  <si>
    <t>B8/01</t>
  </si>
  <si>
    <t>Allow lump sum for employing an adequate number of security personnel and security systems on full time basis throughout the period of construction, and provide all necessary security lighting and a warning system.</t>
  </si>
  <si>
    <t>B8/02</t>
  </si>
  <si>
    <t>Allow lump sum for providing and maintaining necessary fencing, hoarding and gates for safeguarding the Works, Materials and Plant, as directed by the Engineer.</t>
  </si>
  <si>
    <t>B9</t>
  </si>
  <si>
    <t>Miscellaneous</t>
  </si>
  <si>
    <t>B9/01</t>
  </si>
  <si>
    <t>Allow lump sum for providing any other item related to preliminary work during construction period. The constractor shall mention such items.</t>
  </si>
  <si>
    <t>B - Preliminaries</t>
  </si>
  <si>
    <t>Total Carried to Summary</t>
  </si>
  <si>
    <t>SUMMARY - BILL NO. - 2 - BUILDING WORKS</t>
  </si>
  <si>
    <t>ITEM</t>
  </si>
  <si>
    <t xml:space="preserve">AMOUNT                                                       </t>
  </si>
  <si>
    <t>EXCAVATION AND EARTH WORK</t>
  </si>
  <si>
    <t>CONCRETE WORK</t>
  </si>
  <si>
    <t>MASONRY WORK</t>
  </si>
  <si>
    <t>H</t>
  </si>
  <si>
    <t>WATER PROOFING</t>
  </si>
  <si>
    <t>K</t>
  </si>
  <si>
    <t>METAL WORK</t>
  </si>
  <si>
    <t>P</t>
  </si>
  <si>
    <t>ROOF COVERING</t>
  </si>
  <si>
    <t>Q</t>
  </si>
  <si>
    <t>WATER SUPPLY</t>
  </si>
  <si>
    <t>By Nominated Sub Contractor</t>
  </si>
  <si>
    <t>S</t>
  </si>
  <si>
    <t>ELECTRICAL</t>
  </si>
  <si>
    <t>T</t>
  </si>
  <si>
    <t>FLOOR/WALL/CEILING FINISHES</t>
  </si>
  <si>
    <t>V</t>
  </si>
  <si>
    <t>PAINTING</t>
  </si>
  <si>
    <t>W</t>
  </si>
  <si>
    <t>SOIL &amp; WASTE WATER SYSTEM</t>
  </si>
  <si>
    <t>Y</t>
  </si>
  <si>
    <t>MISCELLANEOUS</t>
  </si>
  <si>
    <t>TOTAL CARRIED TO GRAND SUMMARY</t>
  </si>
  <si>
    <t>BILL OF QUANTITIES</t>
  </si>
  <si>
    <t xml:space="preserve">EXCAVATION AND EARTHWORK </t>
  </si>
  <si>
    <t>ITEM NO</t>
  </si>
  <si>
    <t>UNIT</t>
  </si>
  <si>
    <t>Qty</t>
  </si>
  <si>
    <t>RATE (RS)</t>
  </si>
  <si>
    <t>AMOUNT (RS)</t>
  </si>
  <si>
    <t>D/-</t>
  </si>
  <si>
    <t>Site Clearing</t>
  </si>
  <si>
    <t>Reduced level excavation is already done</t>
  </si>
  <si>
    <t>Note</t>
  </si>
  <si>
    <t>The Bidder is required to visit the site of the proposed work before pricing the following items.</t>
  </si>
  <si>
    <t>Refer Pricing Preambles, Soil Investigation Report and Excavation and Earth work secion of the Specification before pricing the following items.</t>
  </si>
  <si>
    <t>Unless other wise stated, Rate shall include for:</t>
  </si>
  <si>
    <t>Back filling with selected excavated material &amp; consolidating, surface treatment, compaction before filling / foundation.</t>
  </si>
  <si>
    <t>D/1</t>
  </si>
  <si>
    <t>Excavation for foundation in any materials met with except rock requiring blasting,  depth not exceeding  2.0m from the reduce level. Part return fill in ram &amp; surplus disposed of within site as directed.</t>
  </si>
  <si>
    <t>Lower Ground floor</t>
  </si>
  <si>
    <t>D/1/1</t>
  </si>
  <si>
    <t xml:space="preserve"> In Column footing</t>
  </si>
  <si>
    <r>
      <rPr>
        <sz val="10"/>
        <rFont val="Calibri"/>
        <charset val="134"/>
        <scheme val="minor"/>
      </rPr>
      <t>m</t>
    </r>
    <r>
      <rPr>
        <vertAlign val="superscript"/>
        <sz val="10"/>
        <rFont val="Calibri"/>
        <charset val="134"/>
        <scheme val="minor"/>
      </rPr>
      <t>3</t>
    </r>
  </si>
  <si>
    <t>D/1/2</t>
  </si>
  <si>
    <t xml:space="preserve"> in pile cap</t>
  </si>
  <si>
    <t>D/1/3</t>
  </si>
  <si>
    <t xml:space="preserve"> in ground beam &amp; shear wall</t>
  </si>
  <si>
    <t>D/1/4</t>
  </si>
  <si>
    <t xml:space="preserve">  in lift well</t>
  </si>
  <si>
    <t>D/1/5</t>
  </si>
  <si>
    <t>Stair case footing</t>
  </si>
  <si>
    <t>D/2</t>
  </si>
  <si>
    <t>Excavation for pit in any materials met with except rock requiring blasting,  depth not exceeding  3.5m from the reduce level. Part return fill in ram &amp; surplus disposed of within site as directed.</t>
  </si>
  <si>
    <t>D/2/1</t>
  </si>
  <si>
    <t>Pit for water sump</t>
  </si>
  <si>
    <t>D/3</t>
  </si>
  <si>
    <t>Uper Ground floor</t>
  </si>
  <si>
    <t>D/3/1</t>
  </si>
  <si>
    <t>D/3/2</t>
  </si>
  <si>
    <t>D/3/3</t>
  </si>
  <si>
    <t xml:space="preserve"> in ground beam</t>
  </si>
  <si>
    <t>D/3/4</t>
  </si>
  <si>
    <t>D/4</t>
  </si>
  <si>
    <t>Rock excavation  requiring blasting,  depth not exceeding  3.5m from the reduce level and disposed of within site as directed. (Provisional quantity)</t>
  </si>
  <si>
    <t>D/5</t>
  </si>
  <si>
    <t>Filling with excavated soil availabe at site  in  the area below  the ground floor slab to achieve 95% Procted density.</t>
  </si>
  <si>
    <t>D/5/1</t>
  </si>
  <si>
    <t>In lower Ground floor</t>
  </si>
  <si>
    <t>D/5/2</t>
  </si>
  <si>
    <t>In  Ground floor</t>
  </si>
  <si>
    <t>D/6</t>
  </si>
  <si>
    <t>Termite proof physical barrier that contains termite Proof Cementitious parge / Resin applied at DPC level to approved specialist contractor's specifications. Contractor shall provide 15 year warranty for whole treatment</t>
  </si>
  <si>
    <t>D/6/1</t>
  </si>
  <si>
    <t>In lower Ground floor (Provisional Qty. )</t>
  </si>
  <si>
    <t>m</t>
  </si>
  <si>
    <t>D/6/2</t>
  </si>
  <si>
    <t>In  Ground floor  (Provisional Qty. )</t>
  </si>
  <si>
    <t>D/07</t>
  </si>
  <si>
    <t xml:space="preserve">Allow sum for dewatering relevant to substructure construction (if necessary) Contractor shall submit relevant quotation and approval should be obtained before commencing the work.  </t>
  </si>
  <si>
    <t xml:space="preserve">Item </t>
  </si>
  <si>
    <t>Allow</t>
  </si>
  <si>
    <t>P.Sum</t>
  </si>
  <si>
    <t>D/08</t>
  </si>
  <si>
    <t xml:space="preserve">Allow sum for shoring ,suitable for the ground condition. Contractor shall submit relevant quotation and approval should be obtained before commencing the work. </t>
  </si>
  <si>
    <t>TOTAL CARRIED TO SUMMARY</t>
  </si>
  <si>
    <t>RS.</t>
  </si>
  <si>
    <t xml:space="preserve">CONCRETE WORKS </t>
  </si>
  <si>
    <t>QTY.</t>
  </si>
  <si>
    <t xml:space="preserve">Concrete ,Grade 15, 1:3:6 (40)  </t>
  </si>
  <si>
    <t>F/1</t>
  </si>
  <si>
    <t>50mm thick lean concrete under:</t>
  </si>
  <si>
    <t>Lower ground floor</t>
  </si>
  <si>
    <t>F/1/1</t>
  </si>
  <si>
    <t>In pile cap</t>
  </si>
  <si>
    <r>
      <rPr>
        <sz val="10"/>
        <rFont val="Calibri"/>
        <charset val="134"/>
        <scheme val="minor"/>
      </rPr>
      <t>m</t>
    </r>
    <r>
      <rPr>
        <vertAlign val="superscript"/>
        <sz val="10"/>
        <rFont val="Calibri"/>
        <charset val="134"/>
        <scheme val="minor"/>
      </rPr>
      <t>2</t>
    </r>
  </si>
  <si>
    <t>F/1/2</t>
  </si>
  <si>
    <t>In column footing (F1, F2, F3, F4,)</t>
  </si>
  <si>
    <t>F/1/3</t>
  </si>
  <si>
    <t>In ground beam &amp; shear wall</t>
  </si>
  <si>
    <t>F/1/4</t>
  </si>
  <si>
    <t>In lift well</t>
  </si>
  <si>
    <t>F/1/5</t>
  </si>
  <si>
    <t>In Stair footing</t>
  </si>
  <si>
    <t>F/1/6</t>
  </si>
  <si>
    <t>Water sump Base slab</t>
  </si>
  <si>
    <t>Addendum 02</t>
  </si>
  <si>
    <t>Ground floor</t>
  </si>
  <si>
    <t>F/1/7</t>
  </si>
  <si>
    <t>F/1/8</t>
  </si>
  <si>
    <t>In column footing  (F3, F4,)</t>
  </si>
  <si>
    <t>F/1/9</t>
  </si>
  <si>
    <t>In ground beam</t>
  </si>
  <si>
    <t>F/1/10</t>
  </si>
  <si>
    <t>F/2</t>
  </si>
  <si>
    <t>Concrete filling to form required level (Gr.15 concrete to 50mm avarage thick)  in toilet area</t>
  </si>
  <si>
    <t>F/2/1</t>
  </si>
  <si>
    <t xml:space="preserve"> At G/F level</t>
  </si>
  <si>
    <t>F/2/2</t>
  </si>
  <si>
    <t xml:space="preserve"> At 1st F/ level</t>
  </si>
  <si>
    <t>F/2/3</t>
  </si>
  <si>
    <t xml:space="preserve"> At 2nd F/ level</t>
  </si>
  <si>
    <t>F/2/4</t>
  </si>
  <si>
    <t xml:space="preserve"> At 3rd F/ level</t>
  </si>
  <si>
    <t>F/2/5</t>
  </si>
  <si>
    <t xml:space="preserve"> At 4th F/ level</t>
  </si>
  <si>
    <t>F/2/6</t>
  </si>
  <si>
    <t xml:space="preserve"> At 5th F/ level</t>
  </si>
  <si>
    <t>F/2/7</t>
  </si>
  <si>
    <t xml:space="preserve"> At 6th F/ level</t>
  </si>
  <si>
    <t>F/2/8</t>
  </si>
  <si>
    <t xml:space="preserve"> At 7th F/ level</t>
  </si>
  <si>
    <t>F/2/9</t>
  </si>
  <si>
    <t xml:space="preserve"> At 8th F/ level</t>
  </si>
  <si>
    <t>F/3</t>
  </si>
  <si>
    <t>Concrete Grade 25 (Ready mixed where necessary) in the following</t>
  </si>
  <si>
    <t>F/3/1</t>
  </si>
  <si>
    <t>F/3/2</t>
  </si>
  <si>
    <t>F/3/3</t>
  </si>
  <si>
    <t>In ground beam &amp; sheer wall footing (between pile cap column and under Retain wall)</t>
  </si>
  <si>
    <t>F/3/4</t>
  </si>
  <si>
    <t>In retaining wall up to G/F level</t>
  </si>
  <si>
    <t>F/3/5</t>
  </si>
  <si>
    <t>In Bottum slab of Lift well</t>
  </si>
  <si>
    <t>F/3/6</t>
  </si>
  <si>
    <t>In walls at lift well up to Lower G/F level</t>
  </si>
  <si>
    <t>F/3/7</t>
  </si>
  <si>
    <t xml:space="preserve">In Column (300x300mm,single story building) </t>
  </si>
  <si>
    <t>F/3/8</t>
  </si>
  <si>
    <t>In Column (600x600 mm )</t>
  </si>
  <si>
    <t>F/3/9</t>
  </si>
  <si>
    <t>In Stair footing &amp; wall up to Lower G/F level</t>
  </si>
  <si>
    <t>F/4</t>
  </si>
  <si>
    <t>Concrete Grade 35 (Ready mixed where necessary) in the following</t>
  </si>
  <si>
    <t>Water sump @ Lower ground floor</t>
  </si>
  <si>
    <t>Refer Dwg No: HB/ST/24/T</t>
  </si>
  <si>
    <t>F/4/1</t>
  </si>
  <si>
    <t>Base slab, 350mm thick</t>
  </si>
  <si>
    <t>F/4/2</t>
  </si>
  <si>
    <t>Wall, 250mm thick</t>
  </si>
  <si>
    <t>F/4/3</t>
  </si>
  <si>
    <t>Top slab, 150mm thick including kerb at opening</t>
  </si>
  <si>
    <t>F/4/4</t>
  </si>
  <si>
    <t xml:space="preserve">Top slab beam , 300x650mm </t>
  </si>
  <si>
    <t>F/4/5</t>
  </si>
  <si>
    <t xml:space="preserve">Refer Miscellaneous work for other ancillary items in water sump </t>
  </si>
  <si>
    <t>F/4/6</t>
  </si>
  <si>
    <t>F/4/7</t>
  </si>
  <si>
    <t xml:space="preserve">In column footing </t>
  </si>
  <si>
    <t>F/4/8</t>
  </si>
  <si>
    <t>In ground beam (between pile cap and column)</t>
  </si>
  <si>
    <t>F/4/9</t>
  </si>
  <si>
    <t>F/4/10</t>
  </si>
  <si>
    <t>In Column (450x450mm )</t>
  </si>
  <si>
    <t>F/4/11</t>
  </si>
  <si>
    <t>F/4/12</t>
  </si>
  <si>
    <t>In Stair footing &amp; wall up to G/F level</t>
  </si>
  <si>
    <t>F/5</t>
  </si>
  <si>
    <t>Concrete Grade 20 (Ready mixed where necessary) in the following</t>
  </si>
  <si>
    <t>F/5/1</t>
  </si>
  <si>
    <t xml:space="preserve"> Ground floor slab of Lower G/F (thickness 100mm) and incresing of thickness by 150mm where walls exit above slab and free edges as shown in detail, Rate shall include for Reinforcement net, 10mm bars at 250mm, both ways</t>
  </si>
  <si>
    <t>F/5/2</t>
  </si>
  <si>
    <t xml:space="preserve">  - dito - but for Ground floor slab (include porch area)</t>
  </si>
  <si>
    <t>F/6</t>
  </si>
  <si>
    <t>Precast Concrete</t>
  </si>
  <si>
    <t>Casting, handling and placing Precast Concrete slab as shown in the Dwg. No: HB/DT/22-T</t>
  </si>
  <si>
    <r>
      <rPr>
        <u/>
        <sz val="10"/>
        <rFont val="Calibri"/>
        <charset val="134"/>
        <scheme val="minor"/>
      </rPr>
      <t xml:space="preserve">Rate shall include all expenses for mesh ( </t>
    </r>
    <r>
      <rPr>
        <u/>
        <sz val="10"/>
        <color indexed="10"/>
        <rFont val="Calibri"/>
        <charset val="134"/>
        <scheme val="minor"/>
      </rPr>
      <t>Bottom</t>
    </r>
    <r>
      <rPr>
        <u/>
        <sz val="10"/>
        <rFont val="Calibri"/>
        <charset val="134"/>
        <scheme val="minor"/>
      </rPr>
      <t>) &amp; bar reinforcement (trangulated lattice girder), Casting at yard (including preparation and maintenance of yard), curing, handling, and placing</t>
    </r>
  </si>
  <si>
    <t>F/6/1</t>
  </si>
  <si>
    <t>At G/F level</t>
  </si>
  <si>
    <t>Precast concrete slab</t>
  </si>
  <si>
    <t>F/6/1/1</t>
  </si>
  <si>
    <t>Size, 5100x1200x60mm</t>
  </si>
  <si>
    <t>Nr.</t>
  </si>
  <si>
    <t>F/6/1/2</t>
  </si>
  <si>
    <t>Size, 5100x1100x60mm</t>
  </si>
  <si>
    <t>Size, 5100x1000x60mm</t>
  </si>
  <si>
    <t>F/6/1/3</t>
  </si>
  <si>
    <t>Size, 5000x800x60mm</t>
  </si>
  <si>
    <t>F/6/1/4</t>
  </si>
  <si>
    <t>Size, 5000x600x60mm</t>
  </si>
  <si>
    <t>F/6/1/5</t>
  </si>
  <si>
    <t>Size, 5000x500 or 400x60mm</t>
  </si>
  <si>
    <t>F/6/2</t>
  </si>
  <si>
    <t>At 1st/F level</t>
  </si>
  <si>
    <t>F/6/2/1</t>
  </si>
  <si>
    <t>F/6/2/2</t>
  </si>
  <si>
    <t>F/6/2/3</t>
  </si>
  <si>
    <t>F/6/2/4</t>
  </si>
  <si>
    <t>F/6/2/5</t>
  </si>
  <si>
    <t>F/6/2/6</t>
  </si>
  <si>
    <t>F/6/3</t>
  </si>
  <si>
    <t>At 2nd/F level</t>
  </si>
  <si>
    <t>F/6/3/1</t>
  </si>
  <si>
    <t>F/6/3/2</t>
  </si>
  <si>
    <t>F/6/3/3</t>
  </si>
  <si>
    <t>F/6/3/4</t>
  </si>
  <si>
    <t>F/6/3/5</t>
  </si>
  <si>
    <t>F/6/3/6</t>
  </si>
  <si>
    <t>F/6/4</t>
  </si>
  <si>
    <t>At 3rd/F level</t>
  </si>
  <si>
    <t>F/6/4/1</t>
  </si>
  <si>
    <t>F/6/4/2</t>
  </si>
  <si>
    <t>F/6/4/3</t>
  </si>
  <si>
    <t>F/6/4/4</t>
  </si>
  <si>
    <t>F/6/4/5</t>
  </si>
  <si>
    <t>F/6/4/6</t>
  </si>
  <si>
    <t>F/6/5</t>
  </si>
  <si>
    <t>At 4th/F level</t>
  </si>
  <si>
    <t>F/6/5/1</t>
  </si>
  <si>
    <t>F/6/5/2</t>
  </si>
  <si>
    <t>F/6/5/3</t>
  </si>
  <si>
    <t>F/6/5/4</t>
  </si>
  <si>
    <t>F/6/5/5</t>
  </si>
  <si>
    <t>F/6/5/6</t>
  </si>
  <si>
    <t>F/6/6</t>
  </si>
  <si>
    <t>At 5th/F level</t>
  </si>
  <si>
    <t>F/6/6/1</t>
  </si>
  <si>
    <t>F/6/6/2</t>
  </si>
  <si>
    <t>F/6/6/3</t>
  </si>
  <si>
    <t>F/6/6/4</t>
  </si>
  <si>
    <t>F/6/6/5</t>
  </si>
  <si>
    <t>F/6/6/6</t>
  </si>
  <si>
    <t>F/6/7</t>
  </si>
  <si>
    <t>At 6th/F level</t>
  </si>
  <si>
    <t>F/6/7/1</t>
  </si>
  <si>
    <t>F/6/7/2</t>
  </si>
  <si>
    <t>F/6/7/3</t>
  </si>
  <si>
    <t>F/6/7/4</t>
  </si>
  <si>
    <t>F/6/7/5</t>
  </si>
  <si>
    <t>F/6/7/6</t>
  </si>
  <si>
    <t>F/6/8</t>
  </si>
  <si>
    <t>At 7th/F level</t>
  </si>
  <si>
    <t>F/6/8/1</t>
  </si>
  <si>
    <t>F/6/8/2</t>
  </si>
  <si>
    <t>F/6/8/3</t>
  </si>
  <si>
    <t>F/6/8/4</t>
  </si>
  <si>
    <t>F/6/8/5</t>
  </si>
  <si>
    <t>F/6/8/6</t>
  </si>
  <si>
    <t>F/6/9</t>
  </si>
  <si>
    <t>At 8th/F level</t>
  </si>
  <si>
    <t>F/6/9/1</t>
  </si>
  <si>
    <t>F/6/9/2</t>
  </si>
  <si>
    <t>F/6/9/3</t>
  </si>
  <si>
    <t>F/6/9/4</t>
  </si>
  <si>
    <t>F/6/9/5</t>
  </si>
  <si>
    <t>F/6/9/6</t>
  </si>
  <si>
    <t>F/7</t>
  </si>
  <si>
    <t>F/7/1</t>
  </si>
  <si>
    <t>From L/G/F level to G/F level.</t>
  </si>
  <si>
    <t>F/7/1/1</t>
  </si>
  <si>
    <t xml:space="preserve">In Column (C5,300x300mm, single story building) </t>
  </si>
  <si>
    <t>F/7/1/2</t>
  </si>
  <si>
    <t>In Column (600x600mm )</t>
  </si>
  <si>
    <t>F/7/1/3</t>
  </si>
  <si>
    <t>In shear wall</t>
  </si>
  <si>
    <t>F/7/1/4</t>
  </si>
  <si>
    <t xml:space="preserve">Main Beams </t>
  </si>
  <si>
    <t>F/7/1/5</t>
  </si>
  <si>
    <t xml:space="preserve">Peripheral Beams </t>
  </si>
  <si>
    <t>F/7/1/6</t>
  </si>
  <si>
    <t>In wall of Lift well</t>
  </si>
  <si>
    <t>F/7/1/7</t>
  </si>
  <si>
    <t xml:space="preserve"> Concrete in  insitu slab, 125mm thick</t>
  </si>
  <si>
    <t>F/7/1/8</t>
  </si>
  <si>
    <t xml:space="preserve"> Concrete in  insitu slab, 225mm thick, in X-Ray &amp; CT room</t>
  </si>
  <si>
    <t>F/7/1/9</t>
  </si>
  <si>
    <t xml:space="preserve"> Roof beams in single story area </t>
  </si>
  <si>
    <t>F/7/1/10</t>
  </si>
  <si>
    <t xml:space="preserve">100mm thick RCC wall  on roof slab edge in single story area </t>
  </si>
  <si>
    <t>F/7/1/11</t>
  </si>
  <si>
    <t xml:space="preserve"> Roof slab in single story area </t>
  </si>
  <si>
    <t>F/7/1/12</t>
  </si>
  <si>
    <t xml:space="preserve"> Roof slab in pump room</t>
  </si>
  <si>
    <t>F/7/1/13</t>
  </si>
  <si>
    <t xml:space="preserve">Stair case </t>
  </si>
  <si>
    <t>F/7/1/14</t>
  </si>
  <si>
    <t>60mm thick top layer in floor slab</t>
  </si>
  <si>
    <t>F/7/1/15</t>
  </si>
  <si>
    <t>Concrete filling between durra board (include additional qty for beams where walls exit above slab)</t>
  </si>
  <si>
    <t>F/7/2</t>
  </si>
  <si>
    <t>From G/F level to 1st/F level.</t>
  </si>
  <si>
    <t>F/7/2/1</t>
  </si>
  <si>
    <t xml:space="preserve">In Column </t>
  </si>
  <si>
    <t>F/7/2/2</t>
  </si>
  <si>
    <t>F/7/2/3</t>
  </si>
  <si>
    <t>F/7/2/4</t>
  </si>
  <si>
    <t xml:space="preserve">Peripheral  &amp; other Beams </t>
  </si>
  <si>
    <t>F/7/2/5</t>
  </si>
  <si>
    <t>F/7/2/6</t>
  </si>
  <si>
    <t>225 mm thk. Con. Walls in X-Ray room Etc</t>
  </si>
  <si>
    <t>F/7/2/7</t>
  </si>
  <si>
    <t>F/7/2/8</t>
  </si>
  <si>
    <t>F/7/2/9</t>
  </si>
  <si>
    <t xml:space="preserve"> Concrete in  insitu gutter at porch</t>
  </si>
  <si>
    <t>F/7/2/10</t>
  </si>
  <si>
    <t xml:space="preserve"> Concrete in  pond wall at porch</t>
  </si>
  <si>
    <t>F/7/2/11</t>
  </si>
  <si>
    <t>F/7/2/12</t>
  </si>
  <si>
    <t>Ramp -1 G/F to 1st floor (Flight, side wall&amp; beam)</t>
  </si>
  <si>
    <t>F/7/2/13</t>
  </si>
  <si>
    <t>Ramp-2 to G/F and floor, at front loby</t>
  </si>
  <si>
    <t>F/7/2/14</t>
  </si>
  <si>
    <t>F/7/2/15</t>
  </si>
  <si>
    <t>Concrete filling between durra board ( include additional qty for beams where walls exit above slab)</t>
  </si>
  <si>
    <t>F/7/3</t>
  </si>
  <si>
    <t>From 1st floor level to 2 nd floor slab level.</t>
  </si>
  <si>
    <t>F/7/3/1</t>
  </si>
  <si>
    <t>In Column</t>
  </si>
  <si>
    <t>F/7/3/2</t>
  </si>
  <si>
    <t>F/7/3/3</t>
  </si>
  <si>
    <t>F/7/3/4</t>
  </si>
  <si>
    <t>F/7/3/5</t>
  </si>
  <si>
    <t>F/7/3/6</t>
  </si>
  <si>
    <t>F/7/3/7</t>
  </si>
  <si>
    <t>F/7/3/8</t>
  </si>
  <si>
    <t xml:space="preserve">100mm thick RCC wall  on roof terrace edge </t>
  </si>
  <si>
    <t>F/7/3/9</t>
  </si>
  <si>
    <t>F/7/3/10</t>
  </si>
  <si>
    <t>F/7/3/11</t>
  </si>
  <si>
    <t>F/7/4</t>
  </si>
  <si>
    <t>From 2 nd floor level to 3 rd floor slab level.</t>
  </si>
  <si>
    <t>F/7/4/1</t>
  </si>
  <si>
    <t>F/7/4/2</t>
  </si>
  <si>
    <t>In Sheer wall</t>
  </si>
  <si>
    <t>F/7/4/3</t>
  </si>
  <si>
    <t>F/7/4/4</t>
  </si>
  <si>
    <t>F/7/4/5</t>
  </si>
  <si>
    <t>F/7/4/6</t>
  </si>
  <si>
    <t>F/7/4/7</t>
  </si>
  <si>
    <t>F/7/4/8</t>
  </si>
  <si>
    <t>F/7/4/9</t>
  </si>
  <si>
    <t>F/7/4/10</t>
  </si>
  <si>
    <t>F/7/5</t>
  </si>
  <si>
    <t>From 3 rd floor level to 4th floor level.</t>
  </si>
  <si>
    <t>F/7/5/1</t>
  </si>
  <si>
    <t>F/7/5/2</t>
  </si>
  <si>
    <t>F/7/5/3</t>
  </si>
  <si>
    <t>F/7/5/4</t>
  </si>
  <si>
    <t>F/7/5/5</t>
  </si>
  <si>
    <t>F/7/5/6</t>
  </si>
  <si>
    <t>F/7/5/7</t>
  </si>
  <si>
    <t>F/7/5/8</t>
  </si>
  <si>
    <t>F/7/5/9</t>
  </si>
  <si>
    <t>F/7/5/10</t>
  </si>
  <si>
    <t>F/7/6</t>
  </si>
  <si>
    <t>From 4th floor level to 5th floor level.</t>
  </si>
  <si>
    <t>F/7/6/1</t>
  </si>
  <si>
    <t>F/7/6/2</t>
  </si>
  <si>
    <t>F/7/6/3</t>
  </si>
  <si>
    <t>F/7/6/4</t>
  </si>
  <si>
    <t>F/7/6/5</t>
  </si>
  <si>
    <t>F/7/6/6</t>
  </si>
  <si>
    <t>F/7/6/7</t>
  </si>
  <si>
    <t>F/7/6/8</t>
  </si>
  <si>
    <t>F/7/6/9</t>
  </si>
  <si>
    <t>F/7/7</t>
  </si>
  <si>
    <t>From 5th floor level to 6th floor level.</t>
  </si>
  <si>
    <t>F/7/7/1</t>
  </si>
  <si>
    <t>F/7/7/2</t>
  </si>
  <si>
    <t>F/7/7/3</t>
  </si>
  <si>
    <t>F/7/7/4</t>
  </si>
  <si>
    <t>F/7/7/5</t>
  </si>
  <si>
    <t>F/7/7/6</t>
  </si>
  <si>
    <t>F/7/7/7</t>
  </si>
  <si>
    <t>F/7/7/8</t>
  </si>
  <si>
    <t>F/7/7/9</t>
  </si>
  <si>
    <t>F/7/8</t>
  </si>
  <si>
    <t>From 6th floor level to 7th floor level.</t>
  </si>
  <si>
    <t>F/7/8/1</t>
  </si>
  <si>
    <t>F/7/8/2</t>
  </si>
  <si>
    <t>F/7/8/3</t>
  </si>
  <si>
    <t>F/7/8/4</t>
  </si>
  <si>
    <t>F/7/8/5</t>
  </si>
  <si>
    <t>F/7/8/6</t>
  </si>
  <si>
    <t>F/7/8/7</t>
  </si>
  <si>
    <t>F/7/8/8</t>
  </si>
  <si>
    <t>F/7/8/9</t>
  </si>
  <si>
    <t>F/7/8/10</t>
  </si>
  <si>
    <t>F/7/9</t>
  </si>
  <si>
    <t>From 7th floor level to 8th floor level.</t>
  </si>
  <si>
    <t>F/7/9/1</t>
  </si>
  <si>
    <t>F/7/9/2</t>
  </si>
  <si>
    <t>F/7/9/3</t>
  </si>
  <si>
    <t>F/7/9/4</t>
  </si>
  <si>
    <t>F/7/9/5</t>
  </si>
  <si>
    <t>F/7/9/6</t>
  </si>
  <si>
    <t>F/7/9/7</t>
  </si>
  <si>
    <t>F/7/9/8</t>
  </si>
  <si>
    <t>F/7/9/9</t>
  </si>
  <si>
    <t>F/7/10</t>
  </si>
  <si>
    <t>From 8th floor level to roof slab level.</t>
  </si>
  <si>
    <t>F/7/10/1</t>
  </si>
  <si>
    <t>F/7/10/2</t>
  </si>
  <si>
    <t>F/7/10/3</t>
  </si>
  <si>
    <t>F/7/10/4</t>
  </si>
  <si>
    <t>F/7/10/5</t>
  </si>
  <si>
    <t>F/7/10/6</t>
  </si>
  <si>
    <t>F/7/10/7</t>
  </si>
  <si>
    <t>F/7/10/8</t>
  </si>
  <si>
    <t>F/7/10/9</t>
  </si>
  <si>
    <t>Concrete filling between durra board</t>
  </si>
  <si>
    <t>F/7/11</t>
  </si>
  <si>
    <t>Roof slab and above roof salb</t>
  </si>
  <si>
    <t>F/7/11/1</t>
  </si>
  <si>
    <t xml:space="preserve"> Concrete in  insitu roof slab, 125mm thick</t>
  </si>
  <si>
    <t>F/7/11/2</t>
  </si>
  <si>
    <t>Beams in roof slab</t>
  </si>
  <si>
    <t>F/7/11/3</t>
  </si>
  <si>
    <t>F/7/11/4</t>
  </si>
  <si>
    <t>F/7/11/5</t>
  </si>
  <si>
    <t>F/7/11/6</t>
  </si>
  <si>
    <t xml:space="preserve">Beams </t>
  </si>
  <si>
    <t>F/7/11/7</t>
  </si>
  <si>
    <t>F/7/11/8</t>
  </si>
  <si>
    <t xml:space="preserve"> Concrete in  insitu roof slab on mechene room, 125mm thick</t>
  </si>
  <si>
    <t>F/7/11/9</t>
  </si>
  <si>
    <t>F/7/12</t>
  </si>
  <si>
    <t>Over head water tank, 5.5x14x2 m</t>
  </si>
  <si>
    <t>F/7/12/1</t>
  </si>
  <si>
    <t>Base slab, 300mm thick</t>
  </si>
  <si>
    <t>F/7/12/2</t>
  </si>
  <si>
    <t>F/7/12/3</t>
  </si>
  <si>
    <t>F/7/12/4</t>
  </si>
  <si>
    <t>F/7/12/5</t>
  </si>
  <si>
    <t>Refer Miscellaneous work for other ancillary items in water tank</t>
  </si>
  <si>
    <t xml:space="preserve">Paddy strow board </t>
  </si>
  <si>
    <t>F/8</t>
  </si>
  <si>
    <t>Supply and placing Paddy strow board (Durra panels), size, 2440x525x58 mm (mainly) and other size as required.</t>
  </si>
  <si>
    <r>
      <rPr>
        <sz val="10"/>
        <rFont val="Calibri"/>
        <charset val="134"/>
        <scheme val="minor"/>
      </rPr>
      <t xml:space="preserve">Paddy straw board, size 5100x495 (Durra panels) shall be supply and placed by specified sub contractor (ICC or other supplier approved by consultant). </t>
    </r>
    <r>
      <rPr>
        <sz val="10"/>
        <color indexed="10"/>
        <rFont val="Calibri"/>
        <charset val="134"/>
        <scheme val="minor"/>
      </rPr>
      <t>"Rate shall include for gauge 200 polythene wrap around the board"</t>
    </r>
  </si>
  <si>
    <t>Addendum01</t>
  </si>
  <si>
    <t>F/8/1</t>
  </si>
  <si>
    <t>F/8/2</t>
  </si>
  <si>
    <t>F/8/3</t>
  </si>
  <si>
    <t>F/8/4</t>
  </si>
  <si>
    <t>F/8/5</t>
  </si>
  <si>
    <t>F/8/6</t>
  </si>
  <si>
    <t>F/8/7</t>
  </si>
  <si>
    <t>F/8/8</t>
  </si>
  <si>
    <t>F/8/9</t>
  </si>
  <si>
    <t>F/9</t>
  </si>
  <si>
    <t>FORMWORK</t>
  </si>
  <si>
    <t>Sawn timber/ ply wood/ steel formwork to the following</t>
  </si>
  <si>
    <t>Fare face form work   shall provide for  isolated column,  walls, soffit of incitu slabs and beams</t>
  </si>
  <si>
    <t>F/9/1</t>
  </si>
  <si>
    <t>Form work to Gr. 30 Concrete</t>
  </si>
  <si>
    <t>F/9/1/1</t>
  </si>
  <si>
    <t>F/9/1/2</t>
  </si>
  <si>
    <t>F/9/1/3</t>
  </si>
  <si>
    <t>In ground beam (between pile cap column and under Retain wall)</t>
  </si>
  <si>
    <t>F/9/1/4</t>
  </si>
  <si>
    <t>F/9/1/5</t>
  </si>
  <si>
    <t>F/9/1/6</t>
  </si>
  <si>
    <t>F/9/1/7</t>
  </si>
  <si>
    <t>In Column (300x300mm) up to Lower G/F level</t>
  </si>
  <si>
    <t>F/9/1/8</t>
  </si>
  <si>
    <t>In Column (600*600mm) up to Lower G/F level</t>
  </si>
  <si>
    <t>F/9/1/9</t>
  </si>
  <si>
    <t>F/9/1/10</t>
  </si>
  <si>
    <t>F/9/1/11</t>
  </si>
  <si>
    <t>F/9/1/12</t>
  </si>
  <si>
    <t>F/9/1/13</t>
  </si>
  <si>
    <t>F/9/1/14</t>
  </si>
  <si>
    <t>F/9/1/15</t>
  </si>
  <si>
    <t>F/9/1/16</t>
  </si>
  <si>
    <t>F/9/2</t>
  </si>
  <si>
    <t>Form work to Gr. 35 Concrete</t>
  </si>
  <si>
    <t>F/9/2/1</t>
  </si>
  <si>
    <t>F/9/2/2</t>
  </si>
  <si>
    <t>F/9/2/3</t>
  </si>
  <si>
    <t>F/9/2/4</t>
  </si>
  <si>
    <t>F/9/3</t>
  </si>
  <si>
    <r>
      <rPr>
        <b/>
        <u/>
        <sz val="10"/>
        <rFont val="Calibri"/>
        <charset val="134"/>
        <scheme val="minor"/>
      </rPr>
      <t xml:space="preserve">Form work to Gr. 25 Concrete          </t>
    </r>
    <r>
      <rPr>
        <sz val="10"/>
        <color indexed="10"/>
        <rFont val="Calibri"/>
        <charset val="134"/>
        <scheme val="minor"/>
      </rPr>
      <t>"Rate shall include for center support by propping to pre-cast slab panels once placed on the span beam"</t>
    </r>
  </si>
  <si>
    <t>F/9/3/1</t>
  </si>
  <si>
    <t>F/9/3/1/1</t>
  </si>
  <si>
    <t xml:space="preserve">In Column (300x300mm, C5,single story building) </t>
  </si>
  <si>
    <t>F/9/3/1/2</t>
  </si>
  <si>
    <t>In Column (600x600mm,C2, C3, C4, C0 )</t>
  </si>
  <si>
    <t>F/9/3/1/3</t>
  </si>
  <si>
    <t>F/9/3/1/4</t>
  </si>
  <si>
    <t>DELETED</t>
  </si>
  <si>
    <t>F/9/3/1/5</t>
  </si>
  <si>
    <t>F/9/3/1/6</t>
  </si>
  <si>
    <t>F/9/3/1/7</t>
  </si>
  <si>
    <t>F/9/3/1/8</t>
  </si>
  <si>
    <t>F/9/3/1/9</t>
  </si>
  <si>
    <t>F/9/3/1/10</t>
  </si>
  <si>
    <t>F/9/3/1/11</t>
  </si>
  <si>
    <t>F/9/3/1/12</t>
  </si>
  <si>
    <t>F/9/3/1/13</t>
  </si>
  <si>
    <t>F/9/3/2</t>
  </si>
  <si>
    <t>From G/F level to 1st F level.</t>
  </si>
  <si>
    <t>F/9/3/2/1</t>
  </si>
  <si>
    <t>In Column (450x450 and 600x600 mm )</t>
  </si>
  <si>
    <t>F/9/3/2/2</t>
  </si>
  <si>
    <t>F/9/3/2/3</t>
  </si>
  <si>
    <t>F/9/3/2/4</t>
  </si>
  <si>
    <t>F/9/3/2/5</t>
  </si>
  <si>
    <t>F/9/3/2/6</t>
  </si>
  <si>
    <t>F/9/3/2/7</t>
  </si>
  <si>
    <t>F/9/3/2/8</t>
  </si>
  <si>
    <t>F/9/3/2/9</t>
  </si>
  <si>
    <t>F/9/3/2/10</t>
  </si>
  <si>
    <t>F/9/3/2/11</t>
  </si>
  <si>
    <t>F/9/3/2/12</t>
  </si>
  <si>
    <t>F/9/3/2/13</t>
  </si>
  <si>
    <t>F/9/3/3</t>
  </si>
  <si>
    <t>F/9/3/3/1</t>
  </si>
  <si>
    <t>F/9/3/3/2</t>
  </si>
  <si>
    <t>F/9/3/3/3</t>
  </si>
  <si>
    <t>F/9/3/3/4</t>
  </si>
  <si>
    <t>F/9/3/3/5</t>
  </si>
  <si>
    <t>F/9/3/3/6</t>
  </si>
  <si>
    <t>F/9/3/3/7</t>
  </si>
  <si>
    <t>F/9/3/3/8</t>
  </si>
  <si>
    <t>F/9/3/3/9</t>
  </si>
  <si>
    <t>F/9/3/4</t>
  </si>
  <si>
    <t>F/9/3/4/1</t>
  </si>
  <si>
    <t>F/9/3/4/2</t>
  </si>
  <si>
    <t>F/9/3/4/3</t>
  </si>
  <si>
    <t>F/9/3/4/4</t>
  </si>
  <si>
    <t>F/9/3/4/5</t>
  </si>
  <si>
    <t>F/9/3/4/6</t>
  </si>
  <si>
    <t>Insitu RCC floor slab</t>
  </si>
  <si>
    <t>F/9/3/4/7</t>
  </si>
  <si>
    <t>F/9/3/4/8</t>
  </si>
  <si>
    <t>F/9/3/5</t>
  </si>
  <si>
    <t>F/9/3/5/1</t>
  </si>
  <si>
    <t>F/9/3/5/2</t>
  </si>
  <si>
    <t>F/9/3/5/3</t>
  </si>
  <si>
    <t>F/9/3/5/4</t>
  </si>
  <si>
    <t>F/9/3/5/5</t>
  </si>
  <si>
    <t>F/9/3/5/6</t>
  </si>
  <si>
    <t>F/9/3/5/7</t>
  </si>
  <si>
    <t>F/9/3/5/8</t>
  </si>
  <si>
    <t>F/9/3/6</t>
  </si>
  <si>
    <t>From 4 th floor level to 5 th floor level.</t>
  </si>
  <si>
    <t>F/9/3/6/1</t>
  </si>
  <si>
    <t>F/9/3/6/2</t>
  </si>
  <si>
    <t>F/9/3/6/3</t>
  </si>
  <si>
    <t>F/9/3/6/4</t>
  </si>
  <si>
    <t>F/9/3/6/5</t>
  </si>
  <si>
    <t>F/9/3/6/6</t>
  </si>
  <si>
    <t>F/9/3/6/7</t>
  </si>
  <si>
    <t>F/9/3/7</t>
  </si>
  <si>
    <t>From 5 th floor level to 6 th floor level.</t>
  </si>
  <si>
    <t>F/9/3/7/1</t>
  </si>
  <si>
    <t>F/9/3/7/2</t>
  </si>
  <si>
    <t>F/9/3/7/3</t>
  </si>
  <si>
    <t>F/9/3/7/4</t>
  </si>
  <si>
    <t>F/9/3/7/5</t>
  </si>
  <si>
    <t>F/9/3/7/6</t>
  </si>
  <si>
    <t>F/9/3/7/7</t>
  </si>
  <si>
    <t>F/9/3/8</t>
  </si>
  <si>
    <t>From 6 th floor level to 7 th floor level.</t>
  </si>
  <si>
    <t>F/9/3/8/1</t>
  </si>
  <si>
    <t>F/9/3/8/2</t>
  </si>
  <si>
    <t>F/9/3/8/3</t>
  </si>
  <si>
    <t>F/9/3/8/4</t>
  </si>
  <si>
    <t>F/9/3/8/5</t>
  </si>
  <si>
    <t>F/9/3/8/6</t>
  </si>
  <si>
    <t>F/9/3/8/7</t>
  </si>
  <si>
    <t>F/9/3/8/8</t>
  </si>
  <si>
    <t>F/9/3/9</t>
  </si>
  <si>
    <t>From 7 th floor level to 8 th floor level.</t>
  </si>
  <si>
    <t>F/9/3/9/1</t>
  </si>
  <si>
    <t>F/9/3/9/2</t>
  </si>
  <si>
    <t>F/9/3/9/3</t>
  </si>
  <si>
    <t>F/9/3/9/4</t>
  </si>
  <si>
    <t>F/9/3/9/5</t>
  </si>
  <si>
    <t>F/9/3/9/6</t>
  </si>
  <si>
    <t>F/9/3/9/7</t>
  </si>
  <si>
    <t>F/9/3/10</t>
  </si>
  <si>
    <t>From 8 th floor level to roof slab level.</t>
  </si>
  <si>
    <t>F/9/3/10/1</t>
  </si>
  <si>
    <t>F/9/3/10/2</t>
  </si>
  <si>
    <t>F/9/3/10/3</t>
  </si>
  <si>
    <t>F/9/3/10/4</t>
  </si>
  <si>
    <t>F/9/3/10/5</t>
  </si>
  <si>
    <t>F/9/3/10/6</t>
  </si>
  <si>
    <t>F/9/3/10/7</t>
  </si>
  <si>
    <t>F/9/3/11</t>
  </si>
  <si>
    <t>Roof slab and above roof slab</t>
  </si>
  <si>
    <t>F/9/3/11/1</t>
  </si>
  <si>
    <t>F/9/3/11/2</t>
  </si>
  <si>
    <t>F/9/3/11/3</t>
  </si>
  <si>
    <t>F/9/3/11/4</t>
  </si>
  <si>
    <t>F/9/3/11/5</t>
  </si>
  <si>
    <t>F/9/3/11/6</t>
  </si>
  <si>
    <t>F/9/3/11/7</t>
  </si>
  <si>
    <t>F/9/3/11/8</t>
  </si>
  <si>
    <t>F/9/3/11/9</t>
  </si>
  <si>
    <t>F/9/3/12</t>
  </si>
  <si>
    <t>F/9/3/12/1</t>
  </si>
  <si>
    <t>F/9/3/12/2</t>
  </si>
  <si>
    <t>F/9/3/12/3</t>
  </si>
  <si>
    <t>F/9/3/12/4</t>
  </si>
  <si>
    <t>F/10</t>
  </si>
  <si>
    <t>REINFORCEMENT (R/F)</t>
  </si>
  <si>
    <t xml:space="preserve">Furnish, fabricate, place and tie high yield R/F bars with characteristic strength 460N/mm2 including binding wire, cover and spacer blocks complete in sizes varying from Y10 to Y25 </t>
  </si>
  <si>
    <t>F/10/1</t>
  </si>
  <si>
    <t>Reinforcement in Gr.30 concrete</t>
  </si>
  <si>
    <t>F/10/1/1</t>
  </si>
  <si>
    <t>Kg</t>
  </si>
  <si>
    <t>F/10/1/2</t>
  </si>
  <si>
    <t>F/10/1/3</t>
  </si>
  <si>
    <t>F/10/1/4</t>
  </si>
  <si>
    <t>F/10/1/5</t>
  </si>
  <si>
    <t>F/10/1/6</t>
  </si>
  <si>
    <t>F/10/1/7</t>
  </si>
  <si>
    <t>F/10/1/8</t>
  </si>
  <si>
    <t>F/10/1/9</t>
  </si>
  <si>
    <t>F/10/2</t>
  </si>
  <si>
    <t>F/10/2/1</t>
  </si>
  <si>
    <t>F/10/2/2</t>
  </si>
  <si>
    <t>F/10/2/3</t>
  </si>
  <si>
    <t>F/10/2/4</t>
  </si>
  <si>
    <t>F/10/2/5</t>
  </si>
  <si>
    <t>F/10/2/6</t>
  </si>
  <si>
    <t>F/10/2/7</t>
  </si>
  <si>
    <t>F/10/3</t>
  </si>
  <si>
    <t>Reinforcement in Gr.25 concrete</t>
  </si>
  <si>
    <t>F/10/3/1</t>
  </si>
  <si>
    <t>From L/G/F level to G/F  level.</t>
  </si>
  <si>
    <t>F/10/3/1/1</t>
  </si>
  <si>
    <t>F/10/3/1/2</t>
  </si>
  <si>
    <t>F/10/3/1/3</t>
  </si>
  <si>
    <t>F/10/3/1/4</t>
  </si>
  <si>
    <t>Main Beams (R/F for Ad. Beam under wall exit at P.C. panel include)</t>
  </si>
  <si>
    <t>F/10/3/1/5</t>
  </si>
  <si>
    <t>F/10/3/1/6</t>
  </si>
  <si>
    <t>F/10/3/1/7</t>
  </si>
  <si>
    <t>F/10/3/1/8</t>
  </si>
  <si>
    <t>F/10/3/1/9</t>
  </si>
  <si>
    <t>F/10/3/1/10</t>
  </si>
  <si>
    <t>F/10/3/1/11</t>
  </si>
  <si>
    <t>F/10/3/1/12</t>
  </si>
  <si>
    <t>F/10/3/1/13</t>
  </si>
  <si>
    <t>F/10/3/1/14</t>
  </si>
  <si>
    <t>F/10/3/1/15</t>
  </si>
  <si>
    <t>F/10/3/1/16</t>
  </si>
  <si>
    <t>F/10/3/2</t>
  </si>
  <si>
    <t>F/10/3/2/1</t>
  </si>
  <si>
    <t>F/10/3/2/2</t>
  </si>
  <si>
    <t>F/10/3/2/3</t>
  </si>
  <si>
    <t>F/10/3/2/4</t>
  </si>
  <si>
    <t>F/10/3/2/5</t>
  </si>
  <si>
    <t>F/10/3/2/6</t>
  </si>
  <si>
    <t>F/10/3/2/7</t>
  </si>
  <si>
    <t>F/10/3/2/8</t>
  </si>
  <si>
    <t>F/10/3/2/9</t>
  </si>
  <si>
    <t>F/10/3/2/10</t>
  </si>
  <si>
    <t>F/10/3/2/11</t>
  </si>
  <si>
    <t>F/10/3/2/12</t>
  </si>
  <si>
    <t>F/10/3/3</t>
  </si>
  <si>
    <t>F/10/3/3/1</t>
  </si>
  <si>
    <t>F/10/3/3/2</t>
  </si>
  <si>
    <t>F/10/3/3/3</t>
  </si>
  <si>
    <t>F/10/3/3/4</t>
  </si>
  <si>
    <t>F/10/3/3/5</t>
  </si>
  <si>
    <t>F/10/3/3/6</t>
  </si>
  <si>
    <t>F/10/3/3/7</t>
  </si>
  <si>
    <t>F/10/3/3/8</t>
  </si>
  <si>
    <t>F/10/3/3/9</t>
  </si>
  <si>
    <t>F/10/3/4</t>
  </si>
  <si>
    <t>F/10/3/4/1</t>
  </si>
  <si>
    <t>F/10/3/4/2</t>
  </si>
  <si>
    <t>F/10/3/4/3</t>
  </si>
  <si>
    <t>F/10/3/4/4</t>
  </si>
  <si>
    <t>F/10/3/4/5</t>
  </si>
  <si>
    <t>F/10/3/4/6</t>
  </si>
  <si>
    <t>F/10/3/4/7</t>
  </si>
  <si>
    <t>F/10/3/4/8</t>
  </si>
  <si>
    <t>F/10/3/5</t>
  </si>
  <si>
    <t>F/10/3/5/1</t>
  </si>
  <si>
    <t>F/10/3/5/2</t>
  </si>
  <si>
    <t>F/10/3/5/3</t>
  </si>
  <si>
    <t>F/10/3/5/4</t>
  </si>
  <si>
    <t>F/10/3/5/5</t>
  </si>
  <si>
    <t>F/10/3/5/6</t>
  </si>
  <si>
    <t>F/10/3/5/7</t>
  </si>
  <si>
    <t>F/10/3/5/8</t>
  </si>
  <si>
    <t>F/10/3/6</t>
  </si>
  <si>
    <t>F/10/3/6/1</t>
  </si>
  <si>
    <t>F/10/3/6/2</t>
  </si>
  <si>
    <t>F/10/3/6/3</t>
  </si>
  <si>
    <t>F/10/3/6/4</t>
  </si>
  <si>
    <t>F/10/3/6/5</t>
  </si>
  <si>
    <t>F/10/3/6/6</t>
  </si>
  <si>
    <t>F/10/3/6/7</t>
  </si>
  <si>
    <t>F/10/3/7</t>
  </si>
  <si>
    <t>F/10/3/7/1</t>
  </si>
  <si>
    <t>F/10/3/7/2</t>
  </si>
  <si>
    <t>F/10/3/7/3</t>
  </si>
  <si>
    <t>F/10/3/7/4</t>
  </si>
  <si>
    <t>F/10/3/7/5</t>
  </si>
  <si>
    <t>F/10/3/7/6</t>
  </si>
  <si>
    <t>F/10/3/7/7</t>
  </si>
  <si>
    <t>F/10/3/8</t>
  </si>
  <si>
    <t>F/10/3/8/1</t>
  </si>
  <si>
    <t>F/10/3/8/2</t>
  </si>
  <si>
    <t>F/10/3/8/3</t>
  </si>
  <si>
    <t>F/10/3/8/4</t>
  </si>
  <si>
    <t>F/10/3/8/5</t>
  </si>
  <si>
    <t>F/10/3/8/6</t>
  </si>
  <si>
    <t>F/10/3/8/7</t>
  </si>
  <si>
    <t>F/10/3/8/8</t>
  </si>
  <si>
    <t>F/10/3/9</t>
  </si>
  <si>
    <t>F/10/3/9/1</t>
  </si>
  <si>
    <t>F/10/3/9/2</t>
  </si>
  <si>
    <t>F/10/3/9/3</t>
  </si>
  <si>
    <t>F/10/3/9/4</t>
  </si>
  <si>
    <t>F/10/3/9/5</t>
  </si>
  <si>
    <t>F/10/3/9/6</t>
  </si>
  <si>
    <t>F/10/3/9/7</t>
  </si>
  <si>
    <t>F/10/3/10</t>
  </si>
  <si>
    <t>F/10/3/10/1</t>
  </si>
  <si>
    <t>F/10/3/10/2</t>
  </si>
  <si>
    <t>F/10/3/10/3</t>
  </si>
  <si>
    <t>F/10/3/10/4</t>
  </si>
  <si>
    <t>F/10/3/10/5</t>
  </si>
  <si>
    <t>F/10/3/10/6</t>
  </si>
  <si>
    <t>F/10/3/10/7</t>
  </si>
  <si>
    <t>F/10/3/11</t>
  </si>
  <si>
    <t>F/10/3/11/1</t>
  </si>
  <si>
    <t>F/10/3/11/2</t>
  </si>
  <si>
    <t>F/10/3/11/3</t>
  </si>
  <si>
    <t>F/10/3/11/4</t>
  </si>
  <si>
    <t>Above roof slab</t>
  </si>
  <si>
    <t>F/10/3/11/5</t>
  </si>
  <si>
    <t>F/10/3/11/6</t>
  </si>
  <si>
    <t>F/10/3/11/7</t>
  </si>
  <si>
    <t>F/10/3/11/8</t>
  </si>
  <si>
    <t xml:space="preserve"> Concrete in  insitu roof slab on machine room, 125mm thick</t>
  </si>
  <si>
    <t>F/10/3/11/9</t>
  </si>
  <si>
    <t>F/10/3/11/10</t>
  </si>
  <si>
    <t>F/10/3/11/11</t>
  </si>
  <si>
    <t xml:space="preserve"> </t>
  </si>
  <si>
    <t>F/10/3/11/12</t>
  </si>
  <si>
    <t>F/10/3/11/13</t>
  </si>
  <si>
    <t>F/11</t>
  </si>
  <si>
    <r>
      <rPr>
        <b/>
        <sz val="10"/>
        <rFont val="Calibri"/>
        <charset val="134"/>
        <scheme val="minor"/>
      </rPr>
      <t>Furnish, fabricate, place and tie Mild steel R/F with characteristic strength, 250 N/mm</t>
    </r>
    <r>
      <rPr>
        <b/>
        <vertAlign val="superscript"/>
        <sz val="10"/>
        <rFont val="Calibri"/>
        <charset val="134"/>
        <scheme val="minor"/>
      </rPr>
      <t>2</t>
    </r>
    <r>
      <rPr>
        <b/>
        <sz val="10"/>
        <rFont val="Calibri"/>
        <charset val="134"/>
        <scheme val="minor"/>
      </rPr>
      <t>. Rate shall include for binding wire, cover spacer blocks complete in size varying from R6 to R10 in the following</t>
    </r>
  </si>
  <si>
    <t>F/11/1</t>
  </si>
  <si>
    <t>For column from ground level to 3rd floor  level. (Provisional qty.)</t>
  </si>
  <si>
    <t>F/11/2</t>
  </si>
  <si>
    <t>Supply and laying of BRC mesh, A-98  (5mm dia. 200 x 200mm)</t>
  </si>
  <si>
    <r>
      <rPr>
        <sz val="10"/>
        <color rgb="FFFF0000"/>
        <rFont val="Calibri"/>
        <charset val="134"/>
        <scheme val="minor"/>
      </rPr>
      <t>m</t>
    </r>
    <r>
      <rPr>
        <vertAlign val="superscript"/>
        <sz val="10"/>
        <color indexed="10"/>
        <rFont val="Calibri"/>
        <charset val="134"/>
        <scheme val="minor"/>
      </rPr>
      <t>2</t>
    </r>
  </si>
  <si>
    <t xml:space="preserve">TOTAL CARRIED TO SUMMARY </t>
  </si>
  <si>
    <t xml:space="preserve">MASONRY WORK </t>
  </si>
  <si>
    <t>G/1</t>
  </si>
  <si>
    <t>Random rubble masonry in cement and sand 1:8 using 150mm to 225mm size broken stone (Provisional quantity)</t>
  </si>
  <si>
    <t>Brick walls in burn clay bricks, size, 225x112x75mm in cement &amp; sand 1:8 in the following.</t>
  </si>
  <si>
    <t>G/2</t>
  </si>
  <si>
    <t xml:space="preserve">225mm thick walls </t>
  </si>
  <si>
    <t>G/2/1</t>
  </si>
  <si>
    <t xml:space="preserve">Lower ground floor level  to ground floor level </t>
  </si>
  <si>
    <t>G/2/2</t>
  </si>
  <si>
    <t xml:space="preserve"> Mezzanine floor</t>
  </si>
  <si>
    <t>G/2/3</t>
  </si>
  <si>
    <t xml:space="preserve">Ground floor level to first floor level </t>
  </si>
  <si>
    <t>G/2/4</t>
  </si>
  <si>
    <t>1st floor level to 2nd floor level</t>
  </si>
  <si>
    <t>G/2/5</t>
  </si>
  <si>
    <t xml:space="preserve"> 2nd floor level to 3rd floor level</t>
  </si>
  <si>
    <t>G/2/6</t>
  </si>
  <si>
    <t>3rd floor level to 4th floor level</t>
  </si>
  <si>
    <t>G/2/7</t>
  </si>
  <si>
    <t xml:space="preserve"> 4th floor level to 5th floor level</t>
  </si>
  <si>
    <t>G/2/8</t>
  </si>
  <si>
    <t xml:space="preserve"> 5th floor level to 6th floor level</t>
  </si>
  <si>
    <t>G/2/9</t>
  </si>
  <si>
    <t>6thfloor level to 7th floor level</t>
  </si>
  <si>
    <t>G/2/10</t>
  </si>
  <si>
    <t>7thfloor level to 8th floor level</t>
  </si>
  <si>
    <t>G/2/11</t>
  </si>
  <si>
    <t xml:space="preserve"> Above 8th floor level</t>
  </si>
  <si>
    <t>Pump room, Machine Room</t>
  </si>
  <si>
    <t>G/2/12</t>
  </si>
  <si>
    <t xml:space="preserve">Pump room on water sump at lower ground floor level </t>
  </si>
  <si>
    <t>G/2/13</t>
  </si>
  <si>
    <t>Machine Room on roof slab</t>
  </si>
  <si>
    <t>G/3</t>
  </si>
  <si>
    <t xml:space="preserve">112.5mm thick walls </t>
  </si>
  <si>
    <t>Rate shall include for provision of stiffener column, size, 100x112mm, with 2T- 10 R/F bars  and horizontal pad, size, 112x40mm,with 2R- 6 R/F bars to walls exceeding 2m in height and 3m in length (unless braced by another cross wall)</t>
  </si>
  <si>
    <t>G/3/1</t>
  </si>
  <si>
    <t xml:space="preserve">Lower ground floor  to ground floor level </t>
  </si>
  <si>
    <t>G/3/2</t>
  </si>
  <si>
    <t>Mezzanine floor</t>
  </si>
  <si>
    <t>G/3/3</t>
  </si>
  <si>
    <t>G/3/4</t>
  </si>
  <si>
    <t>G/3/5</t>
  </si>
  <si>
    <t>G/3/6</t>
  </si>
  <si>
    <t>G/3/7</t>
  </si>
  <si>
    <t>G/3/8</t>
  </si>
  <si>
    <t>G/3/9</t>
  </si>
  <si>
    <t>G/3/10</t>
  </si>
  <si>
    <t>G/3/11</t>
  </si>
  <si>
    <t>Rs</t>
  </si>
  <si>
    <t>H/-</t>
  </si>
  <si>
    <t>H/1</t>
  </si>
  <si>
    <r>
      <rPr>
        <sz val="10"/>
        <rFont val="Calibri"/>
        <charset val="134"/>
        <scheme val="minor"/>
      </rPr>
      <t xml:space="preserve">Provide </t>
    </r>
    <r>
      <rPr>
        <b/>
        <sz val="10"/>
        <rFont val="Calibri"/>
        <charset val="134"/>
        <scheme val="minor"/>
      </rPr>
      <t>vapor barrier comprising 500g polythene membrane</t>
    </r>
    <r>
      <rPr>
        <sz val="10"/>
        <rFont val="Calibri"/>
        <charset val="134"/>
        <scheme val="minor"/>
      </rPr>
      <t xml:space="preserve"> on top of compacted and prepared fill under floors. All joints shall be lapped at least 150mm and shall be included in to rate.</t>
    </r>
  </si>
  <si>
    <t>H/1/1</t>
  </si>
  <si>
    <t>In Lower G/F</t>
  </si>
  <si>
    <t>H/1/2</t>
  </si>
  <si>
    <t>In Lower G/F, retain wall</t>
  </si>
  <si>
    <t>H/1/3</t>
  </si>
  <si>
    <t>In G/F</t>
  </si>
  <si>
    <t>H/2</t>
  </si>
  <si>
    <r>
      <rPr>
        <sz val="10"/>
        <rFont val="Calibri"/>
        <charset val="134"/>
        <scheme val="minor"/>
      </rPr>
      <t xml:space="preserve">Water proofing in toilets / bathrooms floors &amp; walls up to 2.1m height with  </t>
    </r>
    <r>
      <rPr>
        <b/>
        <sz val="10"/>
        <rFont val="Calibri"/>
        <charset val="134"/>
        <scheme val="minor"/>
      </rPr>
      <t xml:space="preserve"> "Baralastic"</t>
    </r>
    <r>
      <rPr>
        <sz val="10"/>
        <rFont val="Calibri"/>
        <charset val="134"/>
        <scheme val="minor"/>
      </rPr>
      <t xml:space="preserve"> or equalent approved type waterproofing compound. All as per the  manufacture's specification &amp; to the Engineer's approval.</t>
    </r>
  </si>
  <si>
    <t>Screed for tiling will be protective screed for above water proofing..</t>
  </si>
  <si>
    <t>H/2/1</t>
  </si>
  <si>
    <t>in  Lower ground floor</t>
  </si>
  <si>
    <t>H/2/2</t>
  </si>
  <si>
    <t>in  Mezzanine floor</t>
  </si>
  <si>
    <t>H/2/3</t>
  </si>
  <si>
    <t>in  ground floor</t>
  </si>
  <si>
    <t>H/2/4</t>
  </si>
  <si>
    <t xml:space="preserve"> in  first floor</t>
  </si>
  <si>
    <t>H/2/5</t>
  </si>
  <si>
    <t>in 2 nd floor</t>
  </si>
  <si>
    <t>H/2/6</t>
  </si>
  <si>
    <t xml:space="preserve"> in  3 rd floor</t>
  </si>
  <si>
    <t>H/2/7</t>
  </si>
  <si>
    <t xml:space="preserve"> in  4 th floor</t>
  </si>
  <si>
    <t>H/2/8</t>
  </si>
  <si>
    <t xml:space="preserve"> in  5 th floor</t>
  </si>
  <si>
    <t>H/2/9</t>
  </si>
  <si>
    <t xml:space="preserve"> in  6 th floor</t>
  </si>
  <si>
    <t>H/2/10</t>
  </si>
  <si>
    <t xml:space="preserve"> in 7 th floor</t>
  </si>
  <si>
    <t>H/2/11</t>
  </si>
  <si>
    <t xml:space="preserve"> in 8 th floor</t>
  </si>
  <si>
    <t>H/2/12</t>
  </si>
  <si>
    <t>in Floor slab at Lower ground floor (Provisional Qty)</t>
  </si>
  <si>
    <t>H/2/13</t>
  </si>
  <si>
    <t>in retain wall at Lower ground floor  (Provisional Qty)</t>
  </si>
  <si>
    <t>H/3</t>
  </si>
  <si>
    <t xml:space="preserve"> WATER FROOFING AND THERMAL INSIULATION IN ROOF SLABS</t>
  </si>
  <si>
    <t>Refer Drawing : HB/ST/42/T</t>
  </si>
  <si>
    <t>All water proofing shall continue up to 200mm at adjoining walls/columns etc.</t>
  </si>
  <si>
    <t xml:space="preserve">Provide even surfaced sloping screed (Thickness varies from 125 to 40mm ) in Gr. 20 concrete on roof slab. Slope shall be kept  towards to rain water outlets. </t>
  </si>
  <si>
    <t>H/3/1</t>
  </si>
  <si>
    <t>In single story building at Lower G/F</t>
  </si>
  <si>
    <t>H/3/2</t>
  </si>
  <si>
    <t>In 1st floor slab level</t>
  </si>
  <si>
    <t>H/3/3</t>
  </si>
  <si>
    <t>In 2nd floor slab level</t>
  </si>
  <si>
    <t>H/3/4</t>
  </si>
  <si>
    <t>In 3rd floor slab level</t>
  </si>
  <si>
    <t>H/3/5</t>
  </si>
  <si>
    <t>In 6th floor slab level</t>
  </si>
  <si>
    <t>H/3/6</t>
  </si>
  <si>
    <t>In roof slab level</t>
  </si>
  <si>
    <t>H/3/7</t>
  </si>
  <si>
    <t xml:space="preserve">In machine room roof slab </t>
  </si>
  <si>
    <t>H/4</t>
  </si>
  <si>
    <r>
      <rPr>
        <sz val="10"/>
        <rFont val="Calibri"/>
        <charset val="134"/>
        <scheme val="minor"/>
      </rPr>
      <t>Water proofing with</t>
    </r>
    <r>
      <rPr>
        <b/>
        <sz val="10"/>
        <rFont val="Calibri"/>
        <charset val="134"/>
        <scheme val="minor"/>
      </rPr>
      <t xml:space="preserve"> "Radcon " </t>
    </r>
    <r>
      <rPr>
        <sz val="10"/>
        <rFont val="Calibri"/>
        <charset val="134"/>
        <scheme val="minor"/>
      </rPr>
      <t>or equalent type approved quality &amp; manufacture in roof terrace,  &amp; balcony . Rate shall include for relevant arrangement to proper connection with rain water drainage outlets and filling with mastic sealant where necessary .</t>
    </r>
  </si>
  <si>
    <t>H/4/1</t>
  </si>
  <si>
    <t>H/4/2</t>
  </si>
  <si>
    <t>H/4/3</t>
  </si>
  <si>
    <t>H/4/4</t>
  </si>
  <si>
    <t>H/4/5</t>
  </si>
  <si>
    <t>H/4/6</t>
  </si>
  <si>
    <t>H/4/7</t>
  </si>
  <si>
    <t>H/5</t>
  </si>
  <si>
    <r>
      <rPr>
        <sz val="10"/>
        <rFont val="Calibri"/>
        <charset val="134"/>
        <scheme val="minor"/>
      </rPr>
      <t xml:space="preserve">Provide </t>
    </r>
    <r>
      <rPr>
        <b/>
        <sz val="10"/>
        <rFont val="Calibri"/>
        <charset val="134"/>
        <scheme val="minor"/>
      </rPr>
      <t>Thermal insulation</t>
    </r>
    <r>
      <rPr>
        <sz val="10"/>
        <rFont val="Calibri"/>
        <charset val="134"/>
        <scheme val="minor"/>
      </rPr>
      <t>, 50mm thick extruded polystyrene insulation board (isobond or equivalent board)as per manufacture's specification, separation layer (500 gauge polythene) and protective screed  (40mm thk. Gr.20 Concrete, r/forced with 50x50m wire mesh) comprising with  expansion joint at 3 m interval ( 10x25mm grove filled with asphalt )  Rate shall include for relevant arrangement or proper connection to rain water drainage outlets and filling with mastic sealant where necessary .</t>
    </r>
  </si>
  <si>
    <t>H/5/1</t>
  </si>
  <si>
    <t>H/5/2</t>
  </si>
  <si>
    <t>H/5/3</t>
  </si>
  <si>
    <t>H/5/4</t>
  </si>
  <si>
    <t>H/5/5</t>
  </si>
  <si>
    <t>H/5/6</t>
  </si>
  <si>
    <t>H/5/7</t>
  </si>
  <si>
    <t>H/6</t>
  </si>
  <si>
    <r>
      <rPr>
        <sz val="10"/>
        <rFont val="Calibri"/>
        <charset val="134"/>
        <scheme val="minor"/>
      </rPr>
      <t xml:space="preserve">Providing Water proofing </t>
    </r>
    <r>
      <rPr>
        <b/>
        <sz val="10"/>
        <rFont val="Calibri"/>
        <charset val="134"/>
        <scheme val="minor"/>
      </rPr>
      <t xml:space="preserve">  "Xypex" </t>
    </r>
    <r>
      <rPr>
        <sz val="10"/>
        <rFont val="Calibri"/>
        <charset val="134"/>
        <scheme val="minor"/>
      </rPr>
      <t>or equalent approved type waterproofing compound. All as per the  manufacture's specification &amp; to the Engineer's approval.</t>
    </r>
  </si>
  <si>
    <t>H/6/1</t>
  </si>
  <si>
    <t>in  water sump base</t>
  </si>
  <si>
    <t>H/6/2</t>
  </si>
  <si>
    <t>in  water sump wall</t>
  </si>
  <si>
    <t>H/6/3</t>
  </si>
  <si>
    <t xml:space="preserve"> Providing sloping screed to base slab  with maintaining of slope, 1:200 towards collecting pit (75mm maximum thick in Gr.20 Concrete)</t>
  </si>
  <si>
    <t>H/7</t>
  </si>
  <si>
    <r>
      <rPr>
        <sz val="10"/>
        <rFont val="Calibri"/>
        <charset val="134"/>
        <scheme val="minor"/>
      </rPr>
      <t xml:space="preserve">Provide </t>
    </r>
    <r>
      <rPr>
        <b/>
        <sz val="10"/>
        <rFont val="Calibri"/>
        <charset val="134"/>
        <scheme val="minor"/>
      </rPr>
      <t>Damp Proof Course</t>
    </r>
    <r>
      <rPr>
        <sz val="10"/>
        <rFont val="Calibri"/>
        <charset val="134"/>
        <scheme val="minor"/>
      </rPr>
      <t xml:space="preserve"> on top of RR masonry foundations comprising 18mm thick screed in cement and sand 1:3 with two applications of penetration asphalt laid hot/DPC tar and blinding sand . Provisional quantity)</t>
    </r>
  </si>
  <si>
    <t>Rs.</t>
  </si>
  <si>
    <t>Note:</t>
  </si>
  <si>
    <r>
      <rPr>
        <sz val="10"/>
        <rFont val="Calibri"/>
        <charset val="134"/>
        <scheme val="minor"/>
      </rPr>
      <t xml:space="preserve">1) All doors, windows &amp; partitions items described hereunder shall be fabricated in </t>
    </r>
    <r>
      <rPr>
        <b/>
        <sz val="10"/>
        <rFont val="Calibri"/>
        <charset val="134"/>
        <scheme val="minor"/>
      </rPr>
      <t>matt finished</t>
    </r>
    <r>
      <rPr>
        <sz val="10"/>
        <rFont val="Calibri"/>
        <charset val="134"/>
        <scheme val="minor"/>
      </rPr>
      <t xml:space="preserve"> anodized Aluminium (avarage coating thickness, 15 micrones + or - 2micrones) extrusions conforming in all respects to the specification and detail drawings.</t>
    </r>
  </si>
  <si>
    <t>2) Each door and window sash shall be fitted with the accessories indicated in the specification/ schedule/BOQ and no extra payment what so ever will be made for any standard fittings and accessories even if such are not incorporated in the specification, schedule and detail drawings.</t>
  </si>
  <si>
    <t>3) The items described hereinafter indicate only the types and sizes of the doors and windows together with a very brief description thereof. Particulars should be obtained by reference to the specification, schedule and detail drawings.</t>
  </si>
  <si>
    <t>4) Glazing for all windows and fanlights shall be 5mm thick tinted float glass and for doors shall be 5mm thick clear float glass. Paneling shall consist of 3mm thick powder coated aluminum sheeting or 3mm thick laminated sheets as specified.</t>
  </si>
  <si>
    <t>5) Sample for door/ window sash and all accessories with shop drawing to be approved by the Engineer</t>
  </si>
  <si>
    <t>6) Indication for major materials to be used as follows</t>
  </si>
  <si>
    <t>Aluminum - Lanka Aluminum Sating Finished (15 Mc ) or Equivalent</t>
  </si>
  <si>
    <t>Gaskets - Sunplast gasket or Equivalent</t>
  </si>
  <si>
    <t>Silicone - last gasket or Equivalent</t>
  </si>
  <si>
    <t>Screws - Stainless steel</t>
  </si>
  <si>
    <t>Door lock - Alfa or Equivalent</t>
  </si>
  <si>
    <t>Friction Stayers - Stainless steel CDM or Equivalent</t>
  </si>
  <si>
    <t>Butt Hinges - 4''x3'' Stainless steel</t>
  </si>
  <si>
    <t>DOORS AND WINDOWS</t>
  </si>
  <si>
    <t>Furnish, fabricate and install  aluminum frame glazed windows of the types and overall sizes specified hereinafter in conformity with the specification, schedule and detail mentioned in the drawings</t>
  </si>
  <si>
    <t>WINDOWS</t>
  </si>
  <si>
    <t>Refer Dwg. No: HB/AR/21/T</t>
  </si>
  <si>
    <t>K/1</t>
  </si>
  <si>
    <t xml:space="preserve">Aluminum Window,   comprising with sash (Aluminum frame, 5mm thick glass (G) and Al. louvers (L)) and  aluminum frame shall be as per the drawing. Rate shall include for hinges, casement fasting and casement staying arrangement. </t>
  </si>
  <si>
    <t>K/1/1</t>
  </si>
  <si>
    <t xml:space="preserve">Window type W1 overall size 6400mm x 2800mm, </t>
  </si>
  <si>
    <t>K/1/1/1</t>
  </si>
  <si>
    <t>Nos.</t>
  </si>
  <si>
    <t>K/1/1/2</t>
  </si>
  <si>
    <t>K/1/1/3</t>
  </si>
  <si>
    <t>K/1/1/4</t>
  </si>
  <si>
    <t xml:space="preserve"> in  7 th floor</t>
  </si>
  <si>
    <t>K/1/1/5</t>
  </si>
  <si>
    <t xml:space="preserve"> in  8 th floor</t>
  </si>
  <si>
    <t>K/1/2</t>
  </si>
  <si>
    <t xml:space="preserve">Window type W2 overall size 6400mm x 1750mm </t>
  </si>
  <si>
    <t>K/1/2/1</t>
  </si>
  <si>
    <t xml:space="preserve"> in  L/G/ floor</t>
  </si>
  <si>
    <t>K/1/2/2</t>
  </si>
  <si>
    <t xml:space="preserve"> in G/ floor</t>
  </si>
  <si>
    <t>K/1/2/3</t>
  </si>
  <si>
    <t xml:space="preserve"> in 1st floor</t>
  </si>
  <si>
    <t>K/1/2/4</t>
  </si>
  <si>
    <t xml:space="preserve"> in 2nd floor</t>
  </si>
  <si>
    <t>K/1/2/5</t>
  </si>
  <si>
    <t xml:space="preserve"> in 3rd floor</t>
  </si>
  <si>
    <t>K/1/2/6</t>
  </si>
  <si>
    <t xml:space="preserve"> in 4th floor</t>
  </si>
  <si>
    <t>K/1/2/7</t>
  </si>
  <si>
    <t xml:space="preserve"> in 5th floor</t>
  </si>
  <si>
    <t>K/1/2/8</t>
  </si>
  <si>
    <t xml:space="preserve"> in 6th floor</t>
  </si>
  <si>
    <t>K/1/2/9</t>
  </si>
  <si>
    <t xml:space="preserve"> in 7th floor</t>
  </si>
  <si>
    <t>K/1/2/10</t>
  </si>
  <si>
    <t xml:space="preserve"> in 8th floor</t>
  </si>
  <si>
    <t>K/1/3</t>
  </si>
  <si>
    <t xml:space="preserve">Window type W3 overall size 5400mm x 1750mm </t>
  </si>
  <si>
    <t>K/1/3/1</t>
  </si>
  <si>
    <t>K/1/3/2</t>
  </si>
  <si>
    <t>K/1/3/3</t>
  </si>
  <si>
    <t>K/1/3/4</t>
  </si>
  <si>
    <t>K/1/3/5</t>
  </si>
  <si>
    <t>K/1/3/6</t>
  </si>
  <si>
    <t>K/1/3/7</t>
  </si>
  <si>
    <t>K/1/3/8</t>
  </si>
  <si>
    <t>K/1/3/9</t>
  </si>
  <si>
    <t>K/1/3/10</t>
  </si>
  <si>
    <t>K/1/4</t>
  </si>
  <si>
    <t xml:space="preserve">Window type W4 overall size 3200mm x 1750mm </t>
  </si>
  <si>
    <t>K/1/4/1</t>
  </si>
  <si>
    <t>K/1/4/2</t>
  </si>
  <si>
    <t>K/1/4/3</t>
  </si>
  <si>
    <t>K/1/4/4</t>
  </si>
  <si>
    <t>K/1/4/5</t>
  </si>
  <si>
    <t>K/1/4/6</t>
  </si>
  <si>
    <t>K/1/4/7</t>
  </si>
  <si>
    <t>K/1/4/8</t>
  </si>
  <si>
    <t>K/1/4/9</t>
  </si>
  <si>
    <t>K/1/5</t>
  </si>
  <si>
    <t xml:space="preserve">Window type W5 overall size 2000mm x 1750mm </t>
  </si>
  <si>
    <t>K/1/5/1</t>
  </si>
  <si>
    <t>K/1/5/2</t>
  </si>
  <si>
    <t>K/1/5/3</t>
  </si>
  <si>
    <t>K/1/5/4</t>
  </si>
  <si>
    <t>K/1/5/5</t>
  </si>
  <si>
    <t>K/1/5/6</t>
  </si>
  <si>
    <t>K/1/5/7</t>
  </si>
  <si>
    <t>K/1/5/8</t>
  </si>
  <si>
    <t>K/1/5/9</t>
  </si>
  <si>
    <t>K/1/6</t>
  </si>
  <si>
    <t xml:space="preserve">Window type W6 overall size 1000mm x 1750mm </t>
  </si>
  <si>
    <t>K/1/6/1</t>
  </si>
  <si>
    <t>K/1/6/2</t>
  </si>
  <si>
    <t>K/1/6/3</t>
  </si>
  <si>
    <t>K/1/6/4</t>
  </si>
  <si>
    <t>K/1/6/5</t>
  </si>
  <si>
    <t>K/1/6/6</t>
  </si>
  <si>
    <t>K/1/6/7</t>
  </si>
  <si>
    <t>K/1/6/8</t>
  </si>
  <si>
    <t>K/1/6/9</t>
  </si>
  <si>
    <t>K/1/7</t>
  </si>
  <si>
    <t xml:space="preserve">Window type W7 overall size 1000mm x 1000mm </t>
  </si>
  <si>
    <t>K/1/7/1</t>
  </si>
  <si>
    <t>K/1/7/2</t>
  </si>
  <si>
    <t>K/1/7/3</t>
  </si>
  <si>
    <t>K/1/7/4</t>
  </si>
  <si>
    <t>K/1/7/5</t>
  </si>
  <si>
    <t>K/1/7/6</t>
  </si>
  <si>
    <t>K/1/7/7</t>
  </si>
  <si>
    <t>K/1/7/8</t>
  </si>
  <si>
    <t>K/1/7/9</t>
  </si>
  <si>
    <t>K/1/7/10</t>
  </si>
  <si>
    <t>K/1/8</t>
  </si>
  <si>
    <t xml:space="preserve">Window type W8 overall size 6400mm x 1000mm </t>
  </si>
  <si>
    <t>K/1/8/1</t>
  </si>
  <si>
    <t>K/1/9</t>
  </si>
  <si>
    <t xml:space="preserve">Window type W9 overall size 6400mm x 2500mm </t>
  </si>
  <si>
    <t>K/1/9/1</t>
  </si>
  <si>
    <t>K/1/10</t>
  </si>
  <si>
    <t xml:space="preserve">Window type W10 overall size 6400mm x 1500mm </t>
  </si>
  <si>
    <t>K/1/10/1</t>
  </si>
  <si>
    <t>K/1/10/2</t>
  </si>
  <si>
    <t>K/1/10/3</t>
  </si>
  <si>
    <t>K/1/10/4</t>
  </si>
  <si>
    <t>K/1/10/5</t>
  </si>
  <si>
    <t>K/1/10/6</t>
  </si>
  <si>
    <t>K/1/10/7</t>
  </si>
  <si>
    <t>K/1/10/8</t>
  </si>
  <si>
    <t>K/1/11</t>
  </si>
  <si>
    <t xml:space="preserve">Window type W11 overall size 6400mm x 1000mm </t>
  </si>
  <si>
    <t>K/1/11/1</t>
  </si>
  <si>
    <t>K/1/11/2</t>
  </si>
  <si>
    <t xml:space="preserve"> in  Mezz. floor</t>
  </si>
  <si>
    <t>K/1/11/3</t>
  </si>
  <si>
    <t>K/1/11/4</t>
  </si>
  <si>
    <t>K/1/11/5</t>
  </si>
  <si>
    <t>K/1/11/6</t>
  </si>
  <si>
    <t>K/1/11/7</t>
  </si>
  <si>
    <t>K/1/11/8</t>
  </si>
  <si>
    <t>K/1/11/9</t>
  </si>
  <si>
    <t>K/1/11/10</t>
  </si>
  <si>
    <t xml:space="preserve"> DOORS</t>
  </si>
  <si>
    <t>K/2</t>
  </si>
  <si>
    <t xml:space="preserve">TOUGHEN GLASS PARTITIONS WITH DOORS </t>
  </si>
  <si>
    <t>Refer Dwg. No: HB/AR/52/T to 59/T</t>
  </si>
  <si>
    <t xml:space="preserve">Frame less toughen glass (12mm thick) doors/ Partition shall be  as per the drawing. Rate shall include for hinges, brackets, handle, door stop, locking arrangement and any other accessories to completion and working order . </t>
  </si>
  <si>
    <t>K/2/1</t>
  </si>
  <si>
    <r>
      <rPr>
        <b/>
        <sz val="10"/>
        <rFont val="Calibri"/>
        <charset val="134"/>
        <scheme val="minor"/>
      </rPr>
      <t>Partition type,  P16</t>
    </r>
    <r>
      <rPr>
        <sz val="10"/>
        <rFont val="Calibri"/>
        <charset val="134"/>
        <scheme val="minor"/>
      </rPr>
      <t xml:space="preserve"> overall size 6400mm x 3900mm , comprising with partition and auto mated sliding door (D1)</t>
    </r>
  </si>
  <si>
    <t>K/2/1/1</t>
  </si>
  <si>
    <t>K/2/2</t>
  </si>
  <si>
    <r>
      <rPr>
        <b/>
        <sz val="10"/>
        <rFont val="Calibri"/>
        <charset val="134"/>
        <scheme val="minor"/>
      </rPr>
      <t>Partition type, P-18</t>
    </r>
    <r>
      <rPr>
        <sz val="10"/>
        <rFont val="Calibri"/>
        <charset val="134"/>
        <scheme val="minor"/>
      </rPr>
      <t xml:space="preserve"> overall size 6287mm x 3400mm , comprising with partition and 2 Nos: of double sashed swing doors (FD1)</t>
    </r>
  </si>
  <si>
    <t>K/2/2/1</t>
  </si>
  <si>
    <t>K/2/2/2</t>
  </si>
  <si>
    <t>K/2/2/3</t>
  </si>
  <si>
    <t>K/2/2/4</t>
  </si>
  <si>
    <t>K/2/2/5</t>
  </si>
  <si>
    <t>K/2/2/6</t>
  </si>
  <si>
    <t>K/2/3</t>
  </si>
  <si>
    <r>
      <rPr>
        <b/>
        <sz val="10"/>
        <rFont val="Calibri"/>
        <charset val="134"/>
        <scheme val="minor"/>
      </rPr>
      <t>Partition type, P-19</t>
    </r>
    <r>
      <rPr>
        <sz val="10"/>
        <rFont val="Calibri"/>
        <charset val="134"/>
        <scheme val="minor"/>
      </rPr>
      <t xml:space="preserve"> overall size 3310mm x 3400mm , comprising with partition and 1 No: double sashed swing door ( FD1)</t>
    </r>
  </si>
  <si>
    <t>K/2/3/1</t>
  </si>
  <si>
    <t>K/2/3/2</t>
  </si>
  <si>
    <t>K/2/3/3</t>
  </si>
  <si>
    <t>K/2/3/4</t>
  </si>
  <si>
    <t>K/2/3/5</t>
  </si>
  <si>
    <t>K/2/3/6</t>
  </si>
  <si>
    <t>K/2/3/7</t>
  </si>
  <si>
    <t>K/2/3/8</t>
  </si>
  <si>
    <r>
      <rPr>
        <b/>
        <sz val="10"/>
        <rFont val="Calibri"/>
        <charset val="134"/>
        <scheme val="minor"/>
      </rPr>
      <t xml:space="preserve">Partition type, </t>
    </r>
    <r>
      <rPr>
        <b/>
        <sz val="10"/>
        <color indexed="10"/>
        <rFont val="Calibri"/>
        <charset val="134"/>
        <scheme val="minor"/>
      </rPr>
      <t>P-17</t>
    </r>
    <r>
      <rPr>
        <sz val="10"/>
        <rFont val="Calibri"/>
        <charset val="134"/>
        <scheme val="minor"/>
      </rPr>
      <t xml:space="preserve"> overall size 6287mm x 3900mm , comprising with partition only</t>
    </r>
  </si>
  <si>
    <t>K/3</t>
  </si>
  <si>
    <t xml:space="preserve"> PARTITIONS WITH DOORS</t>
  </si>
  <si>
    <t xml:space="preserve"> Partition comprise wirh Al. frame, Al. Composit panel, 5mm thick clear glass, sand blast effect film and door (type- ) shall be  as per the drawing. Rate shall include for hinges, brackets, handle, door stop, locking arrangement and any other accessories to completion and working order . </t>
  </si>
  <si>
    <t>K/3/1</t>
  </si>
  <si>
    <r>
      <rPr>
        <b/>
        <sz val="10"/>
        <rFont val="Calibri"/>
        <charset val="134"/>
        <scheme val="minor"/>
      </rPr>
      <t>Partition type, P-1</t>
    </r>
    <r>
      <rPr>
        <sz val="10"/>
        <rFont val="Calibri"/>
        <charset val="134"/>
        <scheme val="minor"/>
      </rPr>
      <t xml:space="preserve"> overall size 6225mm x 3600mm , comprising with 2 no.door type, D6'</t>
    </r>
  </si>
  <si>
    <t>K/3/1/1</t>
  </si>
  <si>
    <t>K/3/1/2</t>
  </si>
  <si>
    <t>K/3/1/3</t>
  </si>
  <si>
    <t>K/3/1/4</t>
  </si>
  <si>
    <t>K/3/1/5</t>
  </si>
  <si>
    <t>K/3/1/6</t>
  </si>
  <si>
    <t>K/3/1/7</t>
  </si>
  <si>
    <t>K/3/1/8</t>
  </si>
  <si>
    <t>K/3/1/9</t>
  </si>
  <si>
    <t>K/3/2</t>
  </si>
  <si>
    <r>
      <rPr>
        <b/>
        <sz val="10"/>
        <rFont val="Calibri"/>
        <charset val="134"/>
        <scheme val="minor"/>
      </rPr>
      <t>Partition type, P-2,</t>
    </r>
    <r>
      <rPr>
        <sz val="10"/>
        <rFont val="Calibri"/>
        <charset val="134"/>
        <scheme val="minor"/>
      </rPr>
      <t xml:space="preserve"> overall size 6885mm x 2500mm , comprising with 2 no.door type, D8'</t>
    </r>
  </si>
  <si>
    <t>K/3/2/1</t>
  </si>
  <si>
    <t>K/3/2/2</t>
  </si>
  <si>
    <t>K/3/3</t>
  </si>
  <si>
    <r>
      <rPr>
        <b/>
        <sz val="10"/>
        <rFont val="Calibri"/>
        <charset val="134"/>
        <scheme val="minor"/>
      </rPr>
      <t>Partition type, P-3,</t>
    </r>
    <r>
      <rPr>
        <sz val="10"/>
        <rFont val="Calibri"/>
        <charset val="134"/>
        <scheme val="minor"/>
      </rPr>
      <t xml:space="preserve"> overall size 19485mm x 2500mm , comprising with 1 no. of door type, D8' &amp;  1 no. of door type, D10'</t>
    </r>
  </si>
  <si>
    <t>K/3/3/1</t>
  </si>
  <si>
    <t>K/3/4</t>
  </si>
  <si>
    <r>
      <rPr>
        <b/>
        <sz val="10"/>
        <rFont val="Calibri"/>
        <charset val="134"/>
        <scheme val="minor"/>
      </rPr>
      <t>Partition type, P-4,</t>
    </r>
    <r>
      <rPr>
        <sz val="10"/>
        <rFont val="Calibri"/>
        <charset val="134"/>
        <scheme val="minor"/>
      </rPr>
      <t xml:space="preserve"> overall size 5510mm x 2500mm , comprising with 1 no. of door type, D8' </t>
    </r>
  </si>
  <si>
    <t>K/3/4/1</t>
  </si>
  <si>
    <t>K/3/5</t>
  </si>
  <si>
    <r>
      <rPr>
        <b/>
        <sz val="10"/>
        <rFont val="Calibri"/>
        <charset val="134"/>
        <scheme val="minor"/>
      </rPr>
      <t xml:space="preserve">Partition type, P-5, </t>
    </r>
    <r>
      <rPr>
        <sz val="10"/>
        <rFont val="Calibri"/>
        <charset val="134"/>
        <scheme val="minor"/>
      </rPr>
      <t xml:space="preserve"> overall size 8825mm x 2500mm , </t>
    </r>
  </si>
  <si>
    <t>K/3/5/1</t>
  </si>
  <si>
    <t>K/3/6</t>
  </si>
  <si>
    <r>
      <rPr>
        <b/>
        <sz val="10"/>
        <rFont val="Calibri"/>
        <charset val="134"/>
        <scheme val="minor"/>
      </rPr>
      <t xml:space="preserve">Partition type, P-6, </t>
    </r>
    <r>
      <rPr>
        <sz val="10"/>
        <rFont val="Calibri"/>
        <charset val="134"/>
        <scheme val="minor"/>
      </rPr>
      <t xml:space="preserve"> overall size 3775mm x 2500mm , </t>
    </r>
  </si>
  <si>
    <t>K/3/6/1</t>
  </si>
  <si>
    <t>K/3/7</t>
  </si>
  <si>
    <r>
      <rPr>
        <b/>
        <sz val="10"/>
        <rFont val="Calibri"/>
        <charset val="134"/>
        <scheme val="minor"/>
      </rPr>
      <t xml:space="preserve">Partition type, P-7, </t>
    </r>
    <r>
      <rPr>
        <sz val="10"/>
        <rFont val="Calibri"/>
        <charset val="134"/>
        <scheme val="minor"/>
      </rPr>
      <t xml:space="preserve"> overall size 6000mm x 2500mm , comprising with 2 no.door type, D8'</t>
    </r>
  </si>
  <si>
    <t>K/3/7/1</t>
  </si>
  <si>
    <t>K/3/8</t>
  </si>
  <si>
    <r>
      <rPr>
        <b/>
        <sz val="10"/>
        <rFont val="Calibri"/>
        <charset val="134"/>
        <scheme val="minor"/>
      </rPr>
      <t>Partition type, P-8,</t>
    </r>
    <r>
      <rPr>
        <sz val="10"/>
        <rFont val="Calibri"/>
        <charset val="134"/>
        <scheme val="minor"/>
      </rPr>
      <t xml:space="preserve"> overall size 3035mm x 2500mm , </t>
    </r>
  </si>
  <si>
    <t>K/3/8/1</t>
  </si>
  <si>
    <t>K/3/9</t>
  </si>
  <si>
    <r>
      <rPr>
        <b/>
        <sz val="10"/>
        <rFont val="Calibri"/>
        <charset val="134"/>
        <scheme val="minor"/>
      </rPr>
      <t xml:space="preserve">Partition type, P-9, </t>
    </r>
    <r>
      <rPr>
        <sz val="10"/>
        <rFont val="Calibri"/>
        <charset val="134"/>
        <scheme val="minor"/>
      </rPr>
      <t xml:space="preserve"> overall size 3300mm x 2500mm , </t>
    </r>
  </si>
  <si>
    <t>K/3/9/1</t>
  </si>
  <si>
    <t>K/3/10</t>
  </si>
  <si>
    <r>
      <rPr>
        <b/>
        <sz val="10"/>
        <rFont val="Calibri"/>
        <charset val="134"/>
        <scheme val="minor"/>
      </rPr>
      <t xml:space="preserve">Partition type, P-10, </t>
    </r>
    <r>
      <rPr>
        <sz val="10"/>
        <rFont val="Calibri"/>
        <charset val="134"/>
        <scheme val="minor"/>
      </rPr>
      <t xml:space="preserve"> overall size 5510mm x 2500mm , comprising with 5 no. of door type, D8' </t>
    </r>
  </si>
  <si>
    <t>K/3/10/1</t>
  </si>
  <si>
    <t>K/3/11</t>
  </si>
  <si>
    <r>
      <rPr>
        <b/>
        <sz val="10"/>
        <rFont val="Calibri"/>
        <charset val="134"/>
        <scheme val="minor"/>
      </rPr>
      <t>Partition type, P-11,</t>
    </r>
    <r>
      <rPr>
        <sz val="10"/>
        <rFont val="Calibri"/>
        <charset val="134"/>
        <scheme val="minor"/>
      </rPr>
      <t xml:space="preserve"> overall size 4775mm x 2500mm , </t>
    </r>
  </si>
  <si>
    <t>K/3/11/1</t>
  </si>
  <si>
    <t>K/3/12</t>
  </si>
  <si>
    <r>
      <rPr>
        <b/>
        <sz val="10"/>
        <rFont val="Calibri"/>
        <charset val="134"/>
        <scheme val="minor"/>
      </rPr>
      <t>Partition type, P-12,</t>
    </r>
    <r>
      <rPr>
        <sz val="10"/>
        <rFont val="Calibri"/>
        <charset val="134"/>
        <scheme val="minor"/>
      </rPr>
      <t xml:space="preserve"> overall size 6210mm x 2500mm , </t>
    </r>
  </si>
  <si>
    <t>K/3/12/1</t>
  </si>
  <si>
    <t>K/3/13</t>
  </si>
  <si>
    <r>
      <rPr>
        <b/>
        <sz val="10"/>
        <rFont val="Calibri"/>
        <charset val="134"/>
        <scheme val="minor"/>
      </rPr>
      <t>Partition type, P-13,</t>
    </r>
    <r>
      <rPr>
        <sz val="10"/>
        <rFont val="Calibri"/>
        <charset val="134"/>
        <scheme val="minor"/>
      </rPr>
      <t xml:space="preserve"> overall size 7235mm x 2500mm , (600mm RCC column in middle)</t>
    </r>
  </si>
  <si>
    <t>K/3/13/1</t>
  </si>
  <si>
    <t>K/3/14</t>
  </si>
  <si>
    <r>
      <rPr>
        <b/>
        <sz val="10"/>
        <rFont val="Calibri"/>
        <charset val="134"/>
        <scheme val="minor"/>
      </rPr>
      <t>Partition type, P-14,</t>
    </r>
    <r>
      <rPr>
        <sz val="10"/>
        <rFont val="Calibri"/>
        <charset val="134"/>
        <scheme val="minor"/>
      </rPr>
      <t xml:space="preserve"> overall size 7235mm x 2500mm , </t>
    </r>
  </si>
  <si>
    <t>K/3/14/1</t>
  </si>
  <si>
    <t>K/3/15</t>
  </si>
  <si>
    <r>
      <rPr>
        <b/>
        <sz val="10"/>
        <rFont val="Calibri"/>
        <charset val="134"/>
        <scheme val="minor"/>
      </rPr>
      <t>Partition type, P-15,</t>
    </r>
    <r>
      <rPr>
        <sz val="10"/>
        <rFont val="Calibri"/>
        <charset val="134"/>
        <scheme val="minor"/>
      </rPr>
      <t xml:space="preserve"> overall size 6400mm x 2500mm , </t>
    </r>
  </si>
  <si>
    <t>K/3/15/1</t>
  </si>
  <si>
    <t>K/3/16</t>
  </si>
  <si>
    <r>
      <rPr>
        <b/>
        <sz val="10"/>
        <rFont val="Calibri"/>
        <charset val="134"/>
        <scheme val="minor"/>
      </rPr>
      <t>Partition type, P-20,</t>
    </r>
    <r>
      <rPr>
        <sz val="10"/>
        <rFont val="Calibri"/>
        <charset val="134"/>
        <scheme val="minor"/>
      </rPr>
      <t xml:space="preserve"> overall size 17400mm x 2500mm ,  (2/600mm RCC column in middle), comprising with 1 no. of door type, D8'</t>
    </r>
  </si>
  <si>
    <t>K/3/16/1</t>
  </si>
  <si>
    <t>in G/ floor</t>
  </si>
  <si>
    <t>K/3/17</t>
  </si>
  <si>
    <r>
      <rPr>
        <b/>
        <sz val="10"/>
        <rFont val="Calibri"/>
        <charset val="134"/>
        <scheme val="minor"/>
      </rPr>
      <t>Partition type, P-21,</t>
    </r>
    <r>
      <rPr>
        <sz val="10"/>
        <rFont val="Calibri"/>
        <charset val="134"/>
        <scheme val="minor"/>
      </rPr>
      <t xml:space="preserve"> overall size 18400mm x 2500mm , comprising with 3 no. of door type, D8'</t>
    </r>
  </si>
  <si>
    <t>K/3/17/1</t>
  </si>
  <si>
    <t>K/3/18</t>
  </si>
  <si>
    <r>
      <rPr>
        <b/>
        <sz val="10"/>
        <rFont val="Calibri"/>
        <charset val="134"/>
        <scheme val="minor"/>
      </rPr>
      <t>Partition type, P-22,</t>
    </r>
    <r>
      <rPr>
        <sz val="10"/>
        <rFont val="Calibri"/>
        <charset val="134"/>
        <scheme val="minor"/>
      </rPr>
      <t xml:space="preserve"> overall size 7000mm x 2500mm , </t>
    </r>
  </si>
  <si>
    <t>K/3/18/1</t>
  </si>
  <si>
    <t>K/3/19</t>
  </si>
  <si>
    <r>
      <rPr>
        <b/>
        <sz val="10"/>
        <rFont val="Calibri"/>
        <charset val="134"/>
        <scheme val="minor"/>
      </rPr>
      <t>Partition type, P-23,</t>
    </r>
    <r>
      <rPr>
        <sz val="10"/>
        <rFont val="Calibri"/>
        <charset val="134"/>
        <scheme val="minor"/>
      </rPr>
      <t xml:space="preserve"> overall size 3830mm x 2500mm , </t>
    </r>
  </si>
  <si>
    <t>K/3/19/1</t>
  </si>
  <si>
    <t>K/3/20</t>
  </si>
  <si>
    <r>
      <rPr>
        <b/>
        <sz val="10"/>
        <rFont val="Calibri"/>
        <charset val="134"/>
        <scheme val="minor"/>
      </rPr>
      <t>Partition type, P-24,</t>
    </r>
    <r>
      <rPr>
        <sz val="10"/>
        <rFont val="Calibri"/>
        <charset val="134"/>
        <scheme val="minor"/>
      </rPr>
      <t xml:space="preserve"> overall size 2570mm x 2500mm , comprising with 1 no. of door type, D8'</t>
    </r>
  </si>
  <si>
    <t>K/3/20/1</t>
  </si>
  <si>
    <t>K/3/21</t>
  </si>
  <si>
    <r>
      <rPr>
        <b/>
        <sz val="10"/>
        <rFont val="Calibri"/>
        <charset val="134"/>
        <scheme val="minor"/>
      </rPr>
      <t>Partition type, P-25,</t>
    </r>
    <r>
      <rPr>
        <sz val="10"/>
        <rFont val="Calibri"/>
        <charset val="134"/>
        <scheme val="minor"/>
      </rPr>
      <t xml:space="preserve"> overall size 6375mm x 2500mm , </t>
    </r>
  </si>
  <si>
    <t>K/3/21/1</t>
  </si>
  <si>
    <t>K/3/22</t>
  </si>
  <si>
    <r>
      <rPr>
        <b/>
        <sz val="10"/>
        <rFont val="Calibri"/>
        <charset val="134"/>
        <scheme val="minor"/>
      </rPr>
      <t>Partition type, P-26,</t>
    </r>
    <r>
      <rPr>
        <sz val="10"/>
        <rFont val="Calibri"/>
        <charset val="134"/>
        <scheme val="minor"/>
      </rPr>
      <t xml:space="preserve"> overall size 5775mm x 2500mm , comprising with 1 no. of door type, D8'</t>
    </r>
  </si>
  <si>
    <t>K/3/22/1</t>
  </si>
  <si>
    <t>K/3/23</t>
  </si>
  <si>
    <r>
      <rPr>
        <b/>
        <sz val="10"/>
        <rFont val="Calibri"/>
        <charset val="134"/>
        <scheme val="minor"/>
      </rPr>
      <t>Partition type, P-27,</t>
    </r>
    <r>
      <rPr>
        <sz val="10"/>
        <rFont val="Calibri"/>
        <charset val="134"/>
        <scheme val="minor"/>
      </rPr>
      <t xml:space="preserve"> overall size 3310mm x 2500mm , </t>
    </r>
  </si>
  <si>
    <t>K/3/23/1</t>
  </si>
  <si>
    <t>K/3/24</t>
  </si>
  <si>
    <r>
      <rPr>
        <b/>
        <sz val="10"/>
        <rFont val="Calibri"/>
        <charset val="134"/>
        <scheme val="minor"/>
      </rPr>
      <t>Partition type, P-28,</t>
    </r>
    <r>
      <rPr>
        <sz val="10"/>
        <rFont val="Calibri"/>
        <charset val="134"/>
        <scheme val="minor"/>
      </rPr>
      <t xml:space="preserve"> overall size 4120mm x 2500mm , </t>
    </r>
  </si>
  <si>
    <t>K/3/24/1</t>
  </si>
  <si>
    <t>K/3/25</t>
  </si>
  <si>
    <r>
      <rPr>
        <b/>
        <sz val="10"/>
        <rFont val="Calibri"/>
        <charset val="134"/>
        <scheme val="minor"/>
      </rPr>
      <t xml:space="preserve">Partition type, P-29, </t>
    </r>
    <r>
      <rPr>
        <sz val="10"/>
        <rFont val="Calibri"/>
        <charset val="134"/>
        <scheme val="minor"/>
      </rPr>
      <t xml:space="preserve"> overall size 3650mm x 2500mm , comprising with 1 no. of door type, D8'</t>
    </r>
  </si>
  <si>
    <t>K/3/25/1</t>
  </si>
  <si>
    <t>K/4</t>
  </si>
  <si>
    <t xml:space="preserve">FIRE RATED TIMBER DOORS </t>
  </si>
  <si>
    <t>Refer Dwg. No: HB/AR/20/T</t>
  </si>
  <si>
    <t>K/4/1</t>
  </si>
  <si>
    <t xml:space="preserve">Fire rated solid timber (40mm thick sash) doors comprising with 75x100mm timber frame shall be  as per the drawing. Rate shall include for hinges, brackets, handle, door stop, other accessories and locking arrangement. </t>
  </si>
  <si>
    <r>
      <rPr>
        <b/>
        <sz val="10"/>
        <rFont val="Calibri"/>
        <charset val="134"/>
        <scheme val="minor"/>
      </rPr>
      <t>Type FD,</t>
    </r>
    <r>
      <rPr>
        <sz val="10"/>
        <rFont val="Calibri"/>
        <charset val="134"/>
        <scheme val="minor"/>
      </rPr>
      <t xml:space="preserve"> overall size 1000mm x 2100mm</t>
    </r>
  </si>
  <si>
    <t>K/4/1/1</t>
  </si>
  <si>
    <t>K/4/1/2</t>
  </si>
  <si>
    <t>K/4/1/3</t>
  </si>
  <si>
    <t>K/4/1/4</t>
  </si>
  <si>
    <t>K/4/1/5</t>
  </si>
  <si>
    <t>K/4/1/6</t>
  </si>
  <si>
    <t>K/4/1/7</t>
  </si>
  <si>
    <t>K/4/1/8</t>
  </si>
  <si>
    <t>K/4/1/9</t>
  </si>
  <si>
    <t>K/4/1/10</t>
  </si>
  <si>
    <t xml:space="preserve"> - Ditto- but FD2 overall size, 1500x2100 mm in g/f,2nd F, 3rd F and 4th F</t>
  </si>
  <si>
    <t>K/5</t>
  </si>
  <si>
    <t xml:space="preserve">LEAD DOORS </t>
  </si>
  <si>
    <t>Refer Dwg. No: HB/AR/18/T</t>
  </si>
  <si>
    <t>K/5/1</t>
  </si>
  <si>
    <t xml:space="preserve">X-Ray froof Lead  (Composite door sash comprising with  lead sheet as manufactures specifications) doors comprising with Aluminum door frame shall be  as per the drawing. Rate shall include for hinges, brackets, handle, door stop, other accessories and locking arrangement. </t>
  </si>
  <si>
    <r>
      <rPr>
        <b/>
        <sz val="10"/>
        <rFont val="Calibri"/>
        <charset val="134"/>
        <scheme val="minor"/>
      </rPr>
      <t>Door type D13,</t>
    </r>
    <r>
      <rPr>
        <sz val="10"/>
        <rFont val="Calibri"/>
        <charset val="134"/>
        <scheme val="minor"/>
      </rPr>
      <t xml:space="preserve"> overall size 1500mm x 2100mm, double sash swing</t>
    </r>
  </si>
  <si>
    <t>K/5/1/1</t>
  </si>
  <si>
    <t>K/5/1/2</t>
  </si>
  <si>
    <t>K/5/2</t>
  </si>
  <si>
    <r>
      <rPr>
        <b/>
        <sz val="10"/>
        <rFont val="Calibri"/>
        <charset val="134"/>
        <scheme val="minor"/>
      </rPr>
      <t>Door type D15,</t>
    </r>
    <r>
      <rPr>
        <sz val="10"/>
        <rFont val="Calibri"/>
        <charset val="134"/>
        <scheme val="minor"/>
      </rPr>
      <t xml:space="preserve"> overall size 1000mm x 2100mm, single sash swing</t>
    </r>
  </si>
  <si>
    <t>K/5/2/1</t>
  </si>
  <si>
    <t>K/6</t>
  </si>
  <si>
    <t>ALUMINUM DOORS</t>
  </si>
  <si>
    <t>K/6/1</t>
  </si>
  <si>
    <t xml:space="preserve">Aluminum door, comprising with sash (Aluminum frame, 5mm thick glass (G) and Al. panel (A)) and  Aluminum frame shall be as per the drawing. Rate shall include for hinges, handle, door stop, locking arrangement. </t>
  </si>
  <si>
    <r>
      <rPr>
        <b/>
        <sz val="10"/>
        <rFont val="Calibri"/>
        <charset val="134"/>
        <scheme val="minor"/>
      </rPr>
      <t>Door type D4,</t>
    </r>
    <r>
      <rPr>
        <sz val="10"/>
        <rFont val="Calibri"/>
        <charset val="134"/>
        <scheme val="minor"/>
      </rPr>
      <t xml:space="preserve"> overall size 1500mm x 2100mm bouble sashed (A&amp;G) swing door</t>
    </r>
  </si>
  <si>
    <t>K/6/1/1</t>
  </si>
  <si>
    <t>K/6/1/2</t>
  </si>
  <si>
    <t>K/6/1/3</t>
  </si>
  <si>
    <t>K/6/1/4</t>
  </si>
  <si>
    <t>K/6/1/5</t>
  </si>
  <si>
    <t>K/6/2</t>
  </si>
  <si>
    <r>
      <rPr>
        <b/>
        <sz val="10"/>
        <rFont val="Calibri"/>
        <charset val="134"/>
        <scheme val="minor"/>
      </rPr>
      <t>Door type D5,</t>
    </r>
    <r>
      <rPr>
        <sz val="10"/>
        <rFont val="Calibri"/>
        <charset val="134"/>
        <scheme val="minor"/>
      </rPr>
      <t xml:space="preserve"> overall size 1500mm x 2100mm bouble sashed (A) swing door</t>
    </r>
  </si>
  <si>
    <t>K/6/2/1</t>
  </si>
  <si>
    <t>K/6/2/2</t>
  </si>
  <si>
    <t>K/6/2/3</t>
  </si>
  <si>
    <t>K/6/3</t>
  </si>
  <si>
    <r>
      <rPr>
        <b/>
        <sz val="10"/>
        <rFont val="Calibri"/>
        <charset val="134"/>
        <scheme val="minor"/>
      </rPr>
      <t>Door type D6,</t>
    </r>
    <r>
      <rPr>
        <sz val="10"/>
        <rFont val="Calibri"/>
        <charset val="134"/>
        <scheme val="minor"/>
      </rPr>
      <t xml:space="preserve"> overall size 1200mm x 2100mm single sashed (A&amp;G) swing door</t>
    </r>
  </si>
  <si>
    <t>K/6/3/1</t>
  </si>
  <si>
    <t>K/6/3/2</t>
  </si>
  <si>
    <t>K/6/3/3</t>
  </si>
  <si>
    <t>K/6/3/4</t>
  </si>
  <si>
    <t>K/6/3/5</t>
  </si>
  <si>
    <t>K/6/3/6</t>
  </si>
  <si>
    <t>K/6/3/7</t>
  </si>
  <si>
    <t>K/6/3/8</t>
  </si>
  <si>
    <t>K/6/3/9</t>
  </si>
  <si>
    <t>K/6/3/10</t>
  </si>
  <si>
    <t>K/6/4</t>
  </si>
  <si>
    <r>
      <rPr>
        <b/>
        <sz val="10"/>
        <rFont val="Calibri"/>
        <charset val="134"/>
        <scheme val="minor"/>
      </rPr>
      <t>Door type D7,</t>
    </r>
    <r>
      <rPr>
        <sz val="10"/>
        <rFont val="Calibri"/>
        <charset val="134"/>
        <scheme val="minor"/>
      </rPr>
      <t xml:space="preserve"> overall size 2000mm x 2100mm bouble sashed (G) swing door</t>
    </r>
  </si>
  <si>
    <t>K/6/4/1</t>
  </si>
  <si>
    <t>K/6/4/2</t>
  </si>
  <si>
    <t>K/6/5</t>
  </si>
  <si>
    <r>
      <rPr>
        <b/>
        <sz val="10"/>
        <rFont val="Calibri"/>
        <charset val="134"/>
        <scheme val="minor"/>
      </rPr>
      <t>Door type D8,</t>
    </r>
    <r>
      <rPr>
        <sz val="10"/>
        <rFont val="Calibri"/>
        <charset val="134"/>
        <scheme val="minor"/>
      </rPr>
      <t xml:space="preserve"> overall size 1000mm x 2100mm single sashed (A&amp;G) swing door</t>
    </r>
  </si>
  <si>
    <t>K/6/5/1</t>
  </si>
  <si>
    <t>K/6/5/2</t>
  </si>
  <si>
    <t>K/6/5/3</t>
  </si>
  <si>
    <t>K/6/5/4</t>
  </si>
  <si>
    <t>K/6/5/5</t>
  </si>
  <si>
    <t>K/6/5/6</t>
  </si>
  <si>
    <t>K/6/5/7</t>
  </si>
  <si>
    <t>K/6/5/8</t>
  </si>
  <si>
    <t>K/6/5/9</t>
  </si>
  <si>
    <t>K/6/5/10</t>
  </si>
  <si>
    <t>K/6/6</t>
  </si>
  <si>
    <r>
      <rPr>
        <b/>
        <sz val="10"/>
        <rFont val="Calibri"/>
        <charset val="134"/>
        <scheme val="minor"/>
      </rPr>
      <t>Door type D9,</t>
    </r>
    <r>
      <rPr>
        <sz val="10"/>
        <rFont val="Calibri"/>
        <charset val="134"/>
        <scheme val="minor"/>
      </rPr>
      <t xml:space="preserve"> overall size 1000mm x 2100mm single sashed (A) swing door</t>
    </r>
  </si>
  <si>
    <t>K/6/6/1</t>
  </si>
  <si>
    <t>K/6/6/2</t>
  </si>
  <si>
    <t>K/6/6/3</t>
  </si>
  <si>
    <t>K/6/6/4</t>
  </si>
  <si>
    <t>K/6/6/5</t>
  </si>
  <si>
    <t>K/6/6/6</t>
  </si>
  <si>
    <t>K/6/6/7</t>
  </si>
  <si>
    <t>K/6/6/8</t>
  </si>
  <si>
    <t>K/6/6/9</t>
  </si>
  <si>
    <t>K/6/6/10</t>
  </si>
  <si>
    <t>K/6/6/11</t>
  </si>
  <si>
    <t>K/6/6/12</t>
  </si>
  <si>
    <t>Mechine room</t>
  </si>
  <si>
    <t>K/6/7</t>
  </si>
  <si>
    <r>
      <rPr>
        <b/>
        <sz val="10"/>
        <rFont val="Calibri"/>
        <charset val="134"/>
        <scheme val="minor"/>
      </rPr>
      <t>Door type D10,</t>
    </r>
    <r>
      <rPr>
        <sz val="10"/>
        <rFont val="Calibri"/>
        <charset val="134"/>
        <scheme val="minor"/>
      </rPr>
      <t xml:space="preserve"> overall size 1500mm x 2100mm Double sashed (G&amp;A) swing door</t>
    </r>
  </si>
  <si>
    <t>K/6/7/1</t>
  </si>
  <si>
    <t>K/6/7/2</t>
  </si>
  <si>
    <t>K/6/7/3</t>
  </si>
  <si>
    <t>K/6/7/4</t>
  </si>
  <si>
    <t>K/6/7/5</t>
  </si>
  <si>
    <t>K/6/7/6</t>
  </si>
  <si>
    <t>K/6/8</t>
  </si>
  <si>
    <r>
      <rPr>
        <b/>
        <sz val="10"/>
        <rFont val="Calibri"/>
        <charset val="134"/>
        <scheme val="minor"/>
      </rPr>
      <t>Door type D11,</t>
    </r>
    <r>
      <rPr>
        <sz val="10"/>
        <rFont val="Calibri"/>
        <charset val="134"/>
        <scheme val="minor"/>
      </rPr>
      <t xml:space="preserve"> overall size 1200mm x 2100mm Double sashed (G&amp;A) swing door</t>
    </r>
  </si>
  <si>
    <t>K/6/8/1</t>
  </si>
  <si>
    <t>K/6/8/2</t>
  </si>
  <si>
    <t>K/6/8/3</t>
  </si>
  <si>
    <t>K/6/8/4</t>
  </si>
  <si>
    <t>K/6/8/5</t>
  </si>
  <si>
    <t>K/6/9</t>
  </si>
  <si>
    <r>
      <rPr>
        <b/>
        <sz val="10"/>
        <rFont val="Calibri"/>
        <charset val="134"/>
        <scheme val="minor"/>
      </rPr>
      <t>Door type D12,</t>
    </r>
    <r>
      <rPr>
        <sz val="10"/>
        <rFont val="Calibri"/>
        <charset val="134"/>
        <scheme val="minor"/>
      </rPr>
      <t xml:space="preserve"> overall size 750mm x 2100mm single sashed (A) swing door</t>
    </r>
  </si>
  <si>
    <t>K/6/9/1</t>
  </si>
  <si>
    <t>K/6/9/2</t>
  </si>
  <si>
    <t>K/6/9/3</t>
  </si>
  <si>
    <t>K/6/9/4</t>
  </si>
  <si>
    <t>K/6/9/5</t>
  </si>
  <si>
    <t>K/6/9/6</t>
  </si>
  <si>
    <t>K/6/9/7</t>
  </si>
  <si>
    <t>K/6/9/8</t>
  </si>
  <si>
    <t>K/6/9/9</t>
  </si>
  <si>
    <t>K/6/9/10</t>
  </si>
  <si>
    <t>K/6/9/11</t>
  </si>
  <si>
    <t>K/6/10</t>
  </si>
  <si>
    <r>
      <rPr>
        <b/>
        <sz val="10"/>
        <rFont val="Calibri"/>
        <charset val="134"/>
        <scheme val="minor"/>
      </rPr>
      <t>Door type D14,</t>
    </r>
    <r>
      <rPr>
        <sz val="10"/>
        <rFont val="Calibri"/>
        <charset val="134"/>
        <scheme val="minor"/>
      </rPr>
      <t xml:space="preserve"> overall size 2000mm x 2100mm Double sashed (G&amp;A) swing door</t>
    </r>
  </si>
  <si>
    <t>K/6/10/1</t>
  </si>
  <si>
    <t>K/6/10/2</t>
  </si>
  <si>
    <t>K/6/10/3</t>
  </si>
  <si>
    <t>K/6/10/4</t>
  </si>
  <si>
    <t>K/6/10/5</t>
  </si>
  <si>
    <t>K/6/11</t>
  </si>
  <si>
    <r>
      <rPr>
        <b/>
        <sz val="10"/>
        <rFont val="Calibri"/>
        <charset val="134"/>
        <scheme val="minor"/>
      </rPr>
      <t>Door type D16,</t>
    </r>
    <r>
      <rPr>
        <sz val="10"/>
        <rFont val="Calibri"/>
        <charset val="134"/>
        <scheme val="minor"/>
      </rPr>
      <t xml:space="preserve"> overall size 1200mm x 2100mm Single sashed (MP &amp;G) swing door in disable toilet, Rate shall include for stainless steel kick plate </t>
    </r>
  </si>
  <si>
    <t>K/6/11/1</t>
  </si>
  <si>
    <t>K/6/11/2</t>
  </si>
  <si>
    <t>K/6/11/3</t>
  </si>
  <si>
    <t>K/6/11/4</t>
  </si>
  <si>
    <t>K/6/11/5</t>
  </si>
  <si>
    <t>K/6/11/6</t>
  </si>
  <si>
    <t>K/6/11/7</t>
  </si>
  <si>
    <t>K/6/11/8</t>
  </si>
  <si>
    <t>K/6/12</t>
  </si>
  <si>
    <r>
      <rPr>
        <b/>
        <sz val="10"/>
        <rFont val="Calibri"/>
        <charset val="134"/>
        <scheme val="minor"/>
      </rPr>
      <t>Door type D17,</t>
    </r>
    <r>
      <rPr>
        <sz val="10"/>
        <rFont val="Calibri"/>
        <charset val="134"/>
        <scheme val="minor"/>
      </rPr>
      <t xml:space="preserve"> overall size 2000mm x 2100mm Double sashed (A) swing door</t>
    </r>
  </si>
  <si>
    <t>K/6/12/1</t>
  </si>
  <si>
    <t>K/6/13</t>
  </si>
  <si>
    <r>
      <rPr>
        <b/>
        <sz val="10"/>
        <rFont val="Calibri"/>
        <charset val="134"/>
        <scheme val="minor"/>
      </rPr>
      <t>Door type D19,</t>
    </r>
    <r>
      <rPr>
        <sz val="10"/>
        <rFont val="Calibri"/>
        <charset val="134"/>
        <scheme val="minor"/>
      </rPr>
      <t xml:space="preserve"> overall size 600mm x 2100mm Double sashed (Aluminum louvers) swing door</t>
    </r>
  </si>
  <si>
    <t>K/6/13/1</t>
  </si>
  <si>
    <t>K/6/13/2</t>
  </si>
  <si>
    <t>K/6/13/3</t>
  </si>
  <si>
    <t>K/6/13/4</t>
  </si>
  <si>
    <t>K/6/13/5</t>
  </si>
  <si>
    <t>K/6/13/6</t>
  </si>
  <si>
    <t>K/6/13/7</t>
  </si>
  <si>
    <t>K/6/13/8</t>
  </si>
  <si>
    <t>K/6/13/9</t>
  </si>
  <si>
    <t>K/6/13/10</t>
  </si>
  <si>
    <t>K/6/13/11</t>
  </si>
  <si>
    <t>Machine room</t>
  </si>
  <si>
    <t>K/7</t>
  </si>
  <si>
    <t>ALUMINUM LOUVER PANEL</t>
  </si>
  <si>
    <t>Refer Dwg. No: HB/AR/60/T</t>
  </si>
  <si>
    <t>K/7/1</t>
  </si>
  <si>
    <t xml:space="preserve">Aluminum louver panel, ccomprising with louver leaf and  aluminum frame shall be as per the drawing. Rate shall include for any accessories to complete. </t>
  </si>
  <si>
    <t xml:space="preserve">Louver panel  , hight, 1800mm approximate </t>
  </si>
  <si>
    <t>K/7/1/1</t>
  </si>
  <si>
    <t>m2</t>
  </si>
  <si>
    <t>K/8</t>
  </si>
  <si>
    <t>ALUMINUM ROLLER SHUTTERS</t>
  </si>
  <si>
    <t>Refer Dwg. No: HB/AR/19/T</t>
  </si>
  <si>
    <t>K/8/1</t>
  </si>
  <si>
    <t xml:space="preserve">Aluminum roller shutter, comprising with roller sash (inter locking aluminum plates) and galvernized steel railing shall be as per the drawing. Rate shall include for railing, handle,hoisting electric moter, door stop, locking arrangement and all accessories to working order. </t>
  </si>
  <si>
    <r>
      <rPr>
        <b/>
        <sz val="10"/>
        <rFont val="Calibri"/>
        <charset val="134"/>
        <scheme val="minor"/>
      </rPr>
      <t>Roller shutter type RS2,</t>
    </r>
    <r>
      <rPr>
        <sz val="10"/>
        <rFont val="Calibri"/>
        <charset val="134"/>
        <scheme val="minor"/>
      </rPr>
      <t xml:space="preserve"> overall size 4700mm x 4000mm </t>
    </r>
  </si>
  <si>
    <t>K/8/1/1</t>
  </si>
  <si>
    <t>K/8/2</t>
  </si>
  <si>
    <r>
      <rPr>
        <b/>
        <sz val="10"/>
        <rFont val="Calibri"/>
        <charset val="134"/>
        <scheme val="minor"/>
      </rPr>
      <t>Roller shutter type RS4,</t>
    </r>
    <r>
      <rPr>
        <sz val="10"/>
        <rFont val="Calibri"/>
        <charset val="134"/>
        <scheme val="minor"/>
      </rPr>
      <t xml:space="preserve"> overall size 3600mm x 4000mm </t>
    </r>
  </si>
  <si>
    <t>K/8/2/1</t>
  </si>
  <si>
    <t>K/8/3</t>
  </si>
  <si>
    <r>
      <rPr>
        <b/>
        <sz val="10"/>
        <rFont val="Calibri"/>
        <charset val="134"/>
        <scheme val="minor"/>
      </rPr>
      <t>Roller shutter type RS5,</t>
    </r>
    <r>
      <rPr>
        <sz val="10"/>
        <rFont val="Calibri"/>
        <charset val="134"/>
        <scheme val="minor"/>
      </rPr>
      <t xml:space="preserve"> overall size 1500mm x 4000mm </t>
    </r>
  </si>
  <si>
    <t>K/8/3/1</t>
  </si>
  <si>
    <t>K/8/4</t>
  </si>
  <si>
    <r>
      <rPr>
        <sz val="10"/>
        <rFont val="Calibri"/>
        <charset val="134"/>
        <scheme val="minor"/>
      </rPr>
      <t xml:space="preserve">  - Ditto - but powder coated aluminum </t>
    </r>
    <r>
      <rPr>
        <b/>
        <sz val="10"/>
        <rFont val="Calibri"/>
        <charset val="134"/>
        <scheme val="minor"/>
      </rPr>
      <t>Grill roller shutter. type RS- 6,</t>
    </r>
    <r>
      <rPr>
        <sz val="10"/>
        <rFont val="Calibri"/>
        <charset val="134"/>
        <scheme val="minor"/>
      </rPr>
      <t xml:space="preserve"> overall size 2500mm x 4400mm</t>
    </r>
  </si>
  <si>
    <t>K/8/4/1</t>
  </si>
  <si>
    <t>K/9</t>
  </si>
  <si>
    <t xml:space="preserve">Stainless steel roller shutter, comprising with roller sash (inter locking stainless steel plates) and galvernized steel railing shall be as per the drawing. Rate shall include for railing, handle,hoisting electric moter, door stop, locking arrangement and all accessories to working order. </t>
  </si>
  <si>
    <t>K/9/1</t>
  </si>
  <si>
    <r>
      <rPr>
        <b/>
        <sz val="10"/>
        <rFont val="Calibri"/>
        <charset val="134"/>
        <scheme val="minor"/>
      </rPr>
      <t>Roller shutter type RS1,</t>
    </r>
    <r>
      <rPr>
        <sz val="10"/>
        <rFont val="Calibri"/>
        <charset val="134"/>
        <scheme val="minor"/>
      </rPr>
      <t xml:space="preserve"> overall size 5400mm x 3900mm </t>
    </r>
  </si>
  <si>
    <t>K/9/1/1</t>
  </si>
  <si>
    <t>K/9/1/2</t>
  </si>
  <si>
    <t>K/9/2</t>
  </si>
  <si>
    <r>
      <rPr>
        <b/>
        <sz val="10"/>
        <rFont val="Calibri"/>
        <charset val="134"/>
        <scheme val="minor"/>
      </rPr>
      <t>Roller shutter type RS3,</t>
    </r>
    <r>
      <rPr>
        <sz val="10"/>
        <rFont val="Calibri"/>
        <charset val="134"/>
        <scheme val="minor"/>
      </rPr>
      <t xml:space="preserve"> overall size 4500mm x 4400mm </t>
    </r>
  </si>
  <si>
    <t>K/9/2/1</t>
  </si>
  <si>
    <t>K/10</t>
  </si>
  <si>
    <t>Steel Hand Rails</t>
  </si>
  <si>
    <t>Refer Dwg. No: ENP-HB/AR/R6/01</t>
  </si>
  <si>
    <t>Following quantities are for G/F to 8th floor</t>
  </si>
  <si>
    <t>K/10/1</t>
  </si>
  <si>
    <r>
      <rPr>
        <sz val="10"/>
        <rFont val="Calibri"/>
        <charset val="134"/>
        <scheme val="minor"/>
      </rPr>
      <t xml:space="preserve">Supply and fix </t>
    </r>
    <r>
      <rPr>
        <b/>
        <sz val="10"/>
        <rFont val="Calibri"/>
        <charset val="134"/>
        <scheme val="minor"/>
      </rPr>
      <t>steel hand rail, Type - 1,</t>
    </r>
    <r>
      <rPr>
        <sz val="10"/>
        <rFont val="Calibri"/>
        <charset val="134"/>
        <scheme val="minor"/>
      </rPr>
      <t xml:space="preserve">  fixed to  RCC beam (measured separately at miscellaneous work) on half height walls at stair way . Rate shall include for approved marine painting system.  All as per the drawing/ approved shop drawing </t>
    </r>
  </si>
  <si>
    <t>K/10/2</t>
  </si>
  <si>
    <r>
      <rPr>
        <sz val="10"/>
        <rFont val="Calibri"/>
        <charset val="134"/>
        <scheme val="minor"/>
      </rPr>
      <t xml:space="preserve">     - dito- but </t>
    </r>
    <r>
      <rPr>
        <b/>
        <sz val="10"/>
        <rFont val="Calibri"/>
        <charset val="134"/>
        <scheme val="minor"/>
      </rPr>
      <t>Type - 3,</t>
    </r>
    <r>
      <rPr>
        <sz val="10"/>
        <rFont val="Calibri"/>
        <charset val="134"/>
        <scheme val="minor"/>
      </rPr>
      <t xml:space="preserve"> on walls at balconies</t>
    </r>
  </si>
  <si>
    <t>K/10/3</t>
  </si>
  <si>
    <r>
      <rPr>
        <sz val="10"/>
        <rFont val="Calibri"/>
        <charset val="134"/>
        <scheme val="minor"/>
      </rPr>
      <t xml:space="preserve">     - dito- but </t>
    </r>
    <r>
      <rPr>
        <b/>
        <sz val="10"/>
        <rFont val="Calibri"/>
        <charset val="134"/>
        <scheme val="minor"/>
      </rPr>
      <t>Type - 2,</t>
    </r>
    <r>
      <rPr>
        <sz val="10"/>
        <rFont val="Calibri"/>
        <charset val="134"/>
        <scheme val="minor"/>
      </rPr>
      <t xml:space="preserve">  fixed to Concrete pocket  (225x225x150mm)at 1.0m interval , embedded to side wall at stair way</t>
    </r>
  </si>
  <si>
    <t>K/10/4</t>
  </si>
  <si>
    <r>
      <rPr>
        <sz val="10"/>
        <rFont val="Calibri"/>
        <charset val="134"/>
        <scheme val="minor"/>
      </rPr>
      <t xml:space="preserve">     - dito - but </t>
    </r>
    <r>
      <rPr>
        <b/>
        <sz val="10"/>
        <rFont val="Calibri"/>
        <charset val="134"/>
        <scheme val="minor"/>
      </rPr>
      <t>hand rail as per Dwg. No: HB/AR/26/T</t>
    </r>
    <r>
      <rPr>
        <sz val="10"/>
        <rFont val="Calibri"/>
        <charset val="134"/>
        <scheme val="minor"/>
      </rPr>
      <t xml:space="preserve"> on ramp walls at  1st floor </t>
    </r>
  </si>
  <si>
    <t>K/11</t>
  </si>
  <si>
    <t>Composite Mezzanine floor</t>
  </si>
  <si>
    <t>K/11/1</t>
  </si>
  <si>
    <t>Supply material, Fabricate, and erect and cast in place  Composite Mezzanine floor (steel and concrete) comprising of Primary beams (203x133mm-30kg/m), (305x102-33kg/m),Secondary beams (152x89mmx16kg/m),and column (203,x203x54kg/m) profiled steel sheet deck and any other component to complete the work as shown in the drawing. Rate shall include for  painting with two coat of Zink phosphate primer or approved equal ant on exposed steel surfaces.</t>
  </si>
  <si>
    <t>The scope of work on the above Item No: K/11/1 shall be carriedout by a specilized sub contractor (Blue Scope LYSAGHT or other supplier approved by consultant)nominated by the client or Consultant. Main contractor shall include an attendance fee (Aproxymately 7% of subcontractor's price).</t>
  </si>
  <si>
    <t>K/11/1/1</t>
  </si>
  <si>
    <t>Mezzanine floor of grid F4 ~ G5</t>
  </si>
  <si>
    <t>K/11/1/2</t>
  </si>
  <si>
    <t>Mezzanine floor of grid F7 ~ G9</t>
  </si>
  <si>
    <t>K/11/1/3</t>
  </si>
  <si>
    <t>Mezzanine floor of grid D12 ~ F13</t>
  </si>
  <si>
    <t>K/11/1/4</t>
  </si>
  <si>
    <t>Mezzanine floor of grid G15 ~ H16</t>
  </si>
  <si>
    <t>K/11/1/5</t>
  </si>
  <si>
    <t>Mezzanine floor of grid J15 ~ K16</t>
  </si>
  <si>
    <t>K/11/1/6</t>
  </si>
  <si>
    <t>Mezzanine floor of grid M11 ~ N13</t>
  </si>
  <si>
    <t>K/11/2</t>
  </si>
  <si>
    <t>Supply material, Fabrication, and fixing steel stair fligt including hand rail to reach Mezzanine floors. Rate shall include for all accessories as per the drawing No:HB/AR/25/T</t>
  </si>
  <si>
    <t>K/11/2/1</t>
  </si>
  <si>
    <t>Stair Case Type - 01 (single flight)</t>
  </si>
  <si>
    <t>Nr</t>
  </si>
  <si>
    <t>K/11/2/2</t>
  </si>
  <si>
    <t>Stair Case Type - 02 (double flight)</t>
  </si>
  <si>
    <t>K/11/3</t>
  </si>
  <si>
    <r>
      <rPr>
        <sz val="10"/>
        <rFont val="Calibri"/>
        <charset val="134"/>
        <scheme val="minor"/>
      </rPr>
      <t xml:space="preserve">Supply material, Fabrication, and fixing steel </t>
    </r>
    <r>
      <rPr>
        <b/>
        <sz val="10"/>
        <rFont val="Calibri"/>
        <charset val="134"/>
        <scheme val="minor"/>
      </rPr>
      <t>spiral</t>
    </r>
    <r>
      <rPr>
        <sz val="10"/>
        <rFont val="Calibri"/>
        <charset val="134"/>
        <scheme val="minor"/>
      </rPr>
      <t xml:space="preserve"> stair fligt including hand rail to reach Mechine room roof top. Rate shall include for all accessories </t>
    </r>
  </si>
  <si>
    <t>Deleted</t>
  </si>
  <si>
    <t>K/12</t>
  </si>
  <si>
    <t>Steel Trusses at Entrance Porch roof</t>
  </si>
  <si>
    <t>Refer Dwg No: HB/AR/61</t>
  </si>
  <si>
    <t>K/12/1</t>
  </si>
  <si>
    <r>
      <rPr>
        <sz val="10"/>
        <rFont val="Calibri"/>
        <charset val="134"/>
        <scheme val="minor"/>
      </rPr>
      <t xml:space="preserve">Fabricating and placing </t>
    </r>
    <r>
      <rPr>
        <b/>
        <sz val="10"/>
        <rFont val="Calibri"/>
        <charset val="134"/>
        <scheme val="minor"/>
      </rPr>
      <t xml:space="preserve">Truss </t>
    </r>
    <r>
      <rPr>
        <sz val="10"/>
        <rFont val="Calibri"/>
        <charset val="134"/>
        <scheme val="minor"/>
      </rPr>
      <t xml:space="preserve"> at valley,  span 7.8 m, with 76mm dia and 50mm dia G.I. pipe including all accessories as per the drawing. Rate shall include for marine paint system, approved by the Engineer.</t>
    </r>
  </si>
  <si>
    <t>Addendom-02</t>
  </si>
  <si>
    <t>K/12/2</t>
  </si>
  <si>
    <r>
      <rPr>
        <sz val="10"/>
        <rFont val="Calibri"/>
        <charset val="134"/>
        <scheme val="minor"/>
      </rPr>
      <t xml:space="preserve">  - ditto - but other </t>
    </r>
    <r>
      <rPr>
        <b/>
        <sz val="10"/>
        <rFont val="Calibri"/>
        <charset val="134"/>
        <scheme val="minor"/>
      </rPr>
      <t>Truss</t>
    </r>
    <r>
      <rPr>
        <sz val="10"/>
        <rFont val="Calibri"/>
        <charset val="134"/>
        <scheme val="minor"/>
      </rPr>
      <t>, span 5.4 m</t>
    </r>
  </si>
  <si>
    <t>K/12/3</t>
  </si>
  <si>
    <r>
      <rPr>
        <sz val="10"/>
        <rFont val="Calibri"/>
        <charset val="134"/>
        <scheme val="minor"/>
      </rPr>
      <t xml:space="preserve">Fabricating and placing </t>
    </r>
    <r>
      <rPr>
        <b/>
        <sz val="10"/>
        <rFont val="Calibri"/>
        <charset val="134"/>
        <scheme val="minor"/>
      </rPr>
      <t>Bracing unit</t>
    </r>
    <r>
      <rPr>
        <sz val="10"/>
        <rFont val="Calibri"/>
        <charset val="134"/>
        <scheme val="minor"/>
      </rPr>
      <t xml:space="preserve"> at front outer edge of roof,  span 19.5 m, with 76mm dia. (3 rows) and 50mm dia G.I. pipe, covering both side with Al. composit panel including all accessories as per the drawing. Rate shall include for marring paint system on steel surfaces, approved by the Engineer.</t>
    </r>
  </si>
  <si>
    <t>item</t>
  </si>
  <si>
    <t>K/12/4</t>
  </si>
  <si>
    <t xml:space="preserve">  - ditto - but  span 11.5 m and 76mm dia (2rows)</t>
  </si>
  <si>
    <t>K/13</t>
  </si>
  <si>
    <t>Steel Frame work for Polycarbonate roofs</t>
  </si>
  <si>
    <t>Refer Drawing: HB/AR/60/T</t>
  </si>
  <si>
    <t>K/13/1</t>
  </si>
  <si>
    <t>Fabricating and erecting steel frame work  for poly carbonate roof at  3rd floor, 6th floor and roof slab level, with 100x200mm &amp; 50x50mm  box iron, 100mm &amp;75mm dia G.I. pipe  including all accessories as per the drawing. Rate shall include for marring paint system, approved by the Engineer.</t>
  </si>
  <si>
    <t>K/13/1/1</t>
  </si>
  <si>
    <t>For frame in 6th floor and roof slab</t>
  </si>
  <si>
    <t>K/13/1/2</t>
  </si>
  <si>
    <t xml:space="preserve">For frame in 3rd  floor </t>
  </si>
  <si>
    <t>K/14</t>
  </si>
  <si>
    <t>Canopy</t>
  </si>
  <si>
    <t>Refer Drawing: HB/AR/62/T</t>
  </si>
  <si>
    <t>K/14/1</t>
  </si>
  <si>
    <t>Supply material, fabricating and fixing  Canopy, with aluminum composit panel, H iron &amp; box iron and any other accessories to complete as per the drawing. All steel surfaces shall be painted with Marine paint system.</t>
  </si>
  <si>
    <t>K/14/1/1</t>
  </si>
  <si>
    <t>at G/F</t>
  </si>
  <si>
    <t>K/15</t>
  </si>
  <si>
    <t>"C" Purlins (Galvanized)</t>
  </si>
  <si>
    <t>Refer Drawing: HB/AR/61/T</t>
  </si>
  <si>
    <t>K/15/1</t>
  </si>
  <si>
    <r>
      <rPr>
        <sz val="10"/>
        <rFont val="Calibri"/>
        <charset val="134"/>
        <scheme val="minor"/>
      </rPr>
      <t xml:space="preserve">Supplying &amp; fixing of "C" </t>
    </r>
    <r>
      <rPr>
        <b/>
        <sz val="10"/>
        <rFont val="Calibri"/>
        <charset val="134"/>
        <scheme val="minor"/>
      </rPr>
      <t>Purlins</t>
    </r>
    <r>
      <rPr>
        <sz val="10"/>
        <rFont val="Calibri"/>
        <charset val="134"/>
        <scheme val="minor"/>
      </rPr>
      <t xml:space="preserve">, 102 x 51 x 15mm, 1.9mm thk, on steel truss with all the necessary fixing arrangements as per the drawing. </t>
    </r>
  </si>
  <si>
    <t>K/15/1/1</t>
  </si>
  <si>
    <t>For Zink aluminum sheet roof at entrance porch</t>
  </si>
  <si>
    <t>Adden 02</t>
  </si>
  <si>
    <t>K/16</t>
  </si>
  <si>
    <t>Expantion Joint</t>
  </si>
  <si>
    <t>Refer Drawing: HB/ST/22/T &amp; 42/T</t>
  </si>
  <si>
    <t>K/16/1</t>
  </si>
  <si>
    <t xml:space="preserve">Supply material, and provide expantion joint between RCC slab and column etc. comprising with 25mm thick soft board, backer rod, polysulphide sealent and any other material to complete as per the drawing </t>
  </si>
  <si>
    <t>K/16/1/1</t>
  </si>
  <si>
    <t xml:space="preserve"> At G/F level, Grid, E11 to E15</t>
  </si>
  <si>
    <t>K/16/1/2</t>
  </si>
  <si>
    <t xml:space="preserve"> At 1st F/ level, Grid, B11 to E15 and E11 to E15</t>
  </si>
  <si>
    <t>K/16/1/3</t>
  </si>
  <si>
    <t xml:space="preserve"> At 2nd F/ level, Grid, A11 to D11 and E11 to E15</t>
  </si>
  <si>
    <t>K/16/1/4</t>
  </si>
  <si>
    <t xml:space="preserve"> At 3rd F/ level, Grid, A11 to D11 and E11 to E15</t>
  </si>
  <si>
    <t xml:space="preserve">ROOF COVERING AND ROOF PLUMBING </t>
  </si>
  <si>
    <t>QTY</t>
  </si>
  <si>
    <t>P/-</t>
  </si>
  <si>
    <t xml:space="preserve">ROOF COVERING / ROOF PLUMBING </t>
  </si>
  <si>
    <t>Roofing shall consist of Zinc-Aluminum Coloured Bonded profiled high tensile steel complete with all flashings fixings and accessories in strict conforming to British standards 9868:1972 or Indian standards 1252:1975. Thickness of coated sheet shall not be less than 0.47mm. conforming to British standards 9868:1972 or Indian standards</t>
  </si>
  <si>
    <t>The contractor is required to provide a guarantee for the whole of roof installation against defective materials and defective workmanship for a period of 10 years.</t>
  </si>
  <si>
    <t>P/1</t>
  </si>
  <si>
    <t>Zinc-Aluminum Roof Covering</t>
  </si>
  <si>
    <t>P/1/1</t>
  </si>
  <si>
    <t xml:space="preserve">Furnish &amp; install  roof covering with 0.47mm thick Zinc-Alum sheet on C purling . C purling measured separately in metal work. </t>
  </si>
  <si>
    <t>P/1/2</t>
  </si>
  <si>
    <t>Refer metal work for Trusses, Bracing unit and cladding work.</t>
  </si>
  <si>
    <t>P/2</t>
  </si>
  <si>
    <t>Poly Carbonate sheet  Roof Covering</t>
  </si>
  <si>
    <t xml:space="preserve">Furnish &amp; install   Poly Carbonate Roof Covering (curved) as per Dwg. No: HB/AR/60/T,  on steel frame work measured separately in Metal work . </t>
  </si>
  <si>
    <t>P/2/1</t>
  </si>
  <si>
    <t>at just above 3rd floor flat roof</t>
  </si>
  <si>
    <t>P/2/2</t>
  </si>
  <si>
    <t>at just above 6th floor flat roof</t>
  </si>
  <si>
    <t>P/2/3</t>
  </si>
  <si>
    <t>at just above 8th floor flat roof</t>
  </si>
  <si>
    <t>P/3</t>
  </si>
  <si>
    <t>Supplying, laying &amp; bedding  Zn /Al flashing (to side of RCC wall/beam in Entrance porch roof) with fixing bolt &amp; nut etc.</t>
  </si>
  <si>
    <t>P/4</t>
  </si>
  <si>
    <t xml:space="preserve">Furnish and install 100x75mm Zn/Al down pipes (0.42mm thick sheet) including all  necessary accessories such as, brackets (1.0m C/C) , joints, offsets, bends, shoes etc. Rate shall include for proper connection to rain water gutters/roof slab and surface water drain line As directed by Engineer.
</t>
  </si>
  <si>
    <t>P/4/1</t>
  </si>
  <si>
    <t>From RCC gutter box as per drawing (at porch) to pond</t>
  </si>
  <si>
    <t>P/4/2</t>
  </si>
  <si>
    <t>From flat roof (single story Bld.) to Lower G/F</t>
  </si>
  <si>
    <t>P/4/3</t>
  </si>
  <si>
    <t>From  1st floor flat roof to G/F</t>
  </si>
  <si>
    <t>P/4/4</t>
  </si>
  <si>
    <t>From 2nd floor  flat roof  to G/F</t>
  </si>
  <si>
    <t>P/4/5</t>
  </si>
  <si>
    <t>From 3rd floor slab level to G/F</t>
  </si>
  <si>
    <t>P/4/6</t>
  </si>
  <si>
    <t>From 6th floor slab level to G/F</t>
  </si>
  <si>
    <t>P/4/7</t>
  </si>
  <si>
    <t>From roof slab level to G/F</t>
  </si>
  <si>
    <t>RS</t>
  </si>
  <si>
    <t>ELECTRICAL WORKS</t>
  </si>
  <si>
    <t>For the full description of materials and workmanship refer specifications, drawings and preamble notes</t>
  </si>
  <si>
    <t xml:space="preserve"> ELECTRICAL</t>
  </si>
  <si>
    <t>PREAMBLE NOTES</t>
  </si>
  <si>
    <t>EXTENT OF WORK</t>
  </si>
  <si>
    <t>The extent of work covered in this Bill of Quantities shall consists of all the items covered under the specifications.</t>
  </si>
  <si>
    <t>note</t>
  </si>
  <si>
    <t>a) Provisions of holes, chases….etc.</t>
  </si>
  <si>
    <t>b) All necessary scaffoldings</t>
  </si>
  <si>
    <t>c) Contractor's overheads &amp; profits</t>
  </si>
  <si>
    <t xml:space="preserve">d) All tax, levy or duty </t>
  </si>
  <si>
    <t>MAIN SERVICE CONNECTION</t>
  </si>
  <si>
    <t>It shall be the responsibility of the Contractor to do all the necessary co-ordination work with regards to obtaining of the electrical power connections from the Relevant Authourities .</t>
  </si>
  <si>
    <t>WIRING IN GENERAL</t>
  </si>
  <si>
    <t>All the wiring work done under this contract shall conform to BS 7671: 1992 - IEE wiring regulations-17th Edition and any other regulations stipulated by the Relevant Authourities.</t>
  </si>
  <si>
    <t>Rate for point wiring shall include for all the conduits, conduit fittings, casings, fixing material, switches, wiring and terminations, holders for light fittings and socket outlets for power points.</t>
  </si>
  <si>
    <t>As a standard of quality for switches and socket outlets, the contractor may use Kevilton, ABB, orange or an equivalent make.</t>
  </si>
  <si>
    <t>LIGHT FITTINGS</t>
  </si>
  <si>
    <t>The light fittings supplied and installed under this contract shall be in every respect suitable for the intended purpose.</t>
  </si>
  <si>
    <t>Each fitting shall include bulbs, internal wiring, hanging and fixing material and be complete without any additional item/material being required to make it so.</t>
  </si>
  <si>
    <t>PANEL BOARDS AND SWITCHGEAR</t>
  </si>
  <si>
    <t>The panel boards supplied and installed under this contract shall be complete with all the requires accessories such as neutral bars, earth bars, fixing material……etc.</t>
  </si>
  <si>
    <t>EARTHING</t>
  </si>
  <si>
    <t>Rates for the earthing system shall include for all the wiring from individual DBs to a common earth bar and from there to the earth pit including construction of the pit, concrete cover…….etc.</t>
  </si>
  <si>
    <t>S.1</t>
  </si>
  <si>
    <t xml:space="preserve">Below Ground Floor to 8th Floor </t>
  </si>
  <si>
    <t>ELECTRICAL INSTALLATIONS FINAL SUB CIRCUIT POINT WIRING</t>
  </si>
  <si>
    <t>LIGHTING FIXTURES</t>
  </si>
  <si>
    <t>Each fitting shall include bulbs, internal wiring,  and be complete without any additional item/material being required to make it so.</t>
  </si>
  <si>
    <t>FINAL SUB CIRCUIT POINT WIRING</t>
  </si>
  <si>
    <t>Rates for point wiring shall include for all cables, switches(1 way or 2 way as nscessary) Junction boxes, conduits, Pull boxes, clips, earth cables, draw wires, wiring  accessories, screws, nails, hardware, fixing  and insulating materials, cutting holes. Wire sizes for light points will be 2x1.5mm2 Cu/PVC/PVC  1C Cable+ 2.5mm2 Cu/PVC Earth Cable</t>
  </si>
  <si>
    <t>K.1.1</t>
  </si>
  <si>
    <t xml:space="preserve">2x600mm ceiling mounted T5 fluorecent lamp fitting with reflector </t>
  </si>
  <si>
    <t>nr</t>
  </si>
  <si>
    <t>S.1.2</t>
  </si>
  <si>
    <t>1x600mm ceiling mounted T5 fluorecent lamp fitting with reflector</t>
  </si>
  <si>
    <t>S.1.3</t>
  </si>
  <si>
    <t>20W CFL downlight fitting</t>
  </si>
  <si>
    <t>S.1.4</t>
  </si>
  <si>
    <t xml:space="preserve">11W CFL Pendent fitting </t>
  </si>
  <si>
    <t>S.1.5</t>
  </si>
  <si>
    <t xml:space="preserve">20W CFL wallbracket </t>
  </si>
  <si>
    <t>S.1.6</t>
  </si>
  <si>
    <t>9W downlight fitting</t>
  </si>
  <si>
    <t>S.1.7</t>
  </si>
  <si>
    <t>9W nitch light fitting</t>
  </si>
  <si>
    <t>S.1.8</t>
  </si>
  <si>
    <t>Supply &amp;  install 2x2.5mm2 Cu/PVC/PVC cables and 2.5mm2 Cu/PVC Earth with all accessories and wire for 230 V  15A single switch socket outlet.</t>
  </si>
  <si>
    <t>S.1.9</t>
  </si>
  <si>
    <t xml:space="preserve">Supply &amp;  install 2x2.5mm2 Cu/PVC/PVC cables and 2.5mm2 Cu/PVC with all accessories and wire for 230 V radial line 13A single switch socket outlet. </t>
  </si>
  <si>
    <t>S.1.</t>
  </si>
  <si>
    <t>CEILING FAN</t>
  </si>
  <si>
    <t>Supplying all materials for wiring  and wiring of 56" Ceiling fan using 2 x 1.5mm2 CU/PVC Cable + 1.5mm2 Cu/PVC earth cable drawn through securety concealed PVC conduits &amp; controlled by switched fan regulator as per the drawings and specifications.</t>
  </si>
  <si>
    <t>Supply and Install 56" Ceiling fan with switched fan regulator as per the drawings and specifications.</t>
  </si>
  <si>
    <t>EXHAUST FAN</t>
  </si>
  <si>
    <t>Supplying all materials for wiring  and wiring of Wall mounted fan using 2 x 1.5mm2 CU/PVC Cable + 1.5mm2 Cu/PVC earth cable drawn through securety concealed PVC conduits as per the drawings and specifications.</t>
  </si>
  <si>
    <t>Supply and Install Exhaust fan as per the drawings and specifications.</t>
  </si>
  <si>
    <t>S.2</t>
  </si>
  <si>
    <t>The following may be used as a standard of quality expected in this project.</t>
  </si>
  <si>
    <t>Enclosures - ' ELSTEEL' or equivalent</t>
  </si>
  <si>
    <t>MCCBs - 'ABB/TEMBREAK' or equivalent</t>
  </si>
  <si>
    <t>S.2.1</t>
  </si>
  <si>
    <t>BUILDING DB - BDB</t>
  </si>
  <si>
    <t>To supply and install Metal enclosed Distribution Board including following accessories as per the drawings &amp; specifications.</t>
  </si>
  <si>
    <t>Shunt Tripping Coil -2nr</t>
  </si>
  <si>
    <t>ELR-3nr</t>
  </si>
  <si>
    <t>Core Balance Current Transformer-2nr</t>
  </si>
  <si>
    <t>Voltmeter with Selector Switch-1nr</t>
  </si>
  <si>
    <t>Ammeter with Selector Switch-1nr</t>
  </si>
  <si>
    <t>4 Pole MCCB - 2000A - 3nr (MOTO)</t>
  </si>
  <si>
    <t>ATS Interlock</t>
  </si>
  <si>
    <t>3 Pole MCCB - 630A-1nrs</t>
  </si>
  <si>
    <t>3 Pole MCB - 25A-2nrs</t>
  </si>
  <si>
    <t>3 Pole MCCB - 800A-2nrs</t>
  </si>
  <si>
    <t>3 Pole MCB - 63A-1nrs</t>
  </si>
  <si>
    <t>3 Pole MCB - 40A-1nrs</t>
  </si>
  <si>
    <t>LED Indicators-3nrs</t>
  </si>
  <si>
    <t>MCB Type 15kA ZNO Surge Diverters - 4nrs</t>
  </si>
  <si>
    <t>Power Analyzer -1nr</t>
  </si>
  <si>
    <t>1 Set of 3000A TPN &amp; Earth Copper Busbar System</t>
  </si>
  <si>
    <t>Complete set of cable Glands incommer and outgoing cables</t>
  </si>
  <si>
    <t xml:space="preserve">1 No of floor standing metal enclosed distribution board (surface finished with Epoxy polyester base powder spray in bage color) with neutral link completed with Earth bar &amp; mounting accessories, DIN rail type as per  IEE Specifications. </t>
  </si>
  <si>
    <t>S.2.2</t>
  </si>
  <si>
    <t>LIFT DB</t>
  </si>
  <si>
    <t>1 Set of 600A TPN &amp; Earth Copper Busbar System</t>
  </si>
  <si>
    <t>3 Pole MCCB - 200A-1nr</t>
  </si>
  <si>
    <t>ELR with Core Balance Transforemer - 1nr</t>
  </si>
  <si>
    <t>3 Pole MCB - 63A-4nr</t>
  </si>
  <si>
    <t xml:space="preserve">1 No of  wall mounted metal enclosed distribution board (surface finished with Epoxy polyester base powder spray in bage color) with neutral link completed with Earth bar &amp; mounting accessories, DIN rail type as per  IEE Specifications. </t>
  </si>
  <si>
    <t>S.2.3</t>
  </si>
  <si>
    <t>FDB - Below GRN Floor</t>
  </si>
  <si>
    <t>4 Pole MCCB - 400A-1nr</t>
  </si>
  <si>
    <t>3 Pole MCCB - 250A-2nr</t>
  </si>
  <si>
    <t>S.2.3.1</t>
  </si>
  <si>
    <t>DB 1</t>
  </si>
  <si>
    <t>1 Set of 400A TPN &amp; Earth Copper Busbar System</t>
  </si>
  <si>
    <t>4 Pole MCCB - 250A-1nr</t>
  </si>
  <si>
    <t>ELR With Shunt</t>
  </si>
  <si>
    <t>3 Pole MCCB - 25A-1nr</t>
  </si>
  <si>
    <t>3 Pole MCB - 16A-1nr</t>
  </si>
  <si>
    <t>1 Pole MCB - 16A-18nr</t>
  </si>
  <si>
    <t>1 Pole MCB - 6A-21nr</t>
  </si>
  <si>
    <t>S.2.3.2</t>
  </si>
  <si>
    <t>DB 2</t>
  </si>
  <si>
    <t>3 Pole MCCB - 250A-1nr</t>
  </si>
  <si>
    <t>3 Pole MCCB - 125A-1nr</t>
  </si>
  <si>
    <t>3 Pole MCCB - 40A-1nr</t>
  </si>
  <si>
    <t>S.2.4</t>
  </si>
  <si>
    <t>FDB AC</t>
  </si>
  <si>
    <t>4 Pole 40A RCCB - 1 nr</t>
  </si>
  <si>
    <t>S.2.5</t>
  </si>
  <si>
    <t>FDB - MEZZ FLOOR</t>
  </si>
  <si>
    <t>3 Pole MCB - 25A-1nr</t>
  </si>
  <si>
    <t>4 Pole RCCB - 25A - 1nr</t>
  </si>
  <si>
    <t>3 Pole MCB - 16A-2nr</t>
  </si>
  <si>
    <t>S.2.5.1</t>
  </si>
  <si>
    <t>DB1</t>
  </si>
  <si>
    <t>4 Pole RCCB - 25A-1nr</t>
  </si>
  <si>
    <t>1 Pole MCB - 16A-6nr</t>
  </si>
  <si>
    <t>1 Pole MCB - 6A-9nr</t>
  </si>
  <si>
    <t>S.2.5.2</t>
  </si>
  <si>
    <t>4 Pole RCCB 25A - 1nr</t>
  </si>
  <si>
    <t>S.2.6</t>
  </si>
  <si>
    <t>S.2.7</t>
  </si>
  <si>
    <t xml:space="preserve">FDB (GROUND FLOOR) </t>
  </si>
  <si>
    <t>4 Pole MCCB - 100A-1nr</t>
  </si>
  <si>
    <t>4 Pole RCCB - 100A - 1nr</t>
  </si>
  <si>
    <t>3 Pole MCB - 40A-3nr</t>
  </si>
  <si>
    <t>S.2.7.1</t>
  </si>
  <si>
    <t>3 Pole MCB - 40A-1nr</t>
  </si>
  <si>
    <t>4 Pole RCCB - 40A-1nr</t>
  </si>
  <si>
    <t>1 Pole MCB - 16A-16nr</t>
  </si>
  <si>
    <t>S.2.7.2</t>
  </si>
  <si>
    <t>S.2.7.3</t>
  </si>
  <si>
    <t>DB 3</t>
  </si>
  <si>
    <t>S.2.8</t>
  </si>
  <si>
    <t>S.2.9</t>
  </si>
  <si>
    <t>FDB FIRST FLOOR</t>
  </si>
  <si>
    <t>4 Pole MCCB - 160A-1nr</t>
  </si>
  <si>
    <t>3 Pole MCCB - 100A-3nr</t>
  </si>
  <si>
    <t>S.2.9.1</t>
  </si>
  <si>
    <t>4 Pole MCB - 100A-1nr</t>
  </si>
  <si>
    <t>3 Pole MCB - 16A-3nr</t>
  </si>
  <si>
    <t>3 Pole MCB - 10A-8nr</t>
  </si>
  <si>
    <t>1 Pole MCB - 16A-25nr</t>
  </si>
  <si>
    <t>1 Pole MCB - 6A-15nr</t>
  </si>
  <si>
    <t>S.2.9.2</t>
  </si>
  <si>
    <t>1 Pole MCB - 16A-10nr</t>
  </si>
  <si>
    <t>1 Pole MCB - 6A-10nr</t>
  </si>
  <si>
    <t>S.2.9.3</t>
  </si>
  <si>
    <t>1 Pole MCB - 6A-19nr</t>
  </si>
  <si>
    <t>S.2.10</t>
  </si>
  <si>
    <t>FDBAC</t>
  </si>
  <si>
    <r>
      <rPr>
        <sz val="10"/>
        <rFont val="Calibri"/>
        <charset val="134"/>
        <scheme val="minor"/>
      </rPr>
      <t>LED In</t>
    </r>
    <r>
      <rPr>
        <i/>
        <sz val="10"/>
        <rFont val="Calibri"/>
        <charset val="134"/>
        <scheme val="minor"/>
      </rPr>
      <t>dicators-3nrs</t>
    </r>
  </si>
  <si>
    <t>3 Pole MCB - 63A-1nr</t>
  </si>
  <si>
    <t>4 Pole RCCB - 63A-1nr</t>
  </si>
  <si>
    <t>S.2.11</t>
  </si>
  <si>
    <t>FDB SECOND FLOOR</t>
  </si>
  <si>
    <t>3 Pole MCB - 100A-1nr</t>
  </si>
  <si>
    <t>3 Pole MCB - 25A-2nr</t>
  </si>
  <si>
    <t>S.2.11.1</t>
  </si>
  <si>
    <t>3 Pole MCB - 16A-8nr</t>
  </si>
  <si>
    <t>3 Pole MCB - 10A-4nr</t>
  </si>
  <si>
    <t>1 Pole MCB - 16A-15nr</t>
  </si>
  <si>
    <t>1 Pole MCB - 10A-15nr</t>
  </si>
  <si>
    <t>S.2.11.2</t>
  </si>
  <si>
    <t>DB2</t>
  </si>
  <si>
    <t>1 Pole MCB - 6A- 8nr</t>
  </si>
  <si>
    <t>S.2.11.3</t>
  </si>
  <si>
    <t>S.2.11.4</t>
  </si>
  <si>
    <t>DB 4</t>
  </si>
  <si>
    <t>S.2.12</t>
  </si>
  <si>
    <t>S.2.13</t>
  </si>
  <si>
    <t>FDB THIRD FLOOR</t>
  </si>
  <si>
    <t>3 Pole MCB - 63A-2nr</t>
  </si>
  <si>
    <t>S.2.13.1</t>
  </si>
  <si>
    <t>S.2.13.2</t>
  </si>
  <si>
    <t>S.2.14</t>
  </si>
  <si>
    <t>FDB FORTH FLOOR</t>
  </si>
  <si>
    <t>3 Pole MCB - 32A-3nr</t>
  </si>
  <si>
    <t>S.2.14.1</t>
  </si>
  <si>
    <t>3 Pole MCCB - 32A-1nr</t>
  </si>
  <si>
    <t>1 Pole MCB - 16A-12nr</t>
  </si>
  <si>
    <t>1 Pole MCB - 10A-8nr</t>
  </si>
  <si>
    <t>S.2.14.2</t>
  </si>
  <si>
    <t>1 Pole MCB - 10A-10nr</t>
  </si>
  <si>
    <t>S.2.14.3</t>
  </si>
  <si>
    <t>S.2.15</t>
  </si>
  <si>
    <t>S.2.16</t>
  </si>
  <si>
    <t>FDB FIFTH FLOOR</t>
  </si>
  <si>
    <t>S.2.16.1</t>
  </si>
  <si>
    <t>S.2.16.2</t>
  </si>
  <si>
    <t>S.2.16.3</t>
  </si>
  <si>
    <t>S.2.17</t>
  </si>
  <si>
    <t>3 Pole MCB - 125A-1nr</t>
  </si>
  <si>
    <t>4 Pole RCCB - 125A-1nr</t>
  </si>
  <si>
    <t>S.2.18</t>
  </si>
  <si>
    <t>FDB SIXTH FLOOR</t>
  </si>
  <si>
    <t>S.2.18.1</t>
  </si>
  <si>
    <t>3 Pole MCCB - 63A-1nr</t>
  </si>
  <si>
    <t>1 Pole MCB - 10A-6nr</t>
  </si>
  <si>
    <t>S.2.19</t>
  </si>
  <si>
    <t>FDB SEVENTH FLOOR</t>
  </si>
  <si>
    <t>S.2.19.1</t>
  </si>
  <si>
    <t>S.2.20</t>
  </si>
  <si>
    <t>FDB EIGHTH FLOOR</t>
  </si>
  <si>
    <t>3 Pole MCB - 20A-2nr</t>
  </si>
  <si>
    <t>S.2.20.1</t>
  </si>
  <si>
    <t>3 Pole MCCB - 20A-1nr</t>
  </si>
  <si>
    <t>1 Pole MCB - 10A-4nr</t>
  </si>
  <si>
    <t>S.2.20.2</t>
  </si>
  <si>
    <t>S.2.21</t>
  </si>
  <si>
    <t>S.3</t>
  </si>
  <si>
    <t>MAIN CABLING</t>
  </si>
  <si>
    <t>S.3.1</t>
  </si>
  <si>
    <r>
      <rPr>
        <sz val="10"/>
        <color indexed="8"/>
        <rFont val="Calibri"/>
        <charset val="134"/>
        <scheme val="minor"/>
      </rPr>
      <t>Supply Laying &amp; termination of  8x4Co 400 mm</t>
    </r>
    <r>
      <rPr>
        <vertAlign val="superscript"/>
        <sz val="10"/>
        <color indexed="8"/>
        <rFont val="Calibri"/>
        <charset val="134"/>
        <scheme val="minor"/>
      </rPr>
      <t>2</t>
    </r>
    <r>
      <rPr>
        <sz val="10"/>
        <color indexed="8"/>
        <rFont val="Calibri"/>
        <charset val="134"/>
        <scheme val="minor"/>
      </rPr>
      <t xml:space="preserve">  CU/XLPE/PVC +  4x400mm</t>
    </r>
    <r>
      <rPr>
        <vertAlign val="superscript"/>
        <sz val="10"/>
        <color indexed="8"/>
        <rFont val="Calibri"/>
        <charset val="134"/>
        <scheme val="minor"/>
      </rPr>
      <t xml:space="preserve">2 </t>
    </r>
    <r>
      <rPr>
        <sz val="10"/>
        <color indexed="8"/>
        <rFont val="Calibri"/>
        <charset val="134"/>
        <scheme val="minor"/>
      </rPr>
      <t xml:space="preserve">PVC/Cu Earth Cable from  MDB to Main Building </t>
    </r>
  </si>
  <si>
    <t>S.3.2</t>
  </si>
  <si>
    <r>
      <rPr>
        <sz val="10"/>
        <color indexed="8"/>
        <rFont val="Calibri"/>
        <charset val="134"/>
        <scheme val="minor"/>
      </rPr>
      <t>Supply Laying &amp; termination of  8x4Co 400 mm</t>
    </r>
    <r>
      <rPr>
        <vertAlign val="superscript"/>
        <sz val="10"/>
        <color indexed="8"/>
        <rFont val="Calibri"/>
        <charset val="134"/>
        <scheme val="minor"/>
      </rPr>
      <t>2</t>
    </r>
    <r>
      <rPr>
        <sz val="10"/>
        <color indexed="8"/>
        <rFont val="Calibri"/>
        <charset val="134"/>
        <scheme val="minor"/>
      </rPr>
      <t xml:space="preserve">  CU/XLPE/PVC +  4x400mm</t>
    </r>
    <r>
      <rPr>
        <vertAlign val="superscript"/>
        <sz val="10"/>
        <color indexed="8"/>
        <rFont val="Calibri"/>
        <charset val="134"/>
        <scheme val="minor"/>
      </rPr>
      <t xml:space="preserve">2 </t>
    </r>
    <r>
      <rPr>
        <sz val="10"/>
        <color indexed="8"/>
        <rFont val="Calibri"/>
        <charset val="134"/>
        <scheme val="minor"/>
      </rPr>
      <t>PVC/Cu Earth Cable from  Main Building to ATS</t>
    </r>
  </si>
  <si>
    <t>S.3.3</t>
  </si>
  <si>
    <r>
      <rPr>
        <sz val="10"/>
        <color indexed="8"/>
        <rFont val="Calibri"/>
        <charset val="134"/>
        <scheme val="minor"/>
      </rPr>
      <t>Supply Laying &amp; termination of  8x4Co 400 mm</t>
    </r>
    <r>
      <rPr>
        <vertAlign val="superscript"/>
        <sz val="10"/>
        <color indexed="8"/>
        <rFont val="Calibri"/>
        <charset val="134"/>
        <scheme val="minor"/>
      </rPr>
      <t>2</t>
    </r>
    <r>
      <rPr>
        <sz val="10"/>
        <color indexed="8"/>
        <rFont val="Calibri"/>
        <charset val="134"/>
        <scheme val="minor"/>
      </rPr>
      <t xml:space="preserve">  CU/XLPE/PVC +  4x400mm</t>
    </r>
    <r>
      <rPr>
        <vertAlign val="superscript"/>
        <sz val="10"/>
        <color indexed="8"/>
        <rFont val="Calibri"/>
        <charset val="134"/>
        <scheme val="minor"/>
      </rPr>
      <t xml:space="preserve">2 </t>
    </r>
    <r>
      <rPr>
        <sz val="10"/>
        <color indexed="8"/>
        <rFont val="Calibri"/>
        <charset val="134"/>
        <scheme val="minor"/>
      </rPr>
      <t>PVC/Cu Earth Cable from  GEN to ATS</t>
    </r>
  </si>
  <si>
    <t>S.3.4</t>
  </si>
  <si>
    <r>
      <rPr>
        <sz val="10"/>
        <color indexed="8"/>
        <rFont val="Calibri"/>
        <charset val="134"/>
        <scheme val="minor"/>
      </rPr>
      <t>Supply Laying &amp; termination of  8x4Co 400 mm</t>
    </r>
    <r>
      <rPr>
        <vertAlign val="superscript"/>
        <sz val="10"/>
        <color indexed="8"/>
        <rFont val="Calibri"/>
        <charset val="134"/>
        <scheme val="minor"/>
      </rPr>
      <t>2</t>
    </r>
    <r>
      <rPr>
        <sz val="10"/>
        <color indexed="8"/>
        <rFont val="Calibri"/>
        <charset val="134"/>
        <scheme val="minor"/>
      </rPr>
      <t xml:space="preserve">  CU/XLPE/PVC +  4x400mm</t>
    </r>
    <r>
      <rPr>
        <vertAlign val="superscript"/>
        <sz val="10"/>
        <color indexed="8"/>
        <rFont val="Calibri"/>
        <charset val="134"/>
        <scheme val="minor"/>
      </rPr>
      <t xml:space="preserve">2 </t>
    </r>
    <r>
      <rPr>
        <sz val="10"/>
        <color indexed="8"/>
        <rFont val="Calibri"/>
        <charset val="134"/>
        <scheme val="minor"/>
      </rPr>
      <t xml:space="preserve">PVC/Cu Earth Cable from  ATS to BDB-Main Building </t>
    </r>
  </si>
  <si>
    <t>S.4</t>
  </si>
  <si>
    <t>SUB MAIN CABLING</t>
  </si>
  <si>
    <t>BDB to Bus Riser 1</t>
  </si>
  <si>
    <t>S.4.1</t>
  </si>
  <si>
    <r>
      <rPr>
        <sz val="10"/>
        <rFont val="Calibri"/>
        <charset val="134"/>
        <scheme val="minor"/>
      </rPr>
      <t>Supply Laying &amp; termination of  5X4C 400 mm</t>
    </r>
    <r>
      <rPr>
        <vertAlign val="superscript"/>
        <sz val="10"/>
        <rFont val="Calibri"/>
        <charset val="134"/>
        <scheme val="minor"/>
      </rPr>
      <t>2</t>
    </r>
    <r>
      <rPr>
        <sz val="10"/>
        <rFont val="Calibri"/>
        <charset val="134"/>
        <scheme val="minor"/>
      </rPr>
      <t xml:space="preserve">  CU/XLPE/PVC armoured +  3X400mm</t>
    </r>
    <r>
      <rPr>
        <vertAlign val="superscript"/>
        <sz val="10"/>
        <rFont val="Calibri"/>
        <charset val="134"/>
        <scheme val="minor"/>
      </rPr>
      <t xml:space="preserve">2 </t>
    </r>
    <r>
      <rPr>
        <sz val="10"/>
        <rFont val="Calibri"/>
        <charset val="134"/>
        <scheme val="minor"/>
      </rPr>
      <t>PVC/Cu Earth Cable from BDB to Bus Riser 1</t>
    </r>
  </si>
  <si>
    <t>BDB to Bus Riser 2</t>
  </si>
  <si>
    <t>S.4.2</t>
  </si>
  <si>
    <r>
      <rPr>
        <sz val="10"/>
        <rFont val="Calibri"/>
        <charset val="134"/>
        <scheme val="minor"/>
      </rPr>
      <t>Supply Laying &amp; termination of  5X4C 400 mm</t>
    </r>
    <r>
      <rPr>
        <vertAlign val="superscript"/>
        <sz val="10"/>
        <rFont val="Calibri"/>
        <charset val="134"/>
        <scheme val="minor"/>
      </rPr>
      <t>2</t>
    </r>
    <r>
      <rPr>
        <sz val="10"/>
        <rFont val="Calibri"/>
        <charset val="134"/>
        <scheme val="minor"/>
      </rPr>
      <t xml:space="preserve">  CU/XLPE/PVC armoured +  3X400mm</t>
    </r>
    <r>
      <rPr>
        <vertAlign val="superscript"/>
        <sz val="10"/>
        <rFont val="Calibri"/>
        <charset val="134"/>
        <scheme val="minor"/>
      </rPr>
      <t xml:space="preserve">2 </t>
    </r>
    <r>
      <rPr>
        <sz val="10"/>
        <rFont val="Calibri"/>
        <charset val="134"/>
        <scheme val="minor"/>
      </rPr>
      <t>PVC/Cu Earth Cable from BDB to Bus Riser 2</t>
    </r>
  </si>
  <si>
    <t>BDB to FDB(Below Gnd Floor)</t>
  </si>
  <si>
    <t>S.4.3</t>
  </si>
  <si>
    <r>
      <rPr>
        <sz val="10"/>
        <rFont val="Calibri"/>
        <charset val="134"/>
        <scheme val="minor"/>
      </rPr>
      <t>Supply Laying &amp; termination of  2X4C 300 mm</t>
    </r>
    <r>
      <rPr>
        <vertAlign val="superscript"/>
        <sz val="10"/>
        <rFont val="Calibri"/>
        <charset val="134"/>
        <scheme val="minor"/>
      </rPr>
      <t>2</t>
    </r>
    <r>
      <rPr>
        <sz val="10"/>
        <rFont val="Calibri"/>
        <charset val="134"/>
        <scheme val="minor"/>
      </rPr>
      <t xml:space="preserve">  CU/XLPE/PVC armoured +  300mm</t>
    </r>
    <r>
      <rPr>
        <vertAlign val="superscript"/>
        <sz val="10"/>
        <rFont val="Calibri"/>
        <charset val="134"/>
        <scheme val="minor"/>
      </rPr>
      <t xml:space="preserve">2 </t>
    </r>
    <r>
      <rPr>
        <sz val="10"/>
        <rFont val="Calibri"/>
        <charset val="134"/>
        <scheme val="minor"/>
      </rPr>
      <t>PVC/Cu Earth Cable from BDB to FDB</t>
    </r>
  </si>
  <si>
    <t>BDB to FDB(Mezzaning)</t>
  </si>
  <si>
    <t>S.4.4</t>
  </si>
  <si>
    <r>
      <rPr>
        <sz val="10"/>
        <rFont val="Calibri"/>
        <charset val="134"/>
        <scheme val="minor"/>
      </rPr>
      <t>Supply Laying &amp; termination of  4C 6mm</t>
    </r>
    <r>
      <rPr>
        <vertAlign val="superscript"/>
        <sz val="10"/>
        <rFont val="Calibri"/>
        <charset val="134"/>
        <scheme val="minor"/>
      </rPr>
      <t>2</t>
    </r>
    <r>
      <rPr>
        <sz val="10"/>
        <rFont val="Calibri"/>
        <charset val="134"/>
        <scheme val="minor"/>
      </rPr>
      <t xml:space="preserve">  CU/XLPE/PVC +  6mm</t>
    </r>
    <r>
      <rPr>
        <vertAlign val="superscript"/>
        <sz val="10"/>
        <rFont val="Calibri"/>
        <charset val="134"/>
        <scheme val="minor"/>
      </rPr>
      <t xml:space="preserve">2 </t>
    </r>
    <r>
      <rPr>
        <sz val="10"/>
        <rFont val="Calibri"/>
        <charset val="134"/>
        <scheme val="minor"/>
      </rPr>
      <t>PVC/Cu Earth Cable from  BDB to FDB</t>
    </r>
  </si>
  <si>
    <t>BDB to AC-BG &amp;MEZ</t>
  </si>
  <si>
    <t>S.4.5</t>
  </si>
  <si>
    <r>
      <rPr>
        <sz val="10"/>
        <rFont val="Calibri"/>
        <charset val="134"/>
        <scheme val="minor"/>
      </rPr>
      <t>Supply Laying &amp; termination of  4C 4mm</t>
    </r>
    <r>
      <rPr>
        <vertAlign val="superscript"/>
        <sz val="10"/>
        <rFont val="Calibri"/>
        <charset val="134"/>
        <scheme val="minor"/>
      </rPr>
      <t>2</t>
    </r>
    <r>
      <rPr>
        <sz val="10"/>
        <rFont val="Calibri"/>
        <charset val="134"/>
        <scheme val="minor"/>
      </rPr>
      <t xml:space="preserve">  CU/XLPE/PVC +  4mm</t>
    </r>
    <r>
      <rPr>
        <vertAlign val="superscript"/>
        <sz val="10"/>
        <rFont val="Calibri"/>
        <charset val="134"/>
        <scheme val="minor"/>
      </rPr>
      <t xml:space="preserve">2 </t>
    </r>
    <r>
      <rPr>
        <sz val="10"/>
        <rFont val="Calibri"/>
        <charset val="134"/>
        <scheme val="minor"/>
      </rPr>
      <t>PVC/Cu Earth Cable from  BDB to Street DB</t>
    </r>
  </si>
  <si>
    <t>BDB to Street DB</t>
  </si>
  <si>
    <t>S.4.6</t>
  </si>
  <si>
    <r>
      <rPr>
        <sz val="10"/>
        <rFont val="Calibri"/>
        <charset val="134"/>
        <scheme val="minor"/>
      </rPr>
      <t>Supply Laying &amp; termination of  4C 10mm</t>
    </r>
    <r>
      <rPr>
        <vertAlign val="superscript"/>
        <sz val="10"/>
        <rFont val="Calibri"/>
        <charset val="134"/>
        <scheme val="minor"/>
      </rPr>
      <t>2</t>
    </r>
    <r>
      <rPr>
        <sz val="10"/>
        <rFont val="Calibri"/>
        <charset val="134"/>
        <scheme val="minor"/>
      </rPr>
      <t xml:space="preserve">  CU/XLPE/PVC +  10mm</t>
    </r>
    <r>
      <rPr>
        <vertAlign val="superscript"/>
        <sz val="10"/>
        <rFont val="Calibri"/>
        <charset val="134"/>
        <scheme val="minor"/>
      </rPr>
      <t xml:space="preserve">2 </t>
    </r>
    <r>
      <rPr>
        <sz val="10"/>
        <rFont val="Calibri"/>
        <charset val="134"/>
        <scheme val="minor"/>
      </rPr>
      <t>PVC/Cu Earth Cable from  BDB to AC</t>
    </r>
  </si>
  <si>
    <t>Bus Riser 1 to FDB-GF</t>
  </si>
  <si>
    <t>S.4.7</t>
  </si>
  <si>
    <r>
      <rPr>
        <sz val="10"/>
        <color indexed="8"/>
        <rFont val="Calibri"/>
        <charset val="134"/>
        <scheme val="minor"/>
      </rPr>
      <t>Supply Laying &amp; termination of  of 4C 25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 xml:space="preserve">PVC/Cu Earth Cable from  Bus Riser 1 to FDB </t>
    </r>
  </si>
  <si>
    <t>Bus Riser 1 to FDBAC-GF</t>
  </si>
  <si>
    <t>S.4.8</t>
  </si>
  <si>
    <r>
      <rPr>
        <sz val="10"/>
        <color indexed="8"/>
        <rFont val="Calibri"/>
        <charset val="134"/>
        <scheme val="minor"/>
      </rPr>
      <t>Supply Laying &amp; termination of  of 4C 25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PVC/Cu Earth Cable from  Bus Riser 1 to FDBAC</t>
    </r>
  </si>
  <si>
    <t>Bus Riser 1 to FDB-2nd FL</t>
  </si>
  <si>
    <t>S.4.9</t>
  </si>
  <si>
    <r>
      <rPr>
        <sz val="10"/>
        <color indexed="8"/>
        <rFont val="Calibri"/>
        <charset val="134"/>
        <scheme val="minor"/>
      </rPr>
      <t>Supply Laying &amp; termination of  of 4C 50 mm</t>
    </r>
    <r>
      <rPr>
        <vertAlign val="superscript"/>
        <sz val="10"/>
        <color indexed="8"/>
        <rFont val="Calibri"/>
        <charset val="134"/>
        <scheme val="minor"/>
      </rPr>
      <t>2</t>
    </r>
    <r>
      <rPr>
        <sz val="10"/>
        <color indexed="8"/>
        <rFont val="Calibri"/>
        <charset val="134"/>
        <scheme val="minor"/>
      </rPr>
      <t xml:space="preserve">  CU/XLPE/PVC + 25 mm</t>
    </r>
    <r>
      <rPr>
        <vertAlign val="superscript"/>
        <sz val="10"/>
        <color indexed="8"/>
        <rFont val="Calibri"/>
        <charset val="134"/>
        <scheme val="minor"/>
      </rPr>
      <t xml:space="preserve">2 </t>
    </r>
    <r>
      <rPr>
        <sz val="10"/>
        <color indexed="8"/>
        <rFont val="Calibri"/>
        <charset val="134"/>
        <scheme val="minor"/>
      </rPr>
      <t xml:space="preserve">PVC/Cu Earth Cable from  Bus Riser 1 to 2nd FDB </t>
    </r>
  </si>
  <si>
    <t>Bus Riser 1 to FDB-4th FL</t>
  </si>
  <si>
    <t>S.4.10</t>
  </si>
  <si>
    <r>
      <rPr>
        <sz val="10"/>
        <color indexed="8"/>
        <rFont val="Calibri"/>
        <charset val="134"/>
        <scheme val="minor"/>
      </rPr>
      <t>Supply Laying &amp; termination of  of 4C 25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PVC/Cu Earth Cable from  Bus Riser 1 to 4th FDB</t>
    </r>
  </si>
  <si>
    <t>Bus Riser 1 to FDBAC-4th FL</t>
  </si>
  <si>
    <t>S.4.11</t>
  </si>
  <si>
    <r>
      <rPr>
        <sz val="10"/>
        <color indexed="8"/>
        <rFont val="Calibri"/>
        <charset val="134"/>
        <scheme val="minor"/>
      </rPr>
      <t>Supply Laying &amp; termination of  of 4C 25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PVC/Cu Earth Cable from  Bus Riser 1 to 4th FDBAC</t>
    </r>
  </si>
  <si>
    <t>Bus Riser 1 to FDB-6th FL</t>
  </si>
  <si>
    <t>S.4.12</t>
  </si>
  <si>
    <t>Bus Riser 1 to FDB-8th FL</t>
  </si>
  <si>
    <t>S.4.13</t>
  </si>
  <si>
    <t>Bus Riser 1 to FDBAC-8th FL</t>
  </si>
  <si>
    <t>S.4.14</t>
  </si>
  <si>
    <t>Bus Riser 1 to LIFT 1</t>
  </si>
  <si>
    <t>S.4.15</t>
  </si>
  <si>
    <r>
      <rPr>
        <sz val="10"/>
        <color indexed="8"/>
        <rFont val="Calibri"/>
        <charset val="134"/>
        <scheme val="minor"/>
      </rPr>
      <t>Supply Laying &amp; termination of  of 4C 25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PVC/Cu Earth Cable from  Bus Riser 1 to LIFT 1</t>
    </r>
  </si>
  <si>
    <t>Bus Riser 1 to LIFT 2</t>
  </si>
  <si>
    <t>S.4.16</t>
  </si>
  <si>
    <r>
      <rPr>
        <sz val="10"/>
        <color indexed="8"/>
        <rFont val="Calibri"/>
        <charset val="134"/>
        <scheme val="minor"/>
      </rPr>
      <t>Supply Laying &amp; termination of  of 4C 25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PVC/Cu Earth Cable from  Bus Riser 1 to LIFT 2</t>
    </r>
  </si>
  <si>
    <t>Bus Riser 2 to FDB-1st FL</t>
  </si>
  <si>
    <t>S.4.17</t>
  </si>
  <si>
    <r>
      <rPr>
        <sz val="10"/>
        <color indexed="8"/>
        <rFont val="Calibri"/>
        <charset val="134"/>
        <scheme val="minor"/>
      </rPr>
      <t>Supply Laying &amp; termination of  of 4C 50 mm</t>
    </r>
    <r>
      <rPr>
        <vertAlign val="superscript"/>
        <sz val="10"/>
        <color indexed="8"/>
        <rFont val="Calibri"/>
        <charset val="134"/>
        <scheme val="minor"/>
      </rPr>
      <t>2</t>
    </r>
    <r>
      <rPr>
        <sz val="10"/>
        <color indexed="8"/>
        <rFont val="Calibri"/>
        <charset val="134"/>
        <scheme val="minor"/>
      </rPr>
      <t xml:space="preserve">  CU/XLPE/PVC + 25 mm</t>
    </r>
    <r>
      <rPr>
        <vertAlign val="superscript"/>
        <sz val="10"/>
        <color indexed="8"/>
        <rFont val="Calibri"/>
        <charset val="134"/>
        <scheme val="minor"/>
      </rPr>
      <t xml:space="preserve">2 </t>
    </r>
    <r>
      <rPr>
        <sz val="10"/>
        <color indexed="8"/>
        <rFont val="Calibri"/>
        <charset val="134"/>
        <scheme val="minor"/>
      </rPr>
      <t xml:space="preserve">PVC/Cu Earth Cable from  Bus Riser 2 to FDB </t>
    </r>
  </si>
  <si>
    <t>Bus Riser 2 to FDBAC-1st FL</t>
  </si>
  <si>
    <t>S.4.18</t>
  </si>
  <si>
    <r>
      <rPr>
        <sz val="10"/>
        <color indexed="8"/>
        <rFont val="Calibri"/>
        <charset val="134"/>
        <scheme val="minor"/>
      </rPr>
      <t>Supply Laying &amp; termination of  of 4C 25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PVC/Cu Earth Cable from  Bus Riser 2 to FDBAC</t>
    </r>
  </si>
  <si>
    <t>Bus Riser 2 to FDBAC-2nd FL</t>
  </si>
  <si>
    <t>S.4.19</t>
  </si>
  <si>
    <t>Bus Riser 2 to FDB-3rd FL</t>
  </si>
  <si>
    <t>S.4.20</t>
  </si>
  <si>
    <r>
      <rPr>
        <sz val="10"/>
        <color indexed="8"/>
        <rFont val="Calibri"/>
        <charset val="134"/>
        <scheme val="minor"/>
      </rPr>
      <t>Supply Laying &amp; termination of  of 4C 25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PVC/Cu Earth Cable from  Bus Riser 2 to  FDB</t>
    </r>
  </si>
  <si>
    <t>Bus Riser 2 to FDB-5th FL</t>
  </si>
  <si>
    <t>S.4.21</t>
  </si>
  <si>
    <t>Bus Riser 2 to FDBAC-5th FL</t>
  </si>
  <si>
    <t>S.4.22</t>
  </si>
  <si>
    <r>
      <rPr>
        <sz val="10"/>
        <color indexed="8"/>
        <rFont val="Calibri"/>
        <charset val="134"/>
        <scheme val="minor"/>
      </rPr>
      <t>Supply Laying &amp; termination of  of 4C 50 mm</t>
    </r>
    <r>
      <rPr>
        <vertAlign val="superscript"/>
        <sz val="10"/>
        <color indexed="8"/>
        <rFont val="Calibri"/>
        <charset val="134"/>
        <scheme val="minor"/>
      </rPr>
      <t>2</t>
    </r>
    <r>
      <rPr>
        <sz val="10"/>
        <color indexed="8"/>
        <rFont val="Calibri"/>
        <charset val="134"/>
        <scheme val="minor"/>
      </rPr>
      <t xml:space="preserve">  CU/XLPE/PVC + 25 mm</t>
    </r>
    <r>
      <rPr>
        <vertAlign val="superscript"/>
        <sz val="10"/>
        <color indexed="8"/>
        <rFont val="Calibri"/>
        <charset val="134"/>
        <scheme val="minor"/>
      </rPr>
      <t xml:space="preserve">2 </t>
    </r>
    <r>
      <rPr>
        <sz val="10"/>
        <color indexed="8"/>
        <rFont val="Calibri"/>
        <charset val="134"/>
        <scheme val="minor"/>
      </rPr>
      <t xml:space="preserve">PVC/Cu Earth Cable from  Bus Riser 2 to FDBAC </t>
    </r>
  </si>
  <si>
    <t>Bus Riser 2 to FDB-7th FL</t>
  </si>
  <si>
    <t>S.4.23</t>
  </si>
  <si>
    <r>
      <rPr>
        <sz val="10"/>
        <color indexed="8"/>
        <rFont val="Calibri"/>
        <charset val="134"/>
        <scheme val="minor"/>
      </rPr>
      <t>Supply Laying &amp; termination of  of 4C 16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PVC/Cu Earth Cable from  Bus Riser 2 to  FDB</t>
    </r>
  </si>
  <si>
    <t>Bus Riser 2 to LIFT 3</t>
  </si>
  <si>
    <t>S.4.24</t>
  </si>
  <si>
    <r>
      <rPr>
        <sz val="10"/>
        <color indexed="8"/>
        <rFont val="Calibri"/>
        <charset val="134"/>
        <scheme val="minor"/>
      </rPr>
      <t>Supply Laying &amp; termination of  of 4C 25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PVC/Cu Earth Cable from  Bus Riser 2 to LIFT 3</t>
    </r>
  </si>
  <si>
    <t>Bus Riser 2 to LIFT 4</t>
  </si>
  <si>
    <t>S.4.25</t>
  </si>
  <si>
    <r>
      <rPr>
        <sz val="10"/>
        <color indexed="8"/>
        <rFont val="Calibri"/>
        <charset val="134"/>
        <scheme val="minor"/>
      </rPr>
      <t>Supply Laying &amp; termination of  of 4C 25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PVC/Cu Earth Cable from  Bus Riser 2 to LIFT 4</t>
    </r>
  </si>
  <si>
    <t>FDB-BGF to DB1</t>
  </si>
  <si>
    <t>S.4.26</t>
  </si>
  <si>
    <r>
      <rPr>
        <sz val="10"/>
        <color indexed="8"/>
        <rFont val="Calibri"/>
        <charset val="134"/>
        <scheme val="minor"/>
      </rPr>
      <t>Supply Laying &amp; termination of  of 4C 150 mm</t>
    </r>
    <r>
      <rPr>
        <vertAlign val="superscript"/>
        <sz val="10"/>
        <color indexed="8"/>
        <rFont val="Calibri"/>
        <charset val="134"/>
        <scheme val="minor"/>
      </rPr>
      <t>2</t>
    </r>
    <r>
      <rPr>
        <sz val="10"/>
        <color indexed="8"/>
        <rFont val="Calibri"/>
        <charset val="134"/>
        <scheme val="minor"/>
      </rPr>
      <t xml:space="preserve">  CU/XLPE/PVC + 95 mm</t>
    </r>
    <r>
      <rPr>
        <vertAlign val="superscript"/>
        <sz val="10"/>
        <color indexed="8"/>
        <rFont val="Calibri"/>
        <charset val="134"/>
        <scheme val="minor"/>
      </rPr>
      <t xml:space="preserve">2 </t>
    </r>
    <r>
      <rPr>
        <sz val="10"/>
        <color indexed="8"/>
        <rFont val="Calibri"/>
        <charset val="134"/>
        <scheme val="minor"/>
      </rPr>
      <t>PVC/Cu Earth Cable from  FDB-BGF to DB1</t>
    </r>
  </si>
  <si>
    <t>FDB-BGF to DB2</t>
  </si>
  <si>
    <t>S.4.27</t>
  </si>
  <si>
    <r>
      <rPr>
        <sz val="10"/>
        <color indexed="8"/>
        <rFont val="Calibri"/>
        <charset val="134"/>
        <scheme val="minor"/>
      </rPr>
      <t>Supply Laying &amp; termination of  of 4C 240 mm</t>
    </r>
    <r>
      <rPr>
        <vertAlign val="superscript"/>
        <sz val="10"/>
        <color indexed="8"/>
        <rFont val="Calibri"/>
        <charset val="134"/>
        <scheme val="minor"/>
      </rPr>
      <t>2</t>
    </r>
    <r>
      <rPr>
        <sz val="10"/>
        <color indexed="8"/>
        <rFont val="Calibri"/>
        <charset val="134"/>
        <scheme val="minor"/>
      </rPr>
      <t xml:space="preserve">  CU/XLPE/PVC + 120 mm</t>
    </r>
    <r>
      <rPr>
        <vertAlign val="superscript"/>
        <sz val="10"/>
        <color indexed="8"/>
        <rFont val="Calibri"/>
        <charset val="134"/>
        <scheme val="minor"/>
      </rPr>
      <t xml:space="preserve">2 </t>
    </r>
    <r>
      <rPr>
        <sz val="10"/>
        <color indexed="8"/>
        <rFont val="Calibri"/>
        <charset val="134"/>
        <scheme val="minor"/>
      </rPr>
      <t xml:space="preserve">PVC/Cu Earth Cable from FDB-BGF to DB2 </t>
    </r>
  </si>
  <si>
    <t>FDB-MEZ to DB1</t>
  </si>
  <si>
    <t>S.4.28</t>
  </si>
  <si>
    <r>
      <rPr>
        <sz val="10"/>
        <color indexed="8"/>
        <rFont val="Calibri"/>
        <charset val="134"/>
        <scheme val="minor"/>
      </rPr>
      <t>Supply Laying &amp; termination of  of 4C 16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PVC/Cu Earth Cable from  FDB-MEZ to DB1</t>
    </r>
  </si>
  <si>
    <t>FDB-MEZ to DB2</t>
  </si>
  <si>
    <t>S.4.29</t>
  </si>
  <si>
    <r>
      <rPr>
        <sz val="10"/>
        <color indexed="8"/>
        <rFont val="Calibri"/>
        <charset val="134"/>
        <scheme val="minor"/>
      </rPr>
      <t>Supply Laying &amp; termination of  of 4C 16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 xml:space="preserve">PVC/Cu Earth Cable from FDB-MEZ to DB2 </t>
    </r>
  </si>
  <si>
    <t>FDB-GF to DB1</t>
  </si>
  <si>
    <t>S.4.30</t>
  </si>
  <si>
    <r>
      <rPr>
        <sz val="10"/>
        <color indexed="8"/>
        <rFont val="Calibri"/>
        <charset val="134"/>
        <scheme val="minor"/>
      </rPr>
      <t>Supply Laying &amp; termination of  of 4C 25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PVC/Cu Earth Cable from  FDB-GF to DB1</t>
    </r>
  </si>
  <si>
    <t>FDB-GF to DB2</t>
  </si>
  <si>
    <t>S.4.31</t>
  </si>
  <si>
    <r>
      <rPr>
        <sz val="10"/>
        <color indexed="8"/>
        <rFont val="Calibri"/>
        <charset val="134"/>
        <scheme val="minor"/>
      </rPr>
      <t>Supply Laying &amp; termination of  of 4C 35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 xml:space="preserve">PVC/Cu Earth Cable from FDB-GF to DB2 </t>
    </r>
  </si>
  <si>
    <t>FDB-GF to DB3</t>
  </si>
  <si>
    <t>S.4.32</t>
  </si>
  <si>
    <r>
      <rPr>
        <sz val="10"/>
        <color indexed="8"/>
        <rFont val="Calibri"/>
        <charset val="134"/>
        <scheme val="minor"/>
      </rPr>
      <t>Supply Laying &amp; termination of  of 4C 25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PVC/Cu Earth Cable from  FDB-GF to DB3</t>
    </r>
  </si>
  <si>
    <t>FDB-1st FL to DB1</t>
  </si>
  <si>
    <t>S.4.33</t>
  </si>
  <si>
    <r>
      <rPr>
        <sz val="10"/>
        <color indexed="8"/>
        <rFont val="Calibri"/>
        <charset val="134"/>
        <scheme val="minor"/>
      </rPr>
      <t>Supply Laying &amp; termination of  of 4C 25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PVC/Cu Earth Cable from  FDB-1st FL to DB1</t>
    </r>
  </si>
  <si>
    <t>FDB-1st FL to DB2</t>
  </si>
  <si>
    <t>S.4.34</t>
  </si>
  <si>
    <r>
      <rPr>
        <sz val="10"/>
        <color indexed="8"/>
        <rFont val="Calibri"/>
        <charset val="134"/>
        <scheme val="minor"/>
      </rPr>
      <t>Supply Laying &amp; termination of  of 4C 95 mm</t>
    </r>
    <r>
      <rPr>
        <vertAlign val="superscript"/>
        <sz val="10"/>
        <color indexed="8"/>
        <rFont val="Calibri"/>
        <charset val="134"/>
        <scheme val="minor"/>
      </rPr>
      <t>2</t>
    </r>
    <r>
      <rPr>
        <sz val="10"/>
        <color indexed="8"/>
        <rFont val="Calibri"/>
        <charset val="134"/>
        <scheme val="minor"/>
      </rPr>
      <t xml:space="preserve">  CU/XLPE/PVC + 50 mm</t>
    </r>
    <r>
      <rPr>
        <vertAlign val="superscript"/>
        <sz val="10"/>
        <color indexed="8"/>
        <rFont val="Calibri"/>
        <charset val="134"/>
        <scheme val="minor"/>
      </rPr>
      <t xml:space="preserve">2 </t>
    </r>
    <r>
      <rPr>
        <sz val="10"/>
        <color indexed="8"/>
        <rFont val="Calibri"/>
        <charset val="134"/>
        <scheme val="minor"/>
      </rPr>
      <t xml:space="preserve">PVC/Cu Earth Cable from FDB-1st FL to DB2 </t>
    </r>
  </si>
  <si>
    <t>FDB-1st FL to DB3</t>
  </si>
  <si>
    <t>S.4.35</t>
  </si>
  <si>
    <r>
      <rPr>
        <sz val="10"/>
        <color indexed="8"/>
        <rFont val="Calibri"/>
        <charset val="134"/>
        <scheme val="minor"/>
      </rPr>
      <t>Supply Laying &amp; termination of  of 4C 150 mm</t>
    </r>
    <r>
      <rPr>
        <vertAlign val="superscript"/>
        <sz val="10"/>
        <color indexed="8"/>
        <rFont val="Calibri"/>
        <charset val="134"/>
        <scheme val="minor"/>
      </rPr>
      <t>2</t>
    </r>
    <r>
      <rPr>
        <sz val="10"/>
        <color indexed="8"/>
        <rFont val="Calibri"/>
        <charset val="134"/>
        <scheme val="minor"/>
      </rPr>
      <t xml:space="preserve">  CU/XLPE/PVC + 95 mm</t>
    </r>
    <r>
      <rPr>
        <vertAlign val="superscript"/>
        <sz val="10"/>
        <color indexed="8"/>
        <rFont val="Calibri"/>
        <charset val="134"/>
        <scheme val="minor"/>
      </rPr>
      <t xml:space="preserve">2 </t>
    </r>
    <r>
      <rPr>
        <sz val="10"/>
        <color indexed="8"/>
        <rFont val="Calibri"/>
        <charset val="134"/>
        <scheme val="minor"/>
      </rPr>
      <t>PVC/Cu Earth Cable from  FDB-1st FL to DB3</t>
    </r>
  </si>
  <si>
    <t>FDB-2nd FL to DB1</t>
  </si>
  <si>
    <t>S.4.36</t>
  </si>
  <si>
    <r>
      <rPr>
        <sz val="10"/>
        <color indexed="8"/>
        <rFont val="Calibri"/>
        <charset val="134"/>
        <scheme val="minor"/>
      </rPr>
      <t>Supply Laying &amp; termination of  of 4C 70 mm</t>
    </r>
    <r>
      <rPr>
        <vertAlign val="superscript"/>
        <sz val="10"/>
        <color indexed="8"/>
        <rFont val="Calibri"/>
        <charset val="134"/>
        <scheme val="minor"/>
      </rPr>
      <t>2</t>
    </r>
    <r>
      <rPr>
        <sz val="10"/>
        <color indexed="8"/>
        <rFont val="Calibri"/>
        <charset val="134"/>
        <scheme val="minor"/>
      </rPr>
      <t xml:space="preserve">  CU/XLPE/PVC + 35 mm</t>
    </r>
    <r>
      <rPr>
        <vertAlign val="superscript"/>
        <sz val="10"/>
        <color indexed="8"/>
        <rFont val="Calibri"/>
        <charset val="134"/>
        <scheme val="minor"/>
      </rPr>
      <t xml:space="preserve">2 </t>
    </r>
    <r>
      <rPr>
        <sz val="10"/>
        <color indexed="8"/>
        <rFont val="Calibri"/>
        <charset val="134"/>
        <scheme val="minor"/>
      </rPr>
      <t>PVC/Cu Earth Cable from  FDB-2nd FL to DB1</t>
    </r>
  </si>
  <si>
    <t>FDB-2nd FL to DB2</t>
  </si>
  <si>
    <t>S.4.37</t>
  </si>
  <si>
    <r>
      <rPr>
        <sz val="10"/>
        <color indexed="8"/>
        <rFont val="Calibri"/>
        <charset val="134"/>
        <scheme val="minor"/>
      </rPr>
      <t>Supply Laying &amp; termination of  of 4C 25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 xml:space="preserve">PVC/Cu Earth Cable from FDB-2nd FL to DB2 </t>
    </r>
  </si>
  <si>
    <t>FDB-2nd FL to DB3</t>
  </si>
  <si>
    <t>S.4.38</t>
  </si>
  <si>
    <r>
      <rPr>
        <sz val="10"/>
        <color indexed="8"/>
        <rFont val="Calibri"/>
        <charset val="134"/>
        <scheme val="minor"/>
      </rPr>
      <t>Supply Laying &amp; termination of  of 4C 25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PVC/Cu Earth Cable from  FDB-2nd FL to DB3</t>
    </r>
  </si>
  <si>
    <t>FDB-2nd FL to DB4</t>
  </si>
  <si>
    <t>S.4.39</t>
  </si>
  <si>
    <r>
      <rPr>
        <sz val="10"/>
        <color indexed="8"/>
        <rFont val="Calibri"/>
        <charset val="134"/>
        <scheme val="minor"/>
      </rPr>
      <t>Supply Laying &amp; termination of  of 4C 10 mm</t>
    </r>
    <r>
      <rPr>
        <vertAlign val="superscript"/>
        <sz val="10"/>
        <color indexed="8"/>
        <rFont val="Calibri"/>
        <charset val="134"/>
        <scheme val="minor"/>
      </rPr>
      <t>2</t>
    </r>
    <r>
      <rPr>
        <sz val="10"/>
        <color indexed="8"/>
        <rFont val="Calibri"/>
        <charset val="134"/>
        <scheme val="minor"/>
      </rPr>
      <t xml:space="preserve">  CU/XLPE/PVC + 10 mm</t>
    </r>
    <r>
      <rPr>
        <vertAlign val="superscript"/>
        <sz val="10"/>
        <color indexed="8"/>
        <rFont val="Calibri"/>
        <charset val="134"/>
        <scheme val="minor"/>
      </rPr>
      <t xml:space="preserve">2 </t>
    </r>
    <r>
      <rPr>
        <sz val="10"/>
        <color indexed="8"/>
        <rFont val="Calibri"/>
        <charset val="134"/>
        <scheme val="minor"/>
      </rPr>
      <t>PVC/Cu Earth Cable from  FDB-2nd FL to DB4</t>
    </r>
  </si>
  <si>
    <t>FDB-3rd FL to DB1</t>
  </si>
  <si>
    <t>S.4.40</t>
  </si>
  <si>
    <r>
      <rPr>
        <sz val="10"/>
        <color indexed="8"/>
        <rFont val="Calibri"/>
        <charset val="134"/>
        <scheme val="minor"/>
      </rPr>
      <t>Supply Laying &amp; termination of  of 4C 16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PVC/Cu Earth Cable from  FDB-3rd FL to DB1</t>
    </r>
  </si>
  <si>
    <t>FDB-3rd FL to DB2</t>
  </si>
  <si>
    <t>S.4.41</t>
  </si>
  <si>
    <r>
      <rPr>
        <sz val="10"/>
        <color indexed="8"/>
        <rFont val="Calibri"/>
        <charset val="134"/>
        <scheme val="minor"/>
      </rPr>
      <t>Supply Laying &amp; termination of  of 4C 50 mm</t>
    </r>
    <r>
      <rPr>
        <vertAlign val="superscript"/>
        <sz val="10"/>
        <color indexed="8"/>
        <rFont val="Calibri"/>
        <charset val="134"/>
        <scheme val="minor"/>
      </rPr>
      <t>2</t>
    </r>
    <r>
      <rPr>
        <sz val="10"/>
        <color indexed="8"/>
        <rFont val="Calibri"/>
        <charset val="134"/>
        <scheme val="minor"/>
      </rPr>
      <t xml:space="preserve">  CU/XLPE/PVC + 25 mm</t>
    </r>
    <r>
      <rPr>
        <vertAlign val="superscript"/>
        <sz val="10"/>
        <color indexed="8"/>
        <rFont val="Calibri"/>
        <charset val="134"/>
        <scheme val="minor"/>
      </rPr>
      <t xml:space="preserve">2 </t>
    </r>
    <r>
      <rPr>
        <sz val="10"/>
        <color indexed="8"/>
        <rFont val="Calibri"/>
        <charset val="134"/>
        <scheme val="minor"/>
      </rPr>
      <t xml:space="preserve">PVC/Cu Earth Cable from FDB-3rd FL to DB2 </t>
    </r>
  </si>
  <si>
    <t>FDB-4th FL to DB1</t>
  </si>
  <si>
    <t>S.4.42</t>
  </si>
  <si>
    <r>
      <rPr>
        <sz val="10"/>
        <color indexed="8"/>
        <rFont val="Calibri"/>
        <charset val="134"/>
        <scheme val="minor"/>
      </rPr>
      <t>Supply Laying &amp; termination of  of 4C 25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PVC/Cu Earth Cable from  FDB-4th FL to DB1</t>
    </r>
  </si>
  <si>
    <t>FDB-4th FL to DB2</t>
  </si>
  <si>
    <t>S.4.43</t>
  </si>
  <si>
    <r>
      <rPr>
        <sz val="10"/>
        <color indexed="8"/>
        <rFont val="Calibri"/>
        <charset val="134"/>
        <scheme val="minor"/>
      </rPr>
      <t>Supply Laying &amp; termination of  of 4C 10 mm</t>
    </r>
    <r>
      <rPr>
        <vertAlign val="superscript"/>
        <sz val="10"/>
        <color indexed="8"/>
        <rFont val="Calibri"/>
        <charset val="134"/>
        <scheme val="minor"/>
      </rPr>
      <t>2</t>
    </r>
    <r>
      <rPr>
        <sz val="10"/>
        <color indexed="8"/>
        <rFont val="Calibri"/>
        <charset val="134"/>
        <scheme val="minor"/>
      </rPr>
      <t xml:space="preserve">  CU/XLPE/PVC + 10 mm</t>
    </r>
    <r>
      <rPr>
        <vertAlign val="superscript"/>
        <sz val="10"/>
        <color indexed="8"/>
        <rFont val="Calibri"/>
        <charset val="134"/>
        <scheme val="minor"/>
      </rPr>
      <t xml:space="preserve">2 </t>
    </r>
    <r>
      <rPr>
        <sz val="10"/>
        <color indexed="8"/>
        <rFont val="Calibri"/>
        <charset val="134"/>
        <scheme val="minor"/>
      </rPr>
      <t xml:space="preserve">PVC/Cu Earth Cable from FDB-4th FL to DB2 </t>
    </r>
  </si>
  <si>
    <t>FDB-4th FL to DB3</t>
  </si>
  <si>
    <t>S.4.44</t>
  </si>
  <si>
    <r>
      <rPr>
        <sz val="10"/>
        <color indexed="8"/>
        <rFont val="Calibri"/>
        <charset val="134"/>
        <scheme val="minor"/>
      </rPr>
      <t>Supply Laying &amp; termination of  of 4C 25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PVC/Cu Earth Cable from  FDB-4th FL to DB3</t>
    </r>
  </si>
  <si>
    <t>FDB-5th FL to DB1</t>
  </si>
  <si>
    <t>S.4.45</t>
  </si>
  <si>
    <r>
      <rPr>
        <sz val="10"/>
        <color indexed="8"/>
        <rFont val="Calibri"/>
        <charset val="134"/>
        <scheme val="minor"/>
      </rPr>
      <t>Supply Laying &amp; termination of  of 4C 25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PVC/Cu Earth Cable from  FDB-5th FL to DB1</t>
    </r>
  </si>
  <si>
    <t>FDB-5th FL to DB2</t>
  </si>
  <si>
    <t>S.4.46</t>
  </si>
  <si>
    <r>
      <rPr>
        <sz val="10"/>
        <color indexed="8"/>
        <rFont val="Calibri"/>
        <charset val="134"/>
        <scheme val="minor"/>
      </rPr>
      <t>Supply Laying &amp; termination of  of 4C 25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 xml:space="preserve">PVC/Cu Earth Cable from FDB-5th FL to DB2 </t>
    </r>
  </si>
  <si>
    <t>FDB-5th FL to DB3</t>
  </si>
  <si>
    <t>S.4.47</t>
  </si>
  <si>
    <r>
      <rPr>
        <sz val="10"/>
        <color indexed="8"/>
        <rFont val="Calibri"/>
        <charset val="134"/>
        <scheme val="minor"/>
      </rPr>
      <t>Supply Laying &amp; termination of  of 4C 10 mm</t>
    </r>
    <r>
      <rPr>
        <vertAlign val="superscript"/>
        <sz val="10"/>
        <color indexed="8"/>
        <rFont val="Calibri"/>
        <charset val="134"/>
        <scheme val="minor"/>
      </rPr>
      <t>2</t>
    </r>
    <r>
      <rPr>
        <sz val="10"/>
        <color indexed="8"/>
        <rFont val="Calibri"/>
        <charset val="134"/>
        <scheme val="minor"/>
      </rPr>
      <t xml:space="preserve">  CU/XLPE/PVC + 10 mm</t>
    </r>
    <r>
      <rPr>
        <vertAlign val="superscript"/>
        <sz val="10"/>
        <color indexed="8"/>
        <rFont val="Calibri"/>
        <charset val="134"/>
        <scheme val="minor"/>
      </rPr>
      <t xml:space="preserve">2 </t>
    </r>
    <r>
      <rPr>
        <sz val="10"/>
        <color indexed="8"/>
        <rFont val="Calibri"/>
        <charset val="134"/>
        <scheme val="minor"/>
      </rPr>
      <t>PVC/Cu Earth Cable from  FDB-5th FL to DB3</t>
    </r>
  </si>
  <si>
    <t>FDB-6th FL to DB1</t>
  </si>
  <si>
    <t>S.4.48</t>
  </si>
  <si>
    <r>
      <rPr>
        <sz val="10"/>
        <color indexed="8"/>
        <rFont val="Calibri"/>
        <charset val="134"/>
        <scheme val="minor"/>
      </rPr>
      <t>Supply Laying &amp; termination of  of 4C 10 mm</t>
    </r>
    <r>
      <rPr>
        <vertAlign val="superscript"/>
        <sz val="10"/>
        <color indexed="8"/>
        <rFont val="Calibri"/>
        <charset val="134"/>
        <scheme val="minor"/>
      </rPr>
      <t>2</t>
    </r>
    <r>
      <rPr>
        <sz val="10"/>
        <color indexed="8"/>
        <rFont val="Calibri"/>
        <charset val="134"/>
        <scheme val="minor"/>
      </rPr>
      <t xml:space="preserve">  CU/XLPE/PVC + 10 mm</t>
    </r>
    <r>
      <rPr>
        <vertAlign val="superscript"/>
        <sz val="10"/>
        <color indexed="8"/>
        <rFont val="Calibri"/>
        <charset val="134"/>
        <scheme val="minor"/>
      </rPr>
      <t xml:space="preserve">2 </t>
    </r>
    <r>
      <rPr>
        <sz val="10"/>
        <color indexed="8"/>
        <rFont val="Calibri"/>
        <charset val="134"/>
        <scheme val="minor"/>
      </rPr>
      <t>PVC/Cu Earth Cable from  FDB-6th FL to DB1</t>
    </r>
  </si>
  <si>
    <t>FDB-7th FL to DB1</t>
  </si>
  <si>
    <t>S.4.49</t>
  </si>
  <si>
    <r>
      <rPr>
        <sz val="10"/>
        <color indexed="8"/>
        <rFont val="Calibri"/>
        <charset val="134"/>
        <scheme val="minor"/>
      </rPr>
      <t>Supply Laying &amp; termination of  of 4C 10 mm</t>
    </r>
    <r>
      <rPr>
        <vertAlign val="superscript"/>
        <sz val="10"/>
        <color indexed="8"/>
        <rFont val="Calibri"/>
        <charset val="134"/>
        <scheme val="minor"/>
      </rPr>
      <t>2</t>
    </r>
    <r>
      <rPr>
        <sz val="10"/>
        <color indexed="8"/>
        <rFont val="Calibri"/>
        <charset val="134"/>
        <scheme val="minor"/>
      </rPr>
      <t xml:space="preserve">  CU/XLPE/PVC + 10 mm</t>
    </r>
    <r>
      <rPr>
        <vertAlign val="superscript"/>
        <sz val="10"/>
        <color indexed="8"/>
        <rFont val="Calibri"/>
        <charset val="134"/>
        <scheme val="minor"/>
      </rPr>
      <t xml:space="preserve">2 </t>
    </r>
    <r>
      <rPr>
        <sz val="10"/>
        <color indexed="8"/>
        <rFont val="Calibri"/>
        <charset val="134"/>
        <scheme val="minor"/>
      </rPr>
      <t>PVC/Cu Earth Cable from  FDB-7th FL to DB1</t>
    </r>
  </si>
  <si>
    <t>FDB-8th FL to DB1</t>
  </si>
  <si>
    <t>S.4.50</t>
  </si>
  <si>
    <r>
      <rPr>
        <sz val="10"/>
        <color indexed="8"/>
        <rFont val="Calibri"/>
        <charset val="134"/>
        <scheme val="minor"/>
      </rPr>
      <t>Supply Laying &amp; termination of  of 4C 10 mm</t>
    </r>
    <r>
      <rPr>
        <vertAlign val="superscript"/>
        <sz val="10"/>
        <color indexed="8"/>
        <rFont val="Calibri"/>
        <charset val="134"/>
        <scheme val="minor"/>
      </rPr>
      <t>2</t>
    </r>
    <r>
      <rPr>
        <sz val="10"/>
        <color indexed="8"/>
        <rFont val="Calibri"/>
        <charset val="134"/>
        <scheme val="minor"/>
      </rPr>
      <t xml:space="preserve">  CU/XLPE/PVC + 10 mm</t>
    </r>
    <r>
      <rPr>
        <vertAlign val="superscript"/>
        <sz val="10"/>
        <color indexed="8"/>
        <rFont val="Calibri"/>
        <charset val="134"/>
        <scheme val="minor"/>
      </rPr>
      <t xml:space="preserve">2 </t>
    </r>
    <r>
      <rPr>
        <sz val="10"/>
        <color indexed="8"/>
        <rFont val="Calibri"/>
        <charset val="134"/>
        <scheme val="minor"/>
      </rPr>
      <t>PVC/Cu Earth Cable from  FDB-8th FL to DB1</t>
    </r>
  </si>
  <si>
    <t>FDB-8th FL to DB2</t>
  </si>
  <si>
    <t>S.4.51</t>
  </si>
  <si>
    <r>
      <rPr>
        <sz val="10"/>
        <color indexed="8"/>
        <rFont val="Calibri"/>
        <charset val="134"/>
        <scheme val="minor"/>
      </rPr>
      <t>Supply Laying &amp; termination of  of 4C 10 mm</t>
    </r>
    <r>
      <rPr>
        <vertAlign val="superscript"/>
        <sz val="10"/>
        <color indexed="8"/>
        <rFont val="Calibri"/>
        <charset val="134"/>
        <scheme val="minor"/>
      </rPr>
      <t>2</t>
    </r>
    <r>
      <rPr>
        <sz val="10"/>
        <color indexed="8"/>
        <rFont val="Calibri"/>
        <charset val="134"/>
        <scheme val="minor"/>
      </rPr>
      <t xml:space="preserve">  CU/XLPE/PVC + 10 mm</t>
    </r>
    <r>
      <rPr>
        <vertAlign val="superscript"/>
        <sz val="10"/>
        <color indexed="8"/>
        <rFont val="Calibri"/>
        <charset val="134"/>
        <scheme val="minor"/>
      </rPr>
      <t xml:space="preserve">2 </t>
    </r>
    <r>
      <rPr>
        <sz val="10"/>
        <color indexed="8"/>
        <rFont val="Calibri"/>
        <charset val="134"/>
        <scheme val="minor"/>
      </rPr>
      <t xml:space="preserve">PVC/Cu Earth Cable from FDB-8th FL to DB2 </t>
    </r>
  </si>
  <si>
    <t>AC-BG &amp; MEZ</t>
  </si>
  <si>
    <t>S.4.52</t>
  </si>
  <si>
    <r>
      <rPr>
        <sz val="10"/>
        <color indexed="8"/>
        <rFont val="Calibri"/>
        <charset val="134"/>
        <scheme val="minor"/>
      </rPr>
      <t>Supply Laying &amp; termination of  of 4C 35 mm</t>
    </r>
    <r>
      <rPr>
        <vertAlign val="superscript"/>
        <sz val="10"/>
        <color indexed="8"/>
        <rFont val="Calibri"/>
        <charset val="134"/>
        <scheme val="minor"/>
      </rPr>
      <t>2</t>
    </r>
    <r>
      <rPr>
        <sz val="10"/>
        <color indexed="8"/>
        <rFont val="Calibri"/>
        <charset val="134"/>
        <scheme val="minor"/>
      </rPr>
      <t xml:space="preserve">  CU/XLPE/PVC + 16 mm</t>
    </r>
    <r>
      <rPr>
        <vertAlign val="superscript"/>
        <sz val="10"/>
        <color indexed="8"/>
        <rFont val="Calibri"/>
        <charset val="134"/>
        <scheme val="minor"/>
      </rPr>
      <t xml:space="preserve">2 </t>
    </r>
    <r>
      <rPr>
        <sz val="10"/>
        <color indexed="8"/>
        <rFont val="Calibri"/>
        <charset val="134"/>
        <scheme val="minor"/>
      </rPr>
      <t>PVC/Cu Earth Cable from  AC-BG &amp; MEZ to BG</t>
    </r>
  </si>
  <si>
    <t>S.4.53</t>
  </si>
  <si>
    <r>
      <rPr>
        <sz val="10"/>
        <color indexed="8"/>
        <rFont val="Calibri"/>
        <charset val="134"/>
        <scheme val="minor"/>
      </rPr>
      <t>Supply Laying &amp; termination of  of 4C 10 mm</t>
    </r>
    <r>
      <rPr>
        <vertAlign val="superscript"/>
        <sz val="10"/>
        <color indexed="8"/>
        <rFont val="Calibri"/>
        <charset val="134"/>
        <scheme val="minor"/>
      </rPr>
      <t>2</t>
    </r>
    <r>
      <rPr>
        <sz val="10"/>
        <color indexed="8"/>
        <rFont val="Calibri"/>
        <charset val="134"/>
        <scheme val="minor"/>
      </rPr>
      <t xml:space="preserve">  CU/XLPE/PVC + 10 mm</t>
    </r>
    <r>
      <rPr>
        <vertAlign val="superscript"/>
        <sz val="10"/>
        <color indexed="8"/>
        <rFont val="Calibri"/>
        <charset val="134"/>
        <scheme val="minor"/>
      </rPr>
      <t xml:space="preserve">2 </t>
    </r>
    <r>
      <rPr>
        <sz val="10"/>
        <color indexed="8"/>
        <rFont val="Calibri"/>
        <charset val="134"/>
        <scheme val="minor"/>
      </rPr>
      <t>PVC/Cu Earth Cable from  AC-BG &amp; MEZ to MEZ</t>
    </r>
  </si>
  <si>
    <t>S.5</t>
  </si>
  <si>
    <t>UPS</t>
  </si>
  <si>
    <r>
      <rPr>
        <sz val="10"/>
        <color indexed="8"/>
        <rFont val="Calibri"/>
        <charset val="134"/>
        <scheme val="minor"/>
      </rPr>
      <t xml:space="preserve">Supply and Install 100kVA online UPS with minimum </t>
    </r>
    <r>
      <rPr>
        <b/>
        <sz val="10"/>
        <color theme="1"/>
        <rFont val="Calibri"/>
        <charset val="134"/>
        <scheme val="minor"/>
      </rPr>
      <t xml:space="preserve">two hour backup </t>
    </r>
  </si>
  <si>
    <t>S.5.1</t>
  </si>
  <si>
    <t>Rates for the earthing system according to IEEE regulation and shall include for all the wiring from individual DBs to a common earth bar and from there to the earth pit including construction of the pit, concrete cover…….etc.</t>
  </si>
  <si>
    <t>S.6</t>
  </si>
  <si>
    <t>Supply and Install 800 kVA Generator set as per the specification (Refer specifications)</t>
  </si>
  <si>
    <t>S.7</t>
  </si>
  <si>
    <t xml:space="preserve">TELEPHONE OUTLETS </t>
  </si>
  <si>
    <t>S.7.1</t>
  </si>
  <si>
    <t>Supply and installation of EPABX of 600 Extentions and 20 incoming lines in Telephone Excahnge room(shown in Dwg No; HB/AR/04/T) as per specifications</t>
  </si>
  <si>
    <t>S.7.2</t>
  </si>
  <si>
    <t xml:space="preserve">Supply and installtion of Main Distribution Frame of 600 Extentions and Provitions for 30 incoming lines with condutes trunking and all necessary accessories for incoming and extentions </t>
  </si>
  <si>
    <t>S.7.3</t>
  </si>
  <si>
    <t xml:space="preserve">Supply and installtion of Sub Distribution Frame each with 100 Extentions  with condutes trunking and all necessary accessories for incoming and extentions from Ground floor to 8th floor </t>
  </si>
  <si>
    <t>nrs</t>
  </si>
  <si>
    <t>S.7.4</t>
  </si>
  <si>
    <r>
      <rPr>
        <sz val="10"/>
        <color rgb="FF000000"/>
        <rFont val="Calibri"/>
        <charset val="134"/>
        <scheme val="minor"/>
      </rPr>
      <t>Wiring of telephone socket outlet using 0.5mm Single pair telephone cable through securely concealed PVC conduits from the</t>
    </r>
    <r>
      <rPr>
        <sz val="10"/>
        <rFont val="Calibri"/>
        <charset val="134"/>
        <scheme val="minor"/>
      </rPr>
      <t xml:space="preserve"> Ground floor </t>
    </r>
    <r>
      <rPr>
        <sz val="10"/>
        <color indexed="8"/>
        <rFont val="Calibri"/>
        <charset val="134"/>
        <scheme val="minor"/>
      </rPr>
      <t>telephone switching equipment point at the floor sub Distribution Frame  as per the drawings and specifications</t>
    </r>
  </si>
  <si>
    <t>S.7.5</t>
  </si>
  <si>
    <t xml:space="preserve">Supply and install the operators console </t>
  </si>
  <si>
    <t>S.7.6</t>
  </si>
  <si>
    <t xml:space="preserve">Supply of analog phones </t>
  </si>
  <si>
    <t>S.7.7</t>
  </si>
  <si>
    <t xml:space="preserve">Supply of analog Display Phones with CLI </t>
  </si>
  <si>
    <t>S.7.8</t>
  </si>
  <si>
    <t>Surge Protection at incoming lines only</t>
  </si>
  <si>
    <t>S.8</t>
  </si>
  <si>
    <t>NETWORK</t>
  </si>
  <si>
    <t>Contractor is accepted to submit a shop drawings for net work wiring on cable tray together with fixing detail and obtaining prior approval of the Engineer</t>
  </si>
  <si>
    <t>S.8.1</t>
  </si>
  <si>
    <t>Number of network outlets</t>
  </si>
  <si>
    <t>S.8.2</t>
  </si>
  <si>
    <t>48 Port Layer 2 Switch</t>
  </si>
  <si>
    <t>S.8.3</t>
  </si>
  <si>
    <t>ADSL Router (10 Mbps Compatible)</t>
  </si>
  <si>
    <t>S.8.4</t>
  </si>
  <si>
    <t>Ground Floor Switch (24 ports)</t>
  </si>
  <si>
    <t>S.8.5</t>
  </si>
  <si>
    <t>First Floor Switch (24 ports)</t>
  </si>
  <si>
    <t>S.8.6</t>
  </si>
  <si>
    <t>Second Floor Switch (24 ports)</t>
  </si>
  <si>
    <t>S.8.7</t>
  </si>
  <si>
    <t>Third Floor Switch (18 ports)</t>
  </si>
  <si>
    <t>S.8.8</t>
  </si>
  <si>
    <t>Fourth Floor Switch (24 ports)</t>
  </si>
  <si>
    <t>S.8.9</t>
  </si>
  <si>
    <t>Fifth Floor Switch (24 ports)</t>
  </si>
  <si>
    <t>S.8.10</t>
  </si>
  <si>
    <t>Sixth Floor Swithch (24 port)</t>
  </si>
  <si>
    <t>S.8.11</t>
  </si>
  <si>
    <t>Seventh Floor Swithch (24 port)</t>
  </si>
  <si>
    <t>S.8.12</t>
  </si>
  <si>
    <t xml:space="preserve">Eighth Floor Switch (24 port) </t>
  </si>
  <si>
    <t>S.8.13</t>
  </si>
  <si>
    <t>B/G/N-Wireless Access points</t>
  </si>
  <si>
    <t>S.8.14</t>
  </si>
  <si>
    <t xml:space="preserve">Supply and wiring of all network lines with shield twised pair cat 5e cable </t>
  </si>
  <si>
    <t>S.9</t>
  </si>
  <si>
    <t xml:space="preserve">Fire Alarm System </t>
  </si>
  <si>
    <t>S.9.1</t>
  </si>
  <si>
    <t>Supply and install, Fire Alarm Control System to cater 15 Zones in Communication room (shown in Dwg No; HB/AR/04/T)</t>
  </si>
  <si>
    <t>S.9.2</t>
  </si>
  <si>
    <t xml:space="preserve">Supply and installtion of adresible manual call points with wiring in conduit trunking etc with fire retarded cable </t>
  </si>
  <si>
    <t>S.9.3</t>
  </si>
  <si>
    <t xml:space="preserve">Supply and installation of addresible smoke detectors in generator room and cable duct and basement with al wiring </t>
  </si>
  <si>
    <t>S.9.4</t>
  </si>
  <si>
    <t xml:space="preserve">Supply and wiring addresible heat detector in cooking area with all wiring </t>
  </si>
  <si>
    <t>S.9.5</t>
  </si>
  <si>
    <t xml:space="preserve">Supply and install the fire alarm sounders </t>
  </si>
  <si>
    <t>S.9.6</t>
  </si>
  <si>
    <t xml:space="preserve">Supply and Installation of Repeater alarm unit with acceptance facility in fire control room </t>
  </si>
  <si>
    <t>S.10</t>
  </si>
  <si>
    <t xml:space="preserve">Public Address System </t>
  </si>
  <si>
    <t>S.10.1</t>
  </si>
  <si>
    <t xml:space="preserve">Supply and install, Amplifire and Mixing Pre Amplifire system with Microphone Cassate recorder and FM tuner with antna etc. for the PA system  </t>
  </si>
  <si>
    <t>K.10.2</t>
  </si>
  <si>
    <t xml:space="preserve">Supply and install ceiling type speakers in the coridors as shown in the drawing flush mounted or surface mounted as shown </t>
  </si>
  <si>
    <t>S.11</t>
  </si>
  <si>
    <t>S.11a</t>
  </si>
  <si>
    <t>Allow lump sum for testing &amp; commissing of the total system to the entire satisfaction of the engineer &amp; submition of commissioning report in triplicate</t>
  </si>
  <si>
    <t>LS</t>
  </si>
  <si>
    <t>S.12</t>
  </si>
  <si>
    <t>Provisional sum for providing lighting protection system</t>
  </si>
  <si>
    <t>P.S.</t>
  </si>
  <si>
    <t xml:space="preserve">FINISHES </t>
  </si>
  <si>
    <t>RATE   (RS)</t>
  </si>
  <si>
    <t>T/-</t>
  </si>
  <si>
    <t xml:space="preserve">WALL/FLOOR/ CEILING FINISHES </t>
  </si>
  <si>
    <t>T/1</t>
  </si>
  <si>
    <t>Floor Tilling</t>
  </si>
  <si>
    <t>T/1/1</t>
  </si>
  <si>
    <t>300mm x 600mm polished porcelain floor tiles paving to an approved pattern including 1:3 cement and sand  on  20mm thick screed bed and point with coloured cement to match and forming neat uniform joint between tiles with removable tape joint. Rate shall include for forming arises edges and cutting tiles into required sizes and shape at arises and where necessary and cleaning on completion. (Prime cost for 300x600mm tile shall be Rs 350.00 to 375.00)</t>
  </si>
  <si>
    <t>T/1/1/1</t>
  </si>
  <si>
    <t>T/1/1/2</t>
  </si>
  <si>
    <t>T/1/1/3</t>
  </si>
  <si>
    <t>T1/2</t>
  </si>
  <si>
    <t xml:space="preserve"> - ditto- but 600mm x 600mm  polished finished porcelain floor tile (Rustic tile)  in open areas. (Prime cost for 600x600mm tile shall be Rs 800.00 to 825.00)</t>
  </si>
  <si>
    <t>T/2/1</t>
  </si>
  <si>
    <t>T/2/2</t>
  </si>
  <si>
    <t>T1/3</t>
  </si>
  <si>
    <t xml:space="preserve"> - ditto- but 600mm x 300mm  mat finished porcelain floor tile (Rustic tile)  in open areas. (Prime cost for 600x300mm tile shall be Rs 400.00 to 425.00)</t>
  </si>
  <si>
    <t>T1/3/1</t>
  </si>
  <si>
    <t>T1/3/2</t>
  </si>
  <si>
    <t>T1/3/3</t>
  </si>
  <si>
    <t>T1/3/4</t>
  </si>
  <si>
    <t>T1/3/5</t>
  </si>
  <si>
    <t>T1/3/6</t>
  </si>
  <si>
    <t>T1/3/7</t>
  </si>
  <si>
    <t>T1/3/8</t>
  </si>
  <si>
    <t>T1/3/9</t>
  </si>
  <si>
    <t>T1/3/10</t>
  </si>
  <si>
    <t>T1/3/11</t>
  </si>
  <si>
    <t>T1/3/12</t>
  </si>
  <si>
    <r>
      <rPr>
        <sz val="10"/>
        <rFont val="Calibri"/>
        <charset val="134"/>
        <scheme val="minor"/>
      </rPr>
      <t>In main stair case L/GF to 8th floor, step tile  shall be with</t>
    </r>
    <r>
      <rPr>
        <b/>
        <sz val="10"/>
        <rFont val="Calibri"/>
        <charset val="134"/>
        <scheme val="minor"/>
      </rPr>
      <t xml:space="preserve"> chamfer edge</t>
    </r>
    <r>
      <rPr>
        <sz val="10"/>
        <rFont val="Calibri"/>
        <charset val="134"/>
        <scheme val="minor"/>
      </rPr>
      <t>, (Area shall be measured including skirting)</t>
    </r>
  </si>
  <si>
    <t>T1/3a</t>
  </si>
  <si>
    <t xml:space="preserve"> - ditto- but 600mm x 300mm  mat finished Ceramic floor tile . (Prime cost for 600x300mm tile shall be Rs 300.00 to 310.00)</t>
  </si>
  <si>
    <t>T1/3a/1</t>
  </si>
  <si>
    <t xml:space="preserve"> in  G/ floor and 1st floor</t>
  </si>
  <si>
    <t>T1/4</t>
  </si>
  <si>
    <t xml:space="preserve"> - ditto- but 600mm x 600mm  mat finished porcelain floor tile (Rustic tile)  in open areas. (Prime cost for 600x600mm tile shall be Rs 850.00 to 900.00)</t>
  </si>
  <si>
    <t>T1/4/1</t>
  </si>
  <si>
    <t>T1/4/2</t>
  </si>
  <si>
    <t>T1/4/3</t>
  </si>
  <si>
    <t>T1/4/4</t>
  </si>
  <si>
    <t>T1/4/5</t>
  </si>
  <si>
    <t>T1/4/6</t>
  </si>
  <si>
    <t>T1/4/7</t>
  </si>
  <si>
    <t>T1/4/8</t>
  </si>
  <si>
    <t>T1/4/9</t>
  </si>
  <si>
    <t>T1/4/10</t>
  </si>
  <si>
    <t>T1/5</t>
  </si>
  <si>
    <r>
      <rPr>
        <sz val="10"/>
        <rFont val="Calibri"/>
        <charset val="134"/>
        <scheme val="minor"/>
      </rPr>
      <t xml:space="preserve"> - ditto- but 400mm x 400mm non skipped porcelain </t>
    </r>
    <r>
      <rPr>
        <b/>
        <sz val="10"/>
        <rFont val="Calibri"/>
        <charset val="134"/>
        <scheme val="minor"/>
      </rPr>
      <t>floor tile  in toilet</t>
    </r>
    <r>
      <rPr>
        <sz val="10"/>
        <rFont val="Calibri"/>
        <charset val="134"/>
        <scheme val="minor"/>
      </rPr>
      <t xml:space="preserve"> (Prime cost for</t>
    </r>
    <r>
      <rPr>
        <sz val="10"/>
        <color rgb="FFFF0000"/>
        <rFont val="Calibri"/>
        <charset val="134"/>
        <scheme val="minor"/>
      </rPr>
      <t xml:space="preserve"> 400x400</t>
    </r>
    <r>
      <rPr>
        <sz val="10"/>
        <rFont val="Calibri"/>
        <charset val="134"/>
        <scheme val="minor"/>
      </rPr>
      <t>mm tile shall be Rs 375.00 to 400.00)</t>
    </r>
  </si>
  <si>
    <t>T1/5/1</t>
  </si>
  <si>
    <t>T1/5/2</t>
  </si>
  <si>
    <t>T1/5/3</t>
  </si>
  <si>
    <t>T1/5/4</t>
  </si>
  <si>
    <t>T1/5/5</t>
  </si>
  <si>
    <t>T1/5/6</t>
  </si>
  <si>
    <t>T1/5/7</t>
  </si>
  <si>
    <t>T1/5/8</t>
  </si>
  <si>
    <t>T1/5/9</t>
  </si>
  <si>
    <t>T1/5/10</t>
  </si>
  <si>
    <t>T1/5/11</t>
  </si>
  <si>
    <t>T1/6</t>
  </si>
  <si>
    <r>
      <rPr>
        <sz val="10"/>
        <rFont val="Calibri"/>
        <charset val="134"/>
        <scheme val="minor"/>
      </rPr>
      <t xml:space="preserve">Machine floated neat Cement rendering floor treated with  </t>
    </r>
    <r>
      <rPr>
        <sz val="10"/>
        <color rgb="FFFF0000"/>
        <rFont val="Calibri"/>
        <charset val="134"/>
        <scheme val="minor"/>
      </rPr>
      <t>using floor hardener</t>
    </r>
    <r>
      <rPr>
        <sz val="10"/>
        <rFont val="Calibri"/>
        <charset val="134"/>
        <scheme val="minor"/>
      </rPr>
      <t xml:space="preserve">  and machine cut to smooth surface finish including 100mm high skirting (Concrete slab measured separately in Concrete item)</t>
    </r>
  </si>
  <si>
    <t>T1/6/1</t>
  </si>
  <si>
    <t>T1/6/2</t>
  </si>
  <si>
    <t xml:space="preserve"> in  Ramp G/F to 1st floor</t>
  </si>
  <si>
    <t>T1/6/3</t>
  </si>
  <si>
    <t xml:space="preserve"> in Entrance porch and ramp</t>
  </si>
  <si>
    <t>T1/7</t>
  </si>
  <si>
    <r>
      <rPr>
        <sz val="10"/>
        <rFont val="Calibri"/>
        <charset val="134"/>
        <scheme val="minor"/>
      </rPr>
      <t xml:space="preserve">Supply and fixing "Vinyl flooring" as per manufactures specification  to engineers approval . </t>
    </r>
    <r>
      <rPr>
        <sz val="10"/>
        <color rgb="FFFF0000"/>
        <rFont val="Calibri"/>
        <charset val="134"/>
        <scheme val="minor"/>
      </rPr>
      <t>Rate shall include for self leveling floor finish</t>
    </r>
    <r>
      <rPr>
        <sz val="10"/>
        <rFont val="Calibri"/>
        <charset val="134"/>
        <scheme val="minor"/>
      </rPr>
      <t xml:space="preserve"> , expansion bolt, edge trim, any other accessories and provisions for services line, etc. and 100mm high skirting</t>
    </r>
  </si>
  <si>
    <t>T1/7/1</t>
  </si>
  <si>
    <t>T1/7/2</t>
  </si>
  <si>
    <t>T1/7/3</t>
  </si>
  <si>
    <t>T1/7/4</t>
  </si>
  <si>
    <t>T1/7/5</t>
  </si>
  <si>
    <t>T1/8</t>
  </si>
  <si>
    <t xml:space="preserve">  - ditto- but "Vinyl flooring (ANTI STATIC) " Type</t>
  </si>
  <si>
    <t>T1/8/1</t>
  </si>
  <si>
    <t>T1/8/2</t>
  </si>
  <si>
    <t>T1/8/3</t>
  </si>
  <si>
    <t>T1/8/4</t>
  </si>
  <si>
    <t>T1/9</t>
  </si>
  <si>
    <t>15 mm thick Ordinary rendering in cement and sand 1:3 , finished smooth floting  in passages</t>
  </si>
  <si>
    <t>T1/9/1</t>
  </si>
  <si>
    <t>T1/9/2</t>
  </si>
  <si>
    <t>T1/9/3</t>
  </si>
  <si>
    <t>T1/9/4</t>
  </si>
  <si>
    <t>T1/9/5</t>
  </si>
  <si>
    <t>T1/9/6</t>
  </si>
  <si>
    <t>T1/9/7</t>
  </si>
  <si>
    <t>T1/9/8</t>
  </si>
  <si>
    <t>T1/9/9</t>
  </si>
  <si>
    <t>T1/10</t>
  </si>
  <si>
    <t xml:space="preserve">  - ditto -  in fire stair ways, edges of steps shall be rough finish  (Area shall be measured including skirting)</t>
  </si>
  <si>
    <t>T1/10/1</t>
  </si>
  <si>
    <t xml:space="preserve"> in  L/G/F to 8th floor,</t>
  </si>
  <si>
    <t>T2</t>
  </si>
  <si>
    <t>Internal Plaster</t>
  </si>
  <si>
    <t>T2/6</t>
  </si>
  <si>
    <t>Render 15mm thick cement and sand (1:5) and finish smooth with neat finish (Internally) in surfaces of brick masonry and RCC column</t>
  </si>
  <si>
    <t>T2/6/1</t>
  </si>
  <si>
    <t>T2/6/2</t>
  </si>
  <si>
    <t>T2/6/3</t>
  </si>
  <si>
    <t>T2/6/4</t>
  </si>
  <si>
    <t>T2/6/5</t>
  </si>
  <si>
    <t>T2/6/6</t>
  </si>
  <si>
    <t>T2/6/7</t>
  </si>
  <si>
    <t>T2/6/8</t>
  </si>
  <si>
    <t>T2/6/9</t>
  </si>
  <si>
    <t>T2/6/10</t>
  </si>
  <si>
    <t>T2/6/11</t>
  </si>
  <si>
    <t>T2/6/12</t>
  </si>
  <si>
    <t>T2/6/13</t>
  </si>
  <si>
    <t>T2/6a</t>
  </si>
  <si>
    <t>Finishing for concrete wall/ column (Isolated)</t>
  </si>
  <si>
    <t>Finishing with AP kote wall putty/ joint compound- interior (one coat) on surfases of isolated RCC column, RCC wall, etc.</t>
  </si>
  <si>
    <t>T2/6a/1</t>
  </si>
  <si>
    <t>From LG/F to 8th floor</t>
  </si>
  <si>
    <t>T3</t>
  </si>
  <si>
    <t>Soffit finishing</t>
  </si>
  <si>
    <t>T3/1</t>
  </si>
  <si>
    <t>Soffit finishing with AP kote wall putty/ joint compound- interior (one coat) on soffit of floor slabs, other slab, stair flight &amp; beams</t>
  </si>
  <si>
    <t>T3/1/1</t>
  </si>
  <si>
    <t>T3/1/2</t>
  </si>
  <si>
    <t>T3/1/3</t>
  </si>
  <si>
    <t>T3/1/4</t>
  </si>
  <si>
    <t>T3/1/5</t>
  </si>
  <si>
    <t>T3/1/6</t>
  </si>
  <si>
    <t>T3/1/7</t>
  </si>
  <si>
    <t>T3/1/8</t>
  </si>
  <si>
    <t>T3/1/9</t>
  </si>
  <si>
    <t>T3/1/10</t>
  </si>
  <si>
    <t>T3/1/11</t>
  </si>
  <si>
    <t>T3/1/12</t>
  </si>
  <si>
    <t>T3/1/13</t>
  </si>
  <si>
    <t>T4</t>
  </si>
  <si>
    <t xml:space="preserve">Wall Tiling  </t>
  </si>
  <si>
    <t>T4/1</t>
  </si>
  <si>
    <t>200mm x 400mm" ceramic  glazed wall tiling on and including cement and sand screed backing and  point with tile grout to match and forming neat uniform joints between tiles. Rate to include for forming edges and cutting  tiles into required sizes and shape at corners, edges and where necessary and cleaning on completion. Price for 200x400mm tile shall be Rs 165.00 to 190.00)</t>
  </si>
  <si>
    <r>
      <rPr>
        <sz val="10"/>
        <rFont val="Calibri"/>
        <charset val="134"/>
        <scheme val="minor"/>
      </rPr>
      <t>up to the height of 1800mm. of</t>
    </r>
    <r>
      <rPr>
        <b/>
        <sz val="10"/>
        <rFont val="Calibri"/>
        <charset val="134"/>
        <scheme val="minor"/>
      </rPr>
      <t xml:space="preserve"> toilet walls</t>
    </r>
  </si>
  <si>
    <t>T4/1/1</t>
  </si>
  <si>
    <t>T4/1/2</t>
  </si>
  <si>
    <t>T4/1/3</t>
  </si>
  <si>
    <t>T4/1/4</t>
  </si>
  <si>
    <t>T4/1/5</t>
  </si>
  <si>
    <t>T4/1/6</t>
  </si>
  <si>
    <t>T4/1/7</t>
  </si>
  <si>
    <t>T4/1/8</t>
  </si>
  <si>
    <t>T4/1/9</t>
  </si>
  <si>
    <t>T4/1/10</t>
  </si>
  <si>
    <t>T4/1/11</t>
  </si>
  <si>
    <t>T4/2</t>
  </si>
  <si>
    <t xml:space="preserve"> - Ditto - but 1000x500 mm tile in rooms up to 1200mm hight. Price for 1000x500mm tile shall be Rs 1150.00 to 1200.00)</t>
  </si>
  <si>
    <t>T4/2/1</t>
  </si>
  <si>
    <t>T4/2/2</t>
  </si>
  <si>
    <t>T4/2/3</t>
  </si>
  <si>
    <t>T4/2/4</t>
  </si>
  <si>
    <t>T4/2/5</t>
  </si>
  <si>
    <t>T4/2/6</t>
  </si>
  <si>
    <t>T4/2/7</t>
  </si>
  <si>
    <t>T4/2/8</t>
  </si>
  <si>
    <t>T4/2/9</t>
  </si>
  <si>
    <t>T4/3</t>
  </si>
  <si>
    <t xml:space="preserve"> - Ditto - but 300x600 mm tile in rooms up to 1200mm hight. Price for 300x600mm tile shall be Rs 390.00 to 420.00)</t>
  </si>
  <si>
    <t>T4/3/1</t>
  </si>
  <si>
    <t>T5</t>
  </si>
  <si>
    <t>External Plaster</t>
  </si>
  <si>
    <t>T5/1</t>
  </si>
  <si>
    <t>Render 15mm thick cement and sand (1:5) and finish semi rough (Externally)</t>
  </si>
  <si>
    <t>T5/1/1</t>
  </si>
  <si>
    <t>T5/1/2</t>
  </si>
  <si>
    <t>T5/1/3</t>
  </si>
  <si>
    <t>T5/1/4</t>
  </si>
  <si>
    <t>T5/1/5</t>
  </si>
  <si>
    <t>T5/1/6</t>
  </si>
  <si>
    <t>T5/1/7</t>
  </si>
  <si>
    <t>T5/1/8</t>
  </si>
  <si>
    <t>T5/1/9</t>
  </si>
  <si>
    <t>T5/1/10</t>
  </si>
  <si>
    <t>T5/1/11</t>
  </si>
  <si>
    <t>T5/1/12</t>
  </si>
  <si>
    <t>T5/1/13</t>
  </si>
  <si>
    <t>T6</t>
  </si>
  <si>
    <t>Skirting</t>
  </si>
  <si>
    <t>T6/1</t>
  </si>
  <si>
    <t>4" high skirting for 300mm x 600mm homogeneous polished porcelain floor tiles on cement and sand 1:3 bedding.</t>
  </si>
  <si>
    <t>T6/1/1</t>
  </si>
  <si>
    <t>T6/1/2</t>
  </si>
  <si>
    <t>T6/1/3</t>
  </si>
  <si>
    <t>T6/1/4</t>
  </si>
  <si>
    <t>T6/1/5</t>
  </si>
  <si>
    <t>T6/1/6</t>
  </si>
  <si>
    <t>T6/1/7</t>
  </si>
  <si>
    <t>T6/1/8</t>
  </si>
  <si>
    <t>T6/1/9</t>
  </si>
  <si>
    <t>T6/1/10</t>
  </si>
  <si>
    <t>T6/2</t>
  </si>
  <si>
    <t>100mm high skirting on 600mm x 600mm  homogeneous mat finished porcelain floor tile in cement and sand 1:3 bedding.</t>
  </si>
  <si>
    <t>T6/2/1</t>
  </si>
  <si>
    <t>T6/2/2</t>
  </si>
  <si>
    <t>T6/2/3</t>
  </si>
  <si>
    <t>T6/2/4</t>
  </si>
  <si>
    <t>T6/2/5</t>
  </si>
  <si>
    <t>T6/2/6</t>
  </si>
  <si>
    <t>T6/2/7</t>
  </si>
  <si>
    <t>T6/2/8</t>
  </si>
  <si>
    <t>T6/2/9</t>
  </si>
  <si>
    <t>T6/2/10</t>
  </si>
  <si>
    <t>T6/3</t>
  </si>
  <si>
    <t>4" high skirting for Ordinary and smooth Cement rendering floor in cement and sand 1:3 bedding.</t>
  </si>
  <si>
    <t>T6/3/1</t>
  </si>
  <si>
    <t>T6/3/2</t>
  </si>
  <si>
    <t>T6/3/3</t>
  </si>
  <si>
    <t>T6/3/4</t>
  </si>
  <si>
    <t>T6/3/5</t>
  </si>
  <si>
    <t>T6/3/6</t>
  </si>
  <si>
    <t>T6/3/7</t>
  </si>
  <si>
    <t>T6/3/8</t>
  </si>
  <si>
    <t>T6/3/9</t>
  </si>
  <si>
    <t>T6/3/10</t>
  </si>
  <si>
    <t>T7</t>
  </si>
  <si>
    <t>Ceiling Finishes</t>
  </si>
  <si>
    <t>T7/1</t>
  </si>
  <si>
    <r>
      <rPr>
        <sz val="10"/>
        <rFont val="Calibri"/>
        <charset val="134"/>
        <scheme val="minor"/>
      </rPr>
      <t xml:space="preserve">Supply and fixing 600mmx600mm  suspended </t>
    </r>
    <r>
      <rPr>
        <b/>
        <sz val="10"/>
        <rFont val="Calibri"/>
        <charset val="134"/>
        <scheme val="minor"/>
      </rPr>
      <t>Gipsom board Flat ceiling</t>
    </r>
    <r>
      <rPr>
        <sz val="10"/>
        <rFont val="Calibri"/>
        <charset val="134"/>
        <scheme val="minor"/>
      </rPr>
      <t>, 6 mm thick ) including Al. frame frame work (hanging rod, T bars and any other accessories ). Rate shall include for expansion bolt, edge trim and provisions for services line, etc.</t>
    </r>
  </si>
  <si>
    <t>T7/1/1</t>
  </si>
  <si>
    <t>T7/1/2</t>
  </si>
  <si>
    <t>T7/1/3</t>
  </si>
  <si>
    <t>T7/1/4</t>
  </si>
  <si>
    <t>T7/1/5</t>
  </si>
  <si>
    <t>T7/1/6</t>
  </si>
  <si>
    <t>T7/1/7</t>
  </si>
  <si>
    <t>T7/1/8</t>
  </si>
  <si>
    <t>T7/1/9</t>
  </si>
  <si>
    <t>T7/2</t>
  </si>
  <si>
    <t xml:space="preserve">  - Ditto- but finished with concealed panel</t>
  </si>
  <si>
    <t>T7/2/1</t>
  </si>
  <si>
    <t>T7/2/2</t>
  </si>
  <si>
    <t>T7/3</t>
  </si>
  <si>
    <r>
      <rPr>
        <sz val="10"/>
        <rFont val="Calibri"/>
        <charset val="134"/>
        <scheme val="minor"/>
      </rPr>
      <t xml:space="preserve">Supply and fixing suspended </t>
    </r>
    <r>
      <rPr>
        <b/>
        <sz val="10"/>
        <rFont val="Calibri"/>
        <charset val="134"/>
        <scheme val="minor"/>
      </rPr>
      <t>Metal ceiling system</t>
    </r>
    <r>
      <rPr>
        <sz val="10"/>
        <rFont val="Calibri"/>
        <charset val="134"/>
        <scheme val="minor"/>
      </rPr>
      <t xml:space="preserve"> (600mmx600mm) as per manufactures specification ("Chicago Metallic" or equivalent) to engineers approval. Rate shall include for expansion bolt, edge trim, any other accessories and provisions for services line, etc.</t>
    </r>
  </si>
  <si>
    <t>T7/3/1</t>
  </si>
  <si>
    <t>T7/3/2</t>
  </si>
  <si>
    <t>T7/3/3</t>
  </si>
  <si>
    <t>T7/3/4</t>
  </si>
  <si>
    <t>T7/3/5</t>
  </si>
  <si>
    <t>T7/3/6</t>
  </si>
  <si>
    <t>T7/3/7</t>
  </si>
  <si>
    <t>T7/3/8</t>
  </si>
  <si>
    <t>T7/3/9</t>
  </si>
  <si>
    <t>T7/3/10</t>
  </si>
  <si>
    <t>T7/4</t>
  </si>
  <si>
    <r>
      <rPr>
        <sz val="10"/>
        <rFont val="Calibri"/>
        <charset val="134"/>
        <scheme val="minor"/>
      </rPr>
      <t xml:space="preserve">  - Ditto- but Metal ceiling, with </t>
    </r>
    <r>
      <rPr>
        <b/>
        <sz val="10"/>
        <rFont val="Calibri"/>
        <charset val="134"/>
        <scheme val="minor"/>
      </rPr>
      <t>Antibacterial coating</t>
    </r>
  </si>
  <si>
    <t>T7/4/1</t>
  </si>
  <si>
    <t>T7/4/2</t>
  </si>
  <si>
    <t>T7/4/3</t>
  </si>
  <si>
    <t>T7/4/4</t>
  </si>
  <si>
    <t>T7/4/5</t>
  </si>
  <si>
    <t>V/-</t>
  </si>
  <si>
    <t>V/1</t>
  </si>
  <si>
    <r>
      <rPr>
        <sz val="10"/>
        <rFont val="Calibri"/>
        <charset val="134"/>
        <scheme val="minor"/>
      </rPr>
      <t xml:space="preserve">Prepare &amp; apply one under coat &amp; two finishing coats of </t>
    </r>
    <r>
      <rPr>
        <b/>
        <sz val="10"/>
        <rFont val="Calibri"/>
        <charset val="134"/>
        <scheme val="minor"/>
      </rPr>
      <t>weather shield paint to external plaster</t>
    </r>
    <r>
      <rPr>
        <sz val="10"/>
        <rFont val="Calibri"/>
        <charset val="134"/>
        <scheme val="minor"/>
      </rPr>
      <t xml:space="preserve"> surface of walls &amp; columns in following floors including preparing surface.</t>
    </r>
  </si>
  <si>
    <t>V/1/1</t>
  </si>
  <si>
    <t>V/1/2</t>
  </si>
  <si>
    <t>V/1/3</t>
  </si>
  <si>
    <t>V/1/4</t>
  </si>
  <si>
    <t>V/1/5</t>
  </si>
  <si>
    <t>V/1/6</t>
  </si>
  <si>
    <t>V/1/7</t>
  </si>
  <si>
    <t>V/1/8</t>
  </si>
  <si>
    <t>V/1/9</t>
  </si>
  <si>
    <t>V/1/10</t>
  </si>
  <si>
    <t>V/1/11</t>
  </si>
  <si>
    <t>V/1/12</t>
  </si>
  <si>
    <t>Above 8th floor</t>
  </si>
  <si>
    <t>V/2</t>
  </si>
  <si>
    <r>
      <rPr>
        <sz val="10"/>
        <rFont val="Calibri"/>
        <charset val="134"/>
        <scheme val="minor"/>
      </rPr>
      <t xml:space="preserve">Finish with single coat of putty and prepare &amp; apply one under coat &amp; two finishing coats of </t>
    </r>
    <r>
      <rPr>
        <b/>
        <sz val="10"/>
        <rFont val="Calibri"/>
        <charset val="134"/>
        <scheme val="minor"/>
      </rPr>
      <t>Emulsion paint to internal plaster surface</t>
    </r>
    <r>
      <rPr>
        <sz val="10"/>
        <rFont val="Calibri"/>
        <charset val="134"/>
        <scheme val="minor"/>
      </rPr>
      <t xml:space="preserve"> of walls in following floors, including preparing surface.</t>
    </r>
  </si>
  <si>
    <t>V/2/1</t>
  </si>
  <si>
    <t>V/2/2</t>
  </si>
  <si>
    <t>V/2/3</t>
  </si>
  <si>
    <t>V/2/4</t>
  </si>
  <si>
    <t>V/2/5</t>
  </si>
  <si>
    <t>V/2/6</t>
  </si>
  <si>
    <t>V/2/7</t>
  </si>
  <si>
    <t>V/2/8</t>
  </si>
  <si>
    <t>V/2/9</t>
  </si>
  <si>
    <t>V/2/10</t>
  </si>
  <si>
    <t>V/2/11</t>
  </si>
  <si>
    <t>V/2/12</t>
  </si>
  <si>
    <t>V/3</t>
  </si>
  <si>
    <r>
      <rPr>
        <sz val="10"/>
        <rFont val="Calibri"/>
        <charset val="134"/>
        <scheme val="minor"/>
      </rPr>
      <t xml:space="preserve">Prepare &amp; apply one under coat &amp; two finishing coats of </t>
    </r>
    <r>
      <rPr>
        <b/>
        <sz val="10"/>
        <rFont val="Calibri"/>
        <charset val="134"/>
        <scheme val="minor"/>
      </rPr>
      <t xml:space="preserve">Emulsion paint to skim coated surface of  soffits </t>
    </r>
    <r>
      <rPr>
        <sz val="10"/>
        <rFont val="Calibri"/>
        <charset val="134"/>
        <scheme val="minor"/>
      </rPr>
      <t>in following floors, including preparing surface.</t>
    </r>
  </si>
  <si>
    <t>V/3/1</t>
  </si>
  <si>
    <t>V/3/2</t>
  </si>
  <si>
    <t xml:space="preserve">in Pump room on water sump at lower ground floor level </t>
  </si>
  <si>
    <t>V/3/3</t>
  </si>
  <si>
    <t>V/3/4</t>
  </si>
  <si>
    <t>V/3/5</t>
  </si>
  <si>
    <t>V/3/6</t>
  </si>
  <si>
    <t>V/3/7</t>
  </si>
  <si>
    <t>V/3/8</t>
  </si>
  <si>
    <t>V/3/9</t>
  </si>
  <si>
    <t>V/3/10</t>
  </si>
  <si>
    <t>Above 8th floor - Machine Room on roof slab</t>
  </si>
  <si>
    <t>V/4</t>
  </si>
  <si>
    <r>
      <rPr>
        <sz val="10"/>
        <rFont val="Calibri"/>
        <charset val="134"/>
        <scheme val="minor"/>
      </rPr>
      <t xml:space="preserve">Finish with single coat of putty and prepare &amp; apply one under coat &amp; two finishing coats of </t>
    </r>
    <r>
      <rPr>
        <b/>
        <sz val="10"/>
        <rFont val="Calibri"/>
        <charset val="134"/>
        <scheme val="minor"/>
      </rPr>
      <t>emulsion paint to  surface of Ceiling</t>
    </r>
    <r>
      <rPr>
        <sz val="10"/>
        <rFont val="Calibri"/>
        <charset val="134"/>
        <scheme val="minor"/>
      </rPr>
      <t xml:space="preserve"> in following floors, including preparing surface.</t>
    </r>
  </si>
  <si>
    <t>V/4/1</t>
  </si>
  <si>
    <t>V/4/2</t>
  </si>
  <si>
    <t>V/4/3</t>
  </si>
  <si>
    <t>V/4/4</t>
  </si>
  <si>
    <t>V/4/5</t>
  </si>
  <si>
    <t>V/4/6</t>
  </si>
  <si>
    <t>V/4/7</t>
  </si>
  <si>
    <t>V/4/8</t>
  </si>
  <si>
    <t>V/4/9</t>
  </si>
  <si>
    <t>TOTAL CARRIED TO SUMMARY.</t>
  </si>
  <si>
    <t xml:space="preserve">MISCELLANEOUS </t>
  </si>
  <si>
    <t>RATE</t>
  </si>
  <si>
    <t xml:space="preserve">Y-  MISCELLANEOUS </t>
  </si>
  <si>
    <t>Y/1</t>
  </si>
  <si>
    <r>
      <rPr>
        <b/>
        <sz val="10"/>
        <rFont val="Calibri"/>
        <charset val="134"/>
        <scheme val="minor"/>
      </rPr>
      <t>RCC beam, 112.5x100mm</t>
    </r>
    <r>
      <rPr>
        <sz val="10"/>
        <rFont val="Calibri"/>
        <charset val="134"/>
        <scheme val="minor"/>
      </rPr>
      <t xml:space="preserve"> on brick wall at stair way and balcony. Rate shall include for 2 / 10mm dia tor steel bar, 6mm link at 250 c/c and form work for concrete</t>
    </r>
  </si>
  <si>
    <t>Y/2</t>
  </si>
  <si>
    <r>
      <rPr>
        <b/>
        <sz val="10"/>
        <rFont val="Calibri"/>
        <charset val="134"/>
        <scheme val="minor"/>
      </rPr>
      <t xml:space="preserve">RCC Coping, 150mm wide x height varies 100 ~75 mm </t>
    </r>
    <r>
      <rPr>
        <sz val="10"/>
        <rFont val="Calibri"/>
        <charset val="134"/>
        <scheme val="minor"/>
      </rPr>
      <t>on RCC upstand wall (measured seperetly) at terros. Rate shall include for 2 / 10mm dia tor steel bar, 6mm link at 250 c/c  form work for concrete</t>
    </r>
  </si>
  <si>
    <t>Y/2/1</t>
  </si>
  <si>
    <t>Y/2/2</t>
  </si>
  <si>
    <t>Y/2/3</t>
  </si>
  <si>
    <t>Y/2/4</t>
  </si>
  <si>
    <t>Y/2/5</t>
  </si>
  <si>
    <t>Y/2/6</t>
  </si>
  <si>
    <t>Y/3</t>
  </si>
  <si>
    <r>
      <rPr>
        <b/>
        <sz val="10"/>
        <rFont val="Calibri"/>
        <charset val="134"/>
        <scheme val="minor"/>
      </rPr>
      <t>RCC Lintal, 112.5x100mm</t>
    </r>
    <r>
      <rPr>
        <sz val="10"/>
        <rFont val="Calibri"/>
        <charset val="134"/>
        <scheme val="minor"/>
      </rPr>
      <t xml:space="preserve"> on 112.5 thick brick wall over the window/ door etc at lower G/ floor to 8th floor. Rate shall include for 2 / 10mm dia tor steel bar, 6mm link at 250 c/c and form work for concrete</t>
    </r>
  </si>
  <si>
    <t>Y/3/1</t>
  </si>
  <si>
    <t xml:space="preserve">  - dito- but 112.5x150mm</t>
  </si>
  <si>
    <t>Y/3/2</t>
  </si>
  <si>
    <t xml:space="preserve">  - dito- but 112.5x300mm</t>
  </si>
  <si>
    <t>Y/4</t>
  </si>
  <si>
    <r>
      <rPr>
        <b/>
        <sz val="10"/>
        <rFont val="Calibri"/>
        <charset val="134"/>
        <scheme val="minor"/>
      </rPr>
      <t>RCC Lintal, 225x150mm</t>
    </r>
    <r>
      <rPr>
        <sz val="10"/>
        <rFont val="Calibri"/>
        <charset val="134"/>
        <scheme val="minor"/>
      </rPr>
      <t xml:space="preserve"> on 225 thick brick wall over the window/ door etc at lower G/ floor to 8th floor. Rate shall include for 4 / 10mm dia tor steel bar, 6mm stirup at 100 c/c and form work for concrete</t>
    </r>
  </si>
  <si>
    <t>Y/5</t>
  </si>
  <si>
    <t xml:space="preserve">  - dito- but 225x225mm and 4/12mm dia bar and 6mm stirup at 150 c/c</t>
  </si>
  <si>
    <t>Y/6</t>
  </si>
  <si>
    <t xml:space="preserve">  - dito- but 225x300mm and 4/16mm dia bar and 6mm stirup at 100 c/c</t>
  </si>
  <si>
    <t>Y/7</t>
  </si>
  <si>
    <t xml:space="preserve">  - dito- but 225x450mm and 5/16mm dia bar and 10mm stirup at 175 c/c</t>
  </si>
  <si>
    <t>Y/7a</t>
  </si>
  <si>
    <r>
      <rPr>
        <b/>
        <sz val="10"/>
        <rFont val="Calibri"/>
        <charset val="134"/>
        <scheme val="minor"/>
      </rPr>
      <t>RCC Vanity top</t>
    </r>
    <r>
      <rPr>
        <sz val="10"/>
        <rFont val="Calibri"/>
        <charset val="134"/>
        <scheme val="minor"/>
      </rPr>
      <t>, 600x75mm on 112.5 thick brick wall  at lower G/ floor to 8th floor. Rate shall include for  10mm dia tor steel bar, 250 c/c,  both way and form work for concrete</t>
    </r>
  </si>
  <si>
    <t>Y/8</t>
  </si>
  <si>
    <t>Refer Dwg No: HB/ST/24</t>
  </si>
  <si>
    <t>Y/8/1</t>
  </si>
  <si>
    <t>Providing 3mm thk. Chequered plate Manhole cover to opening of top slab (800x800mm). Rate shall include for 2 nos. of hinges and locking arrangement (pad lock)</t>
  </si>
  <si>
    <t>Y/8/2</t>
  </si>
  <si>
    <t>Providing step rungs embedded to RCC wall below the opening, in 25mm dia heavy duty G.I. pipes including painting</t>
  </si>
  <si>
    <t>Y/8/3</t>
  </si>
  <si>
    <t>Providing water stop bar, 10mm thick, 400mm wide MS plate along wall</t>
  </si>
  <si>
    <t>Y/9</t>
  </si>
  <si>
    <t>Y/9/1</t>
  </si>
  <si>
    <t>Y/9/2</t>
  </si>
  <si>
    <t>Providing step rungs embedded to RCC wall (inside &amp; out side of tank) below the opening , in 25mm dia heavy duty G.I. pipes including painting</t>
  </si>
  <si>
    <t>Y/9/3</t>
  </si>
  <si>
    <t xml:space="preserve">Providing water stop bar, 10mm thick, 400mm wide MS plate along wall </t>
  </si>
  <si>
    <t>Y/9/4</t>
  </si>
  <si>
    <t>Providing Upvc inlet pipe (75mm dia, type 1000), outlet pipe, overflow pipe and washout pipe,</t>
  </si>
  <si>
    <t>Y/10</t>
  </si>
  <si>
    <t>Wall, Doors and Door frames Protection</t>
  </si>
  <si>
    <t>Supply and embedded trolley guard in to walls along passages etc. as per manufactures specification ("Acrovyn"or equivalent) to engineers approval . Rate shall include for expansion joint, edge trim, and any other accessories to completion</t>
  </si>
  <si>
    <t>Y/10/1</t>
  </si>
  <si>
    <t>to walls, 225mm wide x 20mm, curved</t>
  </si>
  <si>
    <t>Y/10/1/1</t>
  </si>
  <si>
    <t>at Lower G/F</t>
  </si>
  <si>
    <t>Y/10/1/2</t>
  </si>
  <si>
    <t>at  G/F</t>
  </si>
  <si>
    <t>Y/10/1/3</t>
  </si>
  <si>
    <t>at 1st Floor</t>
  </si>
  <si>
    <t>Y/10/1/4</t>
  </si>
  <si>
    <t>at 2nd Floor</t>
  </si>
  <si>
    <t>Y/10/1/5</t>
  </si>
  <si>
    <t>at 3rd Floor</t>
  </si>
  <si>
    <t>Y/10/1/6</t>
  </si>
  <si>
    <t>at 4th Floor</t>
  </si>
  <si>
    <t>Y/10/1/7</t>
  </si>
  <si>
    <t>at 5th Floor</t>
  </si>
  <si>
    <t>Y/10/1/8</t>
  </si>
  <si>
    <t>at 6th Floor</t>
  </si>
  <si>
    <t>Y/10/1/9</t>
  </si>
  <si>
    <t>at 7th Floor</t>
  </si>
  <si>
    <t>Y/10/1/10</t>
  </si>
  <si>
    <t>at 8th Floor</t>
  </si>
  <si>
    <t>Y/10/2</t>
  </si>
  <si>
    <t>to corners at columns and wall joints, 100 x 100 x 20 mm, 1.0m hight L</t>
  </si>
  <si>
    <t>Y/10/2/1</t>
  </si>
  <si>
    <t>set</t>
  </si>
  <si>
    <t>Y/10/2/2</t>
  </si>
  <si>
    <t>Y/10/2/3</t>
  </si>
  <si>
    <t>Y/10/2/4</t>
  </si>
  <si>
    <t>at 2nd Floor (Provisional Qty)</t>
  </si>
  <si>
    <t>Y/10/2/5</t>
  </si>
  <si>
    <t>Y/10/2/6</t>
  </si>
  <si>
    <t>Y/10/2/7</t>
  </si>
  <si>
    <t>Y/10/2/8</t>
  </si>
  <si>
    <t>Y/10/2/9</t>
  </si>
  <si>
    <t>Y/10/2/10</t>
  </si>
  <si>
    <t>Y/10/3</t>
  </si>
  <si>
    <t>to doors , 150 x 600 mm x 20mm</t>
  </si>
  <si>
    <t>Y/10/3/1</t>
  </si>
  <si>
    <t>Y/10/3/2</t>
  </si>
  <si>
    <t>Y/10/3/3</t>
  </si>
  <si>
    <t>Y/10/3/4</t>
  </si>
  <si>
    <t>Y/10/3/5</t>
  </si>
  <si>
    <t>Y/10/3/6</t>
  </si>
  <si>
    <t>Y/10/3/7</t>
  </si>
  <si>
    <t>Y/10/3/8</t>
  </si>
  <si>
    <t>Y/10/3/9</t>
  </si>
  <si>
    <t>Y/10/3/10</t>
  </si>
  <si>
    <t>Y/11</t>
  </si>
  <si>
    <t>Interlocking Paving</t>
  </si>
  <si>
    <t>Y/11/1</t>
  </si>
  <si>
    <t xml:space="preserve">Furnish and lay Interlocking blocks (9x3.5x4 inch) on 75mm thick sand/ qarry dust layer. </t>
  </si>
  <si>
    <t>Y/11/1/1</t>
  </si>
  <si>
    <t xml:space="preserve"> in  Lower G/F (Kitchen yard)</t>
  </si>
  <si>
    <t>Y/11/1/2</t>
  </si>
  <si>
    <t xml:space="preserve"> in  G/F (Court yard)</t>
  </si>
  <si>
    <t>Y/12</t>
  </si>
  <si>
    <t>Perporated pipe</t>
  </si>
  <si>
    <t>Y/12/1</t>
  </si>
  <si>
    <t>Furnish and lay U.pvc Perorated pipe, type 600, 110mm dia as per Dwg. No: HB/ST/08/T. Rate shall include for necessary excavation, aggregate filling, filter cloth and back filling etc.</t>
  </si>
  <si>
    <t>Y/12/1/1</t>
  </si>
  <si>
    <t xml:space="preserve"> at   G/F level</t>
  </si>
  <si>
    <t>PROVISIONAL SUMS CARRIED TO SUMMARY</t>
  </si>
  <si>
    <t>MONEY PROVISION</t>
  </si>
  <si>
    <t>AMOUNT (RS) (Nominated Sub Contractor)</t>
  </si>
  <si>
    <t>AMOUNT (RS) Main Contractor</t>
  </si>
  <si>
    <t>Z-  MONEY PROVISION - NOMINATED SUB CONTRACTS WORK (NSCW)</t>
  </si>
  <si>
    <t>Following Provisional sums shall be used by as directed by the Employer/ Consultant and deduct in whole or part if not ordered to be used.</t>
  </si>
  <si>
    <t xml:space="preserve">Whole or part of the items shall be awarded to a nominated sub contractor. </t>
  </si>
  <si>
    <t xml:space="preserve">Main Contractor shall facilitate to complete NSCW (Providing Stores facility, electricity, water, etc. and keeping proper cordination when NSCW conjunction with civil works) </t>
  </si>
  <si>
    <t>Nominated Sub Contractor's Payments shall be made directly to him</t>
  </si>
  <si>
    <t>Main contractor shall undertake the relevant builder's work related to NSCW, and shall be paid based on relevent rates available in the contract.</t>
  </si>
  <si>
    <t xml:space="preserve"> Main Contractor shall be entitled to an attendance fee, as a percentage  of value of NSCW, (quoted below).</t>
  </si>
  <si>
    <t>Nominated Sub Contractor shall provide shop drawings, warranties as required, handing over notes and commissioning</t>
  </si>
  <si>
    <t>Z/01</t>
  </si>
  <si>
    <t>Provisional sum for Providing Water supply , Soil and waste water System (internal &amp; external) and supply and fixing of Sanitary fittings .</t>
  </si>
  <si>
    <t>Z/01a</t>
  </si>
  <si>
    <r>
      <rPr>
        <sz val="10"/>
        <rFont val="Calibri"/>
        <charset val="134"/>
        <scheme val="minor"/>
      </rPr>
      <t xml:space="preserve">Main Contractor's Attendence fee related to above NSCW    </t>
    </r>
    <r>
      <rPr>
        <sz val="10"/>
        <color rgb="FFFF0000"/>
        <rFont val="Calibri"/>
        <charset val="134"/>
        <scheme val="minor"/>
      </rPr>
      <t>(10%)</t>
    </r>
  </si>
  <si>
    <t>Z/01b</t>
  </si>
  <si>
    <t>Provisional sum for builder's work (to be done by main contractor) related to above NSCW.</t>
  </si>
  <si>
    <t>Z/02</t>
  </si>
  <si>
    <t>Provisional sum for providing Mechanical Installation (Elevators)</t>
  </si>
  <si>
    <t>Z/02a</t>
  </si>
  <si>
    <r>
      <rPr>
        <sz val="10"/>
        <rFont val="Calibri"/>
        <charset val="134"/>
        <scheme val="minor"/>
      </rPr>
      <t xml:space="preserve">Main Contractor's Attendence fee related to above NSCW    </t>
    </r>
    <r>
      <rPr>
        <sz val="10"/>
        <color rgb="FFFF0000"/>
        <rFont val="Calibri"/>
        <charset val="134"/>
        <scheme val="minor"/>
      </rPr>
      <t>(5%)</t>
    </r>
  </si>
  <si>
    <t>Z/02b</t>
  </si>
  <si>
    <t>Z/03</t>
  </si>
  <si>
    <t>Provisional sum for providing Mechanical Installation (Fire Protection system)</t>
  </si>
  <si>
    <t>Z/03a</t>
  </si>
  <si>
    <r>
      <rPr>
        <sz val="10"/>
        <rFont val="Calibri"/>
        <charset val="134"/>
        <scheme val="minor"/>
      </rPr>
      <t xml:space="preserve">Main Contractor's Attendence fee related to above NSCW    </t>
    </r>
    <r>
      <rPr>
        <sz val="10"/>
        <color rgb="FFFF0000"/>
        <rFont val="Calibri"/>
        <charset val="134"/>
        <scheme val="minor"/>
      </rPr>
      <t>(8%)</t>
    </r>
  </si>
  <si>
    <t>Z/03b</t>
  </si>
  <si>
    <t>Z/04</t>
  </si>
  <si>
    <t>Provisional sum for providing Mechanical Installation (Medical gas system )</t>
  </si>
  <si>
    <t>Z/04a</t>
  </si>
  <si>
    <r>
      <rPr>
        <sz val="10"/>
        <rFont val="Calibri"/>
        <charset val="134"/>
        <scheme val="minor"/>
      </rPr>
      <t xml:space="preserve">Main Contractor's Attendence fee related to above NSCW   </t>
    </r>
    <r>
      <rPr>
        <sz val="10"/>
        <color rgb="FFFF0000"/>
        <rFont val="Calibri"/>
        <charset val="134"/>
        <scheme val="minor"/>
      </rPr>
      <t xml:space="preserve"> (8%)</t>
    </r>
  </si>
  <si>
    <t>Z/04b</t>
  </si>
  <si>
    <t>Z/05</t>
  </si>
  <si>
    <t>Provisional sum for providing Mechanical Installation (Air conditioning)</t>
  </si>
  <si>
    <t>Z/05a</t>
  </si>
  <si>
    <r>
      <rPr>
        <sz val="10"/>
        <rFont val="Calibri"/>
        <charset val="134"/>
        <scheme val="minor"/>
      </rPr>
      <t xml:space="preserve">Main Contractor's Attendence fee related to above NSCW   </t>
    </r>
    <r>
      <rPr>
        <sz val="10"/>
        <color rgb="FFFF0000"/>
        <rFont val="Calibri"/>
        <charset val="134"/>
        <scheme val="minor"/>
      </rPr>
      <t xml:space="preserve"> (10%)</t>
    </r>
  </si>
  <si>
    <t>Z/05b</t>
  </si>
  <si>
    <t>Z/06</t>
  </si>
  <si>
    <t>Provisional sum for providing Sewage treatment plant</t>
  </si>
  <si>
    <t>Z/06a</t>
  </si>
  <si>
    <r>
      <rPr>
        <sz val="10"/>
        <rFont val="Calibri"/>
        <charset val="134"/>
        <scheme val="minor"/>
      </rPr>
      <t xml:space="preserve">Main Contractor's Attendence fee related to above NSCW   </t>
    </r>
    <r>
      <rPr>
        <sz val="10"/>
        <color rgb="FFFF0000"/>
        <rFont val="Calibri"/>
        <charset val="134"/>
        <scheme val="minor"/>
      </rPr>
      <t xml:space="preserve"> (5%)</t>
    </r>
  </si>
  <si>
    <t>Z/06b</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</si>
</sst>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2" formatCode="_(&quot;$&quot;* #,##0_);_(&quot;$&quot;* \(#,##0\);_(&quot;$&quot;* &quot;-&quot;_);_(@_)"/>
    <numFmt numFmtId="43" formatCode="_(* #,##0.00_);_(* \(#,##0.00\);_(* &quot;-&quot;??_);_(@_)"/>
    <numFmt numFmtId="44" formatCode="_(&quot;$&quot;* #,##0.00_);_(&quot;$&quot;* \(#,##0.00\);_(&quot;$&quot;* &quot;-&quot;??_);_(@_)"/>
    <numFmt numFmtId="176" formatCode="_ * #,##0_ ;_ * \-#,##0_ ;_ * &quot;-&quot;_ ;_ @_ "/>
    <numFmt numFmtId="177" formatCode="_(* #,##0_);_(* \(#,##0\);_(* &quot;-&quot;??_);_(@_)"/>
    <numFmt numFmtId="178" formatCode="0.00_)"/>
    <numFmt numFmtId="179" formatCode="_(* #,##0.0_);_(* \(#,##0.0\);_(* &quot;-&quot;??_);_(@_)"/>
    <numFmt numFmtId="180" formatCode="0.0_)"/>
  </numFmts>
  <fonts count="56">
    <font>
      <sz val="11"/>
      <color theme="1"/>
      <name val="Calibri"/>
      <charset val="134"/>
      <scheme val="minor"/>
    </font>
    <font>
      <sz val="11"/>
      <name val="Calibri"/>
      <charset val="134"/>
      <scheme val="minor"/>
    </font>
    <font>
      <b/>
      <sz val="11"/>
      <name val="Calibri"/>
      <charset val="134"/>
      <scheme val="minor"/>
    </font>
    <font>
      <b/>
      <sz val="10"/>
      <name val="Calibri"/>
      <charset val="134"/>
      <scheme val="minor"/>
    </font>
    <font>
      <sz val="10"/>
      <name val="Calibri"/>
      <charset val="134"/>
      <scheme val="minor"/>
    </font>
    <font>
      <b/>
      <u/>
      <sz val="10"/>
      <name val="Calibri"/>
      <charset val="134"/>
      <scheme val="minor"/>
    </font>
    <font>
      <u/>
      <sz val="10"/>
      <name val="Calibri"/>
      <charset val="134"/>
      <scheme val="minor"/>
    </font>
    <font>
      <sz val="10"/>
      <color indexed="8"/>
      <name val="Calibri"/>
      <charset val="134"/>
      <scheme val="minor"/>
    </font>
    <font>
      <sz val="10"/>
      <color rgb="FFFF0000"/>
      <name val="Calibri"/>
      <charset val="134"/>
      <scheme val="minor"/>
    </font>
    <font>
      <sz val="10"/>
      <color theme="1"/>
      <name val="Calibri"/>
      <charset val="134"/>
      <scheme val="minor"/>
    </font>
    <font>
      <b/>
      <sz val="11"/>
      <color indexed="8"/>
      <name val="Calibri"/>
      <charset val="134"/>
      <scheme val="minor"/>
    </font>
    <font>
      <sz val="11"/>
      <color indexed="8"/>
      <name val="Calibri"/>
      <charset val="134"/>
      <scheme val="minor"/>
    </font>
    <font>
      <b/>
      <sz val="10"/>
      <color indexed="8"/>
      <name val="Calibri"/>
      <charset val="134"/>
      <scheme val="minor"/>
    </font>
    <font>
      <b/>
      <u/>
      <sz val="10"/>
      <color indexed="8"/>
      <name val="Calibri"/>
      <charset val="134"/>
      <scheme val="minor"/>
    </font>
    <font>
      <b/>
      <sz val="10"/>
      <color theme="1"/>
      <name val="Calibri"/>
      <charset val="134"/>
      <scheme val="minor"/>
    </font>
    <font>
      <b/>
      <sz val="10"/>
      <color rgb="FF000000"/>
      <name val="Calibri"/>
      <charset val="134"/>
      <scheme val="minor"/>
    </font>
    <font>
      <b/>
      <u/>
      <sz val="10"/>
      <color rgb="FF000000"/>
      <name val="Calibri"/>
      <charset val="134"/>
      <scheme val="minor"/>
    </font>
    <font>
      <sz val="10"/>
      <color rgb="FF000000"/>
      <name val="Calibri"/>
      <charset val="134"/>
      <scheme val="minor"/>
    </font>
    <font>
      <sz val="11"/>
      <color rgb="FFFF0000"/>
      <name val="Calibri"/>
      <charset val="134"/>
      <scheme val="minor"/>
    </font>
    <font>
      <i/>
      <sz val="11"/>
      <name val="Calibri"/>
      <charset val="134"/>
      <scheme val="minor"/>
    </font>
    <font>
      <b/>
      <sz val="11"/>
      <color theme="1"/>
      <name val="Calibri"/>
      <charset val="134"/>
      <scheme val="minor"/>
    </font>
    <font>
      <b/>
      <i/>
      <u/>
      <sz val="10"/>
      <color theme="1"/>
      <name val="Calibri"/>
      <charset val="134"/>
      <scheme val="minor"/>
    </font>
    <font>
      <b/>
      <u/>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sz val="12"/>
      <name val="Helv"/>
      <charset val="134"/>
    </font>
    <font>
      <sz val="10"/>
      <name val="Courier"/>
      <charset val="134"/>
    </font>
    <font>
      <vertAlign val="superscript"/>
      <sz val="10"/>
      <name val="Calibri"/>
      <charset val="134"/>
      <scheme val="minor"/>
    </font>
    <font>
      <i/>
      <sz val="10"/>
      <name val="Calibri"/>
      <charset val="134"/>
      <scheme val="minor"/>
    </font>
    <font>
      <vertAlign val="superscript"/>
      <sz val="10"/>
      <color indexed="8"/>
      <name val="Calibri"/>
      <charset val="134"/>
      <scheme val="minor"/>
    </font>
    <font>
      <b/>
      <sz val="10"/>
      <color indexed="10"/>
      <name val="Calibri"/>
      <charset val="134"/>
      <scheme val="minor"/>
    </font>
    <font>
      <u/>
      <sz val="10"/>
      <color indexed="10"/>
      <name val="Calibri"/>
      <charset val="134"/>
      <scheme val="minor"/>
    </font>
    <font>
      <sz val="10"/>
      <color indexed="10"/>
      <name val="Calibri"/>
      <charset val="134"/>
      <scheme val="minor"/>
    </font>
    <font>
      <b/>
      <vertAlign val="superscript"/>
      <sz val="10"/>
      <name val="Calibri"/>
      <charset val="134"/>
      <scheme val="minor"/>
    </font>
    <font>
      <vertAlign val="superscript"/>
      <sz val="10"/>
      <color indexed="10"/>
      <name val="Calibri"/>
      <charset val="134"/>
      <scheme val="minor"/>
    </font>
    <font>
      <b/>
      <sz val="9"/>
      <name val="Tahoma"/>
      <charset val="134"/>
    </font>
    <font>
      <sz val="9"/>
      <name val="Tahoma"/>
      <charset val="134"/>
    </font>
  </fonts>
  <fills count="42">
    <fill>
      <patternFill patternType="none"/>
    </fill>
    <fill>
      <patternFill patternType="gray125"/>
    </fill>
    <fill>
      <patternFill patternType="solid">
        <fgColor theme="9" tint="0.799981688894314"/>
        <bgColor indexed="64"/>
      </patternFill>
    </fill>
    <fill>
      <patternFill patternType="solid">
        <fgColor rgb="FF92D050"/>
        <bgColor indexed="64"/>
      </patternFill>
    </fill>
    <fill>
      <patternFill patternType="solid">
        <fgColor indexed="42"/>
        <bgColor indexed="64"/>
      </patternFill>
    </fill>
    <fill>
      <patternFill patternType="solid">
        <fgColor rgb="FFFFFF00"/>
        <bgColor indexed="64"/>
      </patternFill>
    </fill>
    <fill>
      <patternFill patternType="solid">
        <fgColor rgb="FF00B0F0"/>
        <bgColor indexed="64"/>
      </patternFill>
    </fill>
    <fill>
      <patternFill patternType="solid">
        <fgColor theme="9" tint="-0.249977111117893"/>
        <bgColor indexed="64"/>
      </patternFill>
    </fill>
    <fill>
      <patternFill patternType="solid">
        <fgColor rgb="FFFF0000"/>
        <bgColor indexed="64"/>
      </patternFill>
    </fill>
    <fill>
      <patternFill patternType="solid">
        <fgColor theme="8" tint="0.599993896298105"/>
        <bgColor indexed="64"/>
      </patternFill>
    </fill>
    <fill>
      <patternFill patternType="solid">
        <fgColor rgb="FFFFCC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double">
        <color auto="1"/>
      </bottom>
      <diagonal/>
    </border>
    <border>
      <left/>
      <right style="thin">
        <color auto="1"/>
      </right>
      <top/>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double">
        <color auto="1"/>
      </top>
      <bottom style="thin">
        <color auto="1"/>
      </bottom>
      <diagonal/>
    </border>
    <border>
      <left/>
      <right/>
      <top style="thin">
        <color auto="1"/>
      </top>
      <bottom/>
      <diagonal/>
    </border>
    <border>
      <left style="thin">
        <color auto="1"/>
      </left>
      <right style="thin">
        <color auto="1"/>
      </right>
      <top style="thin">
        <color auto="1"/>
      </top>
      <bottom style="medium">
        <color auto="1"/>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xf numFmtId="43" fontId="0" fillId="0" borderId="0" applyFont="0" applyFill="0" applyBorder="0" applyAlignment="0" applyProtection="0"/>
    <xf numFmtId="44" fontId="23" fillId="0" borderId="0" applyFont="0" applyFill="0" applyBorder="0" applyAlignment="0" applyProtection="0">
      <alignment vertical="center"/>
    </xf>
    <xf numFmtId="9" fontId="0" fillId="0" borderId="0" applyFont="0" applyFill="0" applyBorder="0" applyAlignment="0" applyProtection="0"/>
    <xf numFmtId="176" fontId="23" fillId="0" borderId="0" applyFont="0" applyFill="0" applyBorder="0" applyAlignment="0" applyProtection="0">
      <alignment vertical="center"/>
    </xf>
    <xf numFmtId="42" fontId="23"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3" fillId="11" borderId="16"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17" applyNumberFormat="0" applyFill="0" applyAlignment="0" applyProtection="0">
      <alignment vertical="center"/>
    </xf>
    <xf numFmtId="0" fontId="30" fillId="0" borderId="17" applyNumberFormat="0" applyFill="0" applyAlignment="0" applyProtection="0">
      <alignment vertical="center"/>
    </xf>
    <xf numFmtId="0" fontId="31" fillId="0" borderId="18" applyNumberFormat="0" applyFill="0" applyAlignment="0" applyProtection="0">
      <alignment vertical="center"/>
    </xf>
    <xf numFmtId="0" fontId="31" fillId="0" borderId="0" applyNumberFormat="0" applyFill="0" applyBorder="0" applyAlignment="0" applyProtection="0">
      <alignment vertical="center"/>
    </xf>
    <xf numFmtId="0" fontId="32" fillId="12" borderId="19" applyNumberFormat="0" applyAlignment="0" applyProtection="0">
      <alignment vertical="center"/>
    </xf>
    <xf numFmtId="0" fontId="33" fillId="13" borderId="20" applyNumberFormat="0" applyAlignment="0" applyProtection="0">
      <alignment vertical="center"/>
    </xf>
    <xf numFmtId="0" fontId="34" fillId="13" borderId="19" applyNumberFormat="0" applyAlignment="0" applyProtection="0">
      <alignment vertical="center"/>
    </xf>
    <xf numFmtId="0" fontId="35" fillId="14" borderId="21" applyNumberFormat="0" applyAlignment="0" applyProtection="0">
      <alignment vertical="center"/>
    </xf>
    <xf numFmtId="0" fontId="36" fillId="0" borderId="22" applyNumberFormat="0" applyFill="0" applyAlignment="0" applyProtection="0">
      <alignment vertical="center"/>
    </xf>
    <xf numFmtId="0" fontId="37" fillId="0" borderId="23" applyNumberFormat="0" applyFill="0" applyAlignment="0" applyProtection="0">
      <alignment vertical="center"/>
    </xf>
    <xf numFmtId="0" fontId="38" fillId="15" borderId="0" applyNumberFormat="0" applyBorder="0" applyAlignment="0" applyProtection="0">
      <alignment vertical="center"/>
    </xf>
    <xf numFmtId="0" fontId="39" fillId="16" borderId="0" applyNumberFormat="0" applyBorder="0" applyAlignment="0" applyProtection="0">
      <alignment vertical="center"/>
    </xf>
    <xf numFmtId="0" fontId="40" fillId="17" borderId="0" applyNumberFormat="0" applyBorder="0" applyAlignment="0" applyProtection="0">
      <alignment vertical="center"/>
    </xf>
    <xf numFmtId="0" fontId="41" fillId="18"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1" fillId="21" borderId="0" applyNumberFormat="0" applyBorder="0" applyAlignment="0" applyProtection="0">
      <alignment vertical="center"/>
    </xf>
    <xf numFmtId="0" fontId="41"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1" fillId="25" borderId="0" applyNumberFormat="0" applyBorder="0" applyAlignment="0" applyProtection="0">
      <alignment vertical="center"/>
    </xf>
    <xf numFmtId="0" fontId="41"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1" fillId="29" borderId="0" applyNumberFormat="0" applyBorder="0" applyAlignment="0" applyProtection="0">
      <alignment vertical="center"/>
    </xf>
    <xf numFmtId="0" fontId="41"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1" fillId="33" borderId="0" applyNumberFormat="0" applyBorder="0" applyAlignment="0" applyProtection="0">
      <alignment vertical="center"/>
    </xf>
    <xf numFmtId="0" fontId="41" fillId="34" borderId="0" applyNumberFormat="0" applyBorder="0" applyAlignment="0" applyProtection="0">
      <alignment vertical="center"/>
    </xf>
    <xf numFmtId="0" fontId="42" fillId="35" borderId="0" applyNumberFormat="0" applyBorder="0" applyAlignment="0" applyProtection="0">
      <alignment vertical="center"/>
    </xf>
    <xf numFmtId="0" fontId="42" fillId="36" borderId="0" applyNumberFormat="0" applyBorder="0" applyAlignment="0" applyProtection="0">
      <alignment vertical="center"/>
    </xf>
    <xf numFmtId="0" fontId="41" fillId="37" borderId="0" applyNumberFormat="0" applyBorder="0" applyAlignment="0" applyProtection="0">
      <alignment vertical="center"/>
    </xf>
    <xf numFmtId="0" fontId="41" fillId="38" borderId="0" applyNumberFormat="0" applyBorder="0" applyAlignment="0" applyProtection="0">
      <alignment vertical="center"/>
    </xf>
    <xf numFmtId="0" fontId="42" fillId="39" borderId="0" applyNumberFormat="0" applyBorder="0" applyAlignment="0" applyProtection="0">
      <alignment vertical="center"/>
    </xf>
    <xf numFmtId="0" fontId="42" fillId="40" borderId="0" applyNumberFormat="0" applyBorder="0" applyAlignment="0" applyProtection="0">
      <alignment vertical="center"/>
    </xf>
    <xf numFmtId="0" fontId="41" fillId="41" borderId="0" applyNumberFormat="0" applyBorder="0" applyAlignment="0" applyProtection="0">
      <alignment vertical="center"/>
    </xf>
    <xf numFmtId="43" fontId="43" fillId="0" borderId="0" applyFont="0" applyFill="0" applyBorder="0" applyAlignment="0" applyProtection="0"/>
    <xf numFmtId="43" fontId="43" fillId="0" borderId="0" applyFont="0" applyFill="0" applyBorder="0" applyAlignment="0" applyProtection="0"/>
    <xf numFmtId="0" fontId="43" fillId="0" borderId="0"/>
    <xf numFmtId="0" fontId="43" fillId="0" borderId="0"/>
    <xf numFmtId="0" fontId="44" fillId="0" borderId="0"/>
    <xf numFmtId="0" fontId="43" fillId="0" borderId="0"/>
    <xf numFmtId="0" fontId="43" fillId="0" borderId="0"/>
    <xf numFmtId="0" fontId="45" fillId="0" borderId="0"/>
  </cellStyleXfs>
  <cellXfs count="661">
    <xf numFmtId="0" fontId="0" fillId="0" borderId="0" xfId="0"/>
    <xf numFmtId="0" fontId="1" fillId="0" borderId="0" xfId="0" applyFont="1" applyAlignment="1" applyProtection="1">
      <alignment vertical="center"/>
      <protection locked="0"/>
    </xf>
    <xf numFmtId="0" fontId="1" fillId="0" borderId="0" xfId="0" applyFont="1" applyProtection="1">
      <protection locked="0"/>
    </xf>
    <xf numFmtId="0" fontId="1" fillId="0" borderId="0" xfId="0" applyFont="1" applyAlignment="1" applyProtection="1">
      <alignment horizontal="center"/>
      <protection locked="0"/>
    </xf>
    <xf numFmtId="43" fontId="1" fillId="0" borderId="0" xfId="49" applyFont="1" applyProtection="1">
      <protection locked="0"/>
    </xf>
    <xf numFmtId="0" fontId="2" fillId="0" borderId="0" xfId="0" applyFont="1" applyAlignment="1" applyProtection="1">
      <alignment horizontal="center" vertical="center" wrapText="1"/>
      <protection locked="0"/>
    </xf>
    <xf numFmtId="43" fontId="2" fillId="0" borderId="0" xfId="49" applyFont="1" applyAlignment="1" applyProtection="1">
      <alignment horizontal="center" vertical="center"/>
      <protection locked="0"/>
    </xf>
    <xf numFmtId="0" fontId="2" fillId="0" borderId="0" xfId="0" applyFont="1" applyBorder="1" applyAlignment="1" applyProtection="1">
      <alignment horizontal="center" vertical="center"/>
      <protection locked="0"/>
    </xf>
    <xf numFmtId="43" fontId="2" fillId="0" borderId="0" xfId="49" applyFont="1" applyBorder="1" applyAlignment="1" applyProtection="1">
      <alignment horizontal="center" vertical="center"/>
      <protection locked="0"/>
    </xf>
    <xf numFmtId="0" fontId="2" fillId="0" borderId="0" xfId="0" applyFont="1" applyFill="1" applyAlignment="1" applyProtection="1">
      <alignment horizontal="center" vertical="center"/>
      <protection locked="0"/>
    </xf>
    <xf numFmtId="177" fontId="2" fillId="0" borderId="1" xfId="49" applyNumberFormat="1" applyFont="1" applyBorder="1" applyAlignment="1" applyProtection="1">
      <alignment horizontal="center" vertical="center"/>
      <protection locked="0"/>
    </xf>
    <xf numFmtId="0" fontId="3" fillId="0" borderId="2"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protection locked="0"/>
    </xf>
    <xf numFmtId="1" fontId="3" fillId="0" borderId="2" xfId="49" applyNumberFormat="1" applyFont="1" applyBorder="1" applyAlignment="1" applyProtection="1">
      <alignment horizontal="center" vertical="center"/>
      <protection locked="0"/>
    </xf>
    <xf numFmtId="43" fontId="3" fillId="0" borderId="2" xfId="49" applyFont="1" applyBorder="1" applyAlignment="1" applyProtection="1">
      <alignment horizontal="center" vertical="center" wrapText="1"/>
      <protection locked="0"/>
    </xf>
    <xf numFmtId="0" fontId="4" fillId="0" borderId="3" xfId="0" applyFont="1" applyBorder="1" applyAlignment="1" applyProtection="1">
      <alignment horizontal="center" vertical="top"/>
      <protection locked="0"/>
    </xf>
    <xf numFmtId="0" fontId="4" fillId="0" borderId="3" xfId="0" applyFont="1" applyBorder="1" applyAlignment="1" applyProtection="1">
      <alignment vertical="top"/>
    </xf>
    <xf numFmtId="43" fontId="4" fillId="0" borderId="3" xfId="49" applyFont="1" applyBorder="1" applyAlignment="1" applyProtection="1">
      <alignment vertical="top"/>
      <protection locked="0"/>
    </xf>
    <xf numFmtId="0" fontId="4" fillId="0" borderId="4" xfId="0" applyFont="1" applyFill="1" applyBorder="1" applyAlignment="1" applyProtection="1">
      <alignment horizontal="center" vertical="top"/>
      <protection locked="0"/>
    </xf>
    <xf numFmtId="0" fontId="5" fillId="0" borderId="4" xfId="0" applyFont="1" applyFill="1" applyBorder="1" applyAlignment="1" applyProtection="1">
      <alignment horizontal="left" vertical="top"/>
    </xf>
    <xf numFmtId="0" fontId="4" fillId="0" borderId="4" xfId="0" applyFont="1" applyBorder="1" applyAlignment="1" applyProtection="1">
      <alignment vertical="top"/>
    </xf>
    <xf numFmtId="43" fontId="4" fillId="0" borderId="4" xfId="49" applyFont="1" applyBorder="1" applyAlignment="1" applyProtection="1">
      <alignment vertical="top"/>
      <protection locked="0"/>
    </xf>
    <xf numFmtId="0" fontId="4" fillId="0" borderId="4" xfId="0" applyFont="1" applyBorder="1" applyAlignment="1" applyProtection="1">
      <alignment vertical="top" wrapText="1"/>
    </xf>
    <xf numFmtId="0" fontId="3" fillId="0" borderId="4" xfId="0" applyFont="1" applyFill="1" applyBorder="1" applyAlignment="1" applyProtection="1">
      <alignment horizontal="center" vertical="top"/>
      <protection locked="0"/>
    </xf>
    <xf numFmtId="0" fontId="3" fillId="0" borderId="4" xfId="0" applyFont="1" applyBorder="1" applyAlignment="1" applyProtection="1">
      <alignment vertical="top" wrapText="1"/>
    </xf>
    <xf numFmtId="0" fontId="4" fillId="2" borderId="4" xfId="0" applyFont="1" applyFill="1" applyBorder="1" applyAlignment="1" applyProtection="1">
      <alignment horizontal="center" vertical="top"/>
      <protection locked="0"/>
    </xf>
    <xf numFmtId="0" fontId="4" fillId="0" borderId="4" xfId="0" applyFont="1" applyFill="1" applyBorder="1" applyAlignment="1" applyProtection="1">
      <alignment horizontal="justify" vertical="top" wrapText="1"/>
    </xf>
    <xf numFmtId="0" fontId="4" fillId="0" borderId="4" xfId="0" applyFont="1" applyBorder="1" applyAlignment="1" applyProtection="1">
      <alignment horizontal="center" vertical="top" wrapText="1"/>
    </xf>
    <xf numFmtId="43" fontId="4" fillId="0" borderId="4" xfId="49" applyFont="1" applyBorder="1" applyAlignment="1" applyProtection="1">
      <alignment vertical="top"/>
    </xf>
    <xf numFmtId="43" fontId="4" fillId="0" borderId="4" xfId="49" applyFont="1" applyBorder="1" applyAlignment="1" applyProtection="1">
      <alignment horizontal="center" vertical="top"/>
      <protection locked="0"/>
    </xf>
    <xf numFmtId="0" fontId="4" fillId="0" borderId="5" xfId="0" applyFont="1" applyFill="1" applyBorder="1" applyAlignment="1" applyProtection="1">
      <alignment horizontal="center" vertical="top"/>
      <protection locked="0"/>
    </xf>
    <xf numFmtId="0" fontId="4" fillId="0" borderId="5" xfId="0" applyFont="1" applyFill="1" applyBorder="1" applyAlignment="1" applyProtection="1">
      <alignment horizontal="justify" vertical="top" wrapText="1"/>
    </xf>
    <xf numFmtId="0" fontId="4" fillId="0" borderId="5" xfId="0" applyFont="1" applyBorder="1" applyAlignment="1" applyProtection="1">
      <alignment horizontal="center" vertical="top" wrapText="1"/>
    </xf>
    <xf numFmtId="43" fontId="4" fillId="0" borderId="5" xfId="49" applyFont="1" applyBorder="1" applyAlignment="1" applyProtection="1">
      <alignment vertical="top"/>
    </xf>
    <xf numFmtId="43" fontId="4" fillId="0" borderId="5" xfId="49" applyFont="1" applyBorder="1" applyAlignment="1" applyProtection="1">
      <alignment vertical="top"/>
      <protection locked="0"/>
    </xf>
    <xf numFmtId="0" fontId="4" fillId="0" borderId="3" xfId="0" applyFont="1" applyFill="1" applyBorder="1" applyAlignment="1" applyProtection="1">
      <alignment horizontal="center" vertical="top"/>
      <protection locked="0"/>
    </xf>
    <xf numFmtId="0" fontId="4" fillId="0" borderId="3" xfId="0" applyFont="1" applyFill="1" applyBorder="1" applyAlignment="1" applyProtection="1">
      <alignment horizontal="justify" vertical="top" wrapText="1"/>
    </xf>
    <xf numFmtId="0" fontId="4" fillId="0" borderId="3" xfId="0" applyFont="1" applyBorder="1" applyAlignment="1" applyProtection="1">
      <alignment horizontal="center" vertical="top" wrapText="1"/>
    </xf>
    <xf numFmtId="43" fontId="4" fillId="0" borderId="3" xfId="49" applyFont="1" applyBorder="1" applyAlignment="1" applyProtection="1">
      <alignment vertical="top"/>
    </xf>
    <xf numFmtId="0" fontId="6" fillId="0" borderId="4" xfId="0" applyFont="1" applyBorder="1" applyAlignment="1" applyProtection="1">
      <alignment vertical="top" wrapText="1"/>
    </xf>
    <xf numFmtId="43" fontId="4" fillId="0" borderId="0" xfId="49" applyFont="1" applyBorder="1" applyAlignment="1" applyProtection="1">
      <alignment vertical="top"/>
      <protection locked="0"/>
    </xf>
    <xf numFmtId="0" fontId="4" fillId="0" borderId="4" xfId="0" applyFont="1" applyBorder="1" applyAlignment="1" applyProtection="1">
      <alignment horizontal="center" vertical="top"/>
      <protection locked="0"/>
    </xf>
    <xf numFmtId="0" fontId="4" fillId="0" borderId="4" xfId="0" applyFont="1" applyBorder="1" applyAlignment="1" applyProtection="1">
      <alignment horizontal="justify" vertical="top" wrapText="1"/>
      <protection locked="0"/>
    </xf>
    <xf numFmtId="0" fontId="4" fillId="0" borderId="4" xfId="0" applyFont="1" applyBorder="1" applyAlignment="1" applyProtection="1">
      <alignment horizontal="center" vertical="center"/>
      <protection locked="0"/>
    </xf>
    <xf numFmtId="0" fontId="3" fillId="0" borderId="4" xfId="0" applyFont="1" applyBorder="1" applyAlignment="1" applyProtection="1">
      <alignment horizontal="justify" vertical="center" wrapText="1"/>
      <protection locked="0"/>
    </xf>
    <xf numFmtId="0" fontId="4" fillId="0" borderId="4" xfId="0" applyFont="1" applyBorder="1" applyAlignment="1" applyProtection="1">
      <alignment vertical="center"/>
      <protection locked="0"/>
    </xf>
    <xf numFmtId="43" fontId="3" fillId="0" borderId="6" xfId="49" applyFont="1" applyBorder="1" applyAlignment="1" applyProtection="1">
      <alignment vertical="center"/>
      <protection locked="0"/>
    </xf>
    <xf numFmtId="0" fontId="1" fillId="0" borderId="5" xfId="0" applyFont="1" applyBorder="1" applyAlignment="1" applyProtection="1">
      <alignment horizontal="center" vertical="top"/>
      <protection locked="0"/>
    </xf>
    <xf numFmtId="0" fontId="2" fillId="0" borderId="5" xfId="0" applyFont="1" applyBorder="1" applyAlignment="1" applyProtection="1">
      <alignment horizontal="justify" vertical="top" wrapText="1"/>
      <protection locked="0"/>
    </xf>
    <xf numFmtId="0" fontId="1" fillId="0" borderId="5" xfId="0" applyFont="1" applyBorder="1" applyAlignment="1" applyProtection="1">
      <alignment vertical="top"/>
      <protection locked="0"/>
    </xf>
    <xf numFmtId="43" fontId="2" fillId="0" borderId="5" xfId="49" applyFont="1" applyBorder="1" applyAlignment="1" applyProtection="1">
      <alignment horizontal="center" vertical="center"/>
      <protection locked="0"/>
    </xf>
    <xf numFmtId="43" fontId="2" fillId="0" borderId="5" xfId="49" applyFont="1" applyBorder="1" applyAlignment="1" applyProtection="1">
      <alignment vertical="center"/>
      <protection locked="0"/>
    </xf>
    <xf numFmtId="43" fontId="1" fillId="0" borderId="0" xfId="1" applyFont="1" applyAlignment="1" applyProtection="1">
      <alignment horizontal="center"/>
      <protection locked="0"/>
    </xf>
    <xf numFmtId="43" fontId="2" fillId="0" borderId="0" xfId="49" applyFont="1" applyAlignment="1" applyProtection="1">
      <alignment horizontal="center" vertical="top"/>
      <protection locked="0"/>
    </xf>
    <xf numFmtId="43" fontId="2" fillId="0" borderId="0" xfId="49" applyFont="1" applyBorder="1" applyAlignment="1" applyProtection="1">
      <alignment horizontal="center" vertical="top"/>
      <protection locked="0"/>
    </xf>
    <xf numFmtId="177" fontId="2" fillId="0" borderId="1" xfId="1" applyNumberFormat="1" applyFont="1" applyBorder="1" applyAlignment="1" applyProtection="1">
      <alignment horizontal="center" vertical="center"/>
      <protection locked="0"/>
    </xf>
    <xf numFmtId="43" fontId="3" fillId="0" borderId="2" xfId="1" applyFont="1" applyBorder="1" applyAlignment="1" applyProtection="1">
      <alignment horizontal="center" vertical="center"/>
      <protection locked="0"/>
    </xf>
    <xf numFmtId="0" fontId="4" fillId="0" borderId="3" xfId="0" applyFont="1" applyBorder="1" applyAlignment="1" applyProtection="1">
      <alignment horizontal="center" vertical="top"/>
    </xf>
    <xf numFmtId="43" fontId="4" fillId="0" borderId="3" xfId="1" applyFont="1" applyBorder="1" applyAlignment="1" applyProtection="1">
      <alignment horizontal="center" vertical="top"/>
    </xf>
    <xf numFmtId="0" fontId="4" fillId="0" borderId="4" xfId="0" applyFont="1" applyFill="1" applyBorder="1" applyAlignment="1" applyProtection="1">
      <alignment horizontal="center" vertical="top"/>
    </xf>
    <xf numFmtId="43" fontId="4" fillId="0" borderId="4" xfId="1" applyFont="1" applyBorder="1" applyAlignment="1" applyProtection="1">
      <alignment horizontal="center" vertical="top"/>
    </xf>
    <xf numFmtId="0" fontId="7" fillId="0" borderId="4" xfId="0" applyFont="1" applyBorder="1" applyAlignment="1" applyProtection="1">
      <alignment vertical="top" wrapText="1"/>
    </xf>
    <xf numFmtId="43" fontId="4" fillId="0" borderId="4" xfId="1" applyFont="1" applyFill="1" applyBorder="1" applyAlignment="1" applyProtection="1">
      <alignment horizontal="center" vertical="top"/>
    </xf>
    <xf numFmtId="43" fontId="4" fillId="3" borderId="4" xfId="49" applyFont="1" applyFill="1" applyBorder="1" applyAlignment="1" applyProtection="1">
      <alignment vertical="top"/>
      <protection locked="0"/>
    </xf>
    <xf numFmtId="0" fontId="4" fillId="0" borderId="4" xfId="0" applyFont="1" applyBorder="1" applyAlignment="1" applyProtection="1">
      <alignment horizontal="center" vertical="top"/>
    </xf>
    <xf numFmtId="0" fontId="4" fillId="0" borderId="4" xfId="0" applyFont="1" applyBorder="1" applyAlignment="1" applyProtection="1">
      <alignment horizontal="justify" vertical="top" wrapText="1"/>
    </xf>
    <xf numFmtId="0" fontId="8" fillId="0" borderId="4" xfId="0" applyFont="1" applyBorder="1" applyAlignment="1" applyProtection="1">
      <alignment horizontal="center" vertical="top"/>
    </xf>
    <xf numFmtId="0" fontId="4" fillId="0" borderId="5" xfId="0" applyFont="1" applyFill="1" applyBorder="1" applyAlignment="1" applyProtection="1">
      <alignment horizontal="center" vertical="top"/>
    </xf>
    <xf numFmtId="43" fontId="4" fillId="0" borderId="5" xfId="1" applyFont="1" applyFill="1" applyBorder="1" applyAlignment="1" applyProtection="1">
      <alignment horizontal="center" vertical="top"/>
    </xf>
    <xf numFmtId="43" fontId="4" fillId="3" borderId="5" xfId="49" applyFont="1" applyFill="1" applyBorder="1" applyAlignment="1" applyProtection="1">
      <alignment vertical="top"/>
      <protection locked="0"/>
    </xf>
    <xf numFmtId="43" fontId="4" fillId="0" borderId="5" xfId="49" applyFont="1" applyBorder="1" applyAlignment="1" applyProtection="1">
      <alignment horizontal="center" vertical="top"/>
      <protection locked="0"/>
    </xf>
    <xf numFmtId="0" fontId="6" fillId="0" borderId="4" xfId="0" applyFont="1" applyFill="1" applyBorder="1" applyAlignment="1" applyProtection="1">
      <alignment vertical="top" wrapText="1"/>
    </xf>
    <xf numFmtId="0" fontId="4" fillId="0" borderId="4" xfId="0" applyFont="1" applyFill="1" applyBorder="1" applyAlignment="1" applyProtection="1">
      <alignment horizontal="center" vertical="center"/>
    </xf>
    <xf numFmtId="0" fontId="5" fillId="0" borderId="4" xfId="0" applyFont="1" applyFill="1" applyBorder="1" applyAlignment="1" applyProtection="1">
      <alignment horizontal="justify" vertical="center" wrapText="1"/>
    </xf>
    <xf numFmtId="0" fontId="4" fillId="0" borderId="4" xfId="0" applyFont="1" applyBorder="1" applyAlignment="1" applyProtection="1">
      <alignment horizontal="center" vertical="center"/>
    </xf>
    <xf numFmtId="43" fontId="4" fillId="0" borderId="4" xfId="1" applyFont="1" applyBorder="1" applyAlignment="1" applyProtection="1">
      <alignment horizontal="center" vertical="center"/>
    </xf>
    <xf numFmtId="43" fontId="4" fillId="0" borderId="4" xfId="49" applyFont="1" applyBorder="1" applyAlignment="1" applyProtection="1">
      <alignment vertical="center"/>
      <protection locked="0"/>
    </xf>
    <xf numFmtId="0" fontId="5" fillId="0" borderId="4" xfId="0" applyFont="1" applyFill="1" applyBorder="1" applyAlignment="1" applyProtection="1">
      <alignment horizontal="justify" vertical="top" wrapText="1"/>
    </xf>
    <xf numFmtId="0" fontId="0" fillId="0" borderId="0" xfId="0" applyFont="1" applyBorder="1" applyAlignment="1" applyProtection="1">
      <alignment vertical="top"/>
      <protection locked="0"/>
    </xf>
    <xf numFmtId="0" fontId="4" fillId="0" borderId="5" xfId="0" applyFont="1" applyBorder="1" applyAlignment="1" applyProtection="1">
      <alignment horizontal="center" vertical="top"/>
    </xf>
    <xf numFmtId="0" fontId="3" fillId="0" borderId="4" xfId="0" applyFont="1" applyFill="1" applyBorder="1" applyAlignment="1" applyProtection="1">
      <alignment horizontal="justify" vertical="top" wrapText="1"/>
    </xf>
    <xf numFmtId="0" fontId="3" fillId="0" borderId="4" xfId="0" applyFont="1" applyBorder="1" applyAlignment="1" applyProtection="1">
      <alignment horizontal="justify" vertical="top" wrapText="1"/>
    </xf>
    <xf numFmtId="43" fontId="3" fillId="0" borderId="4" xfId="49" applyFont="1" applyBorder="1" applyAlignment="1" applyProtection="1">
      <alignment horizontal="center" vertical="center"/>
      <protection locked="0"/>
    </xf>
    <xf numFmtId="0" fontId="4" fillId="0" borderId="5" xfId="0" applyFont="1" applyBorder="1" applyAlignment="1" applyProtection="1">
      <alignment horizontal="center" vertical="top"/>
      <protection locked="0"/>
    </xf>
    <xf numFmtId="0" fontId="3" fillId="0" borderId="5" xfId="0" applyFont="1" applyBorder="1" applyAlignment="1" applyProtection="1">
      <alignment horizontal="justify" vertical="top" wrapText="1"/>
      <protection locked="0"/>
    </xf>
    <xf numFmtId="0" fontId="4" fillId="0" borderId="5" xfId="0" applyFont="1" applyBorder="1" applyAlignment="1" applyProtection="1">
      <alignment vertical="top"/>
      <protection locked="0"/>
    </xf>
    <xf numFmtId="43" fontId="4" fillId="0" borderId="5" xfId="1" applyFont="1" applyBorder="1" applyAlignment="1" applyProtection="1">
      <alignment horizontal="center" vertical="top"/>
      <protection locked="0"/>
    </xf>
    <xf numFmtId="43" fontId="3" fillId="0" borderId="5" xfId="49" applyFont="1" applyBorder="1" applyAlignment="1" applyProtection="1">
      <alignment horizontal="center" vertical="center"/>
      <protection locked="0"/>
    </xf>
    <xf numFmtId="43" fontId="3" fillId="0" borderId="5" xfId="49" applyFont="1" applyBorder="1" applyAlignment="1" applyProtection="1">
      <alignment vertical="center"/>
      <protection locked="0"/>
    </xf>
    <xf numFmtId="43" fontId="1" fillId="0" borderId="0" xfId="0" applyNumberFormat="1" applyFont="1" applyProtection="1">
      <protection locked="0"/>
    </xf>
    <xf numFmtId="43" fontId="1" fillId="0" borderId="0" xfId="49" applyFont="1" applyFill="1" applyProtection="1">
      <protection locked="0"/>
    </xf>
    <xf numFmtId="0" fontId="2" fillId="0" borderId="0" xfId="0" applyFont="1" applyAlignment="1" applyProtection="1">
      <alignment horizontal="center" vertical="center"/>
      <protection locked="0"/>
    </xf>
    <xf numFmtId="43" fontId="3" fillId="0" borderId="2" xfId="49" applyFont="1" applyFill="1" applyBorder="1" applyAlignment="1" applyProtection="1">
      <alignment horizontal="center" vertical="center" wrapText="1"/>
      <protection locked="0"/>
    </xf>
    <xf numFmtId="0" fontId="3" fillId="0" borderId="4" xfId="0" applyFont="1" applyBorder="1" applyAlignment="1" applyProtection="1">
      <alignment horizontal="center"/>
    </xf>
    <xf numFmtId="0" fontId="3" fillId="0" borderId="4" xfId="0" applyFont="1" applyBorder="1" applyAlignment="1" applyProtection="1">
      <alignment horizontal="center" wrapText="1"/>
    </xf>
    <xf numFmtId="43" fontId="3" fillId="0" borderId="4" xfId="49" applyFont="1" applyFill="1" applyBorder="1" applyAlignment="1" applyProtection="1">
      <alignment horizontal="center"/>
    </xf>
    <xf numFmtId="43" fontId="3" fillId="0" borderId="4" xfId="49" applyFont="1" applyFill="1" applyBorder="1" applyAlignment="1" applyProtection="1">
      <alignment horizontal="center"/>
      <protection locked="0"/>
    </xf>
    <xf numFmtId="0" fontId="3" fillId="0" borderId="4" xfId="0" applyFont="1" applyBorder="1" applyAlignment="1" applyProtection="1">
      <alignment horizontal="center" vertical="top"/>
    </xf>
    <xf numFmtId="0" fontId="3" fillId="0" borderId="4" xfId="0" applyFont="1" applyBorder="1" applyAlignment="1" applyProtection="1">
      <alignment wrapText="1"/>
    </xf>
    <xf numFmtId="0" fontId="4" fillId="0" borderId="4" xfId="0" applyFont="1" applyBorder="1" applyAlignment="1" applyProtection="1">
      <alignment horizontal="center"/>
    </xf>
    <xf numFmtId="43" fontId="4" fillId="0" borderId="4" xfId="49" applyFont="1" applyFill="1" applyBorder="1" applyAlignment="1" applyProtection="1">
      <alignment horizontal="center"/>
    </xf>
    <xf numFmtId="43" fontId="4" fillId="0" borderId="4" xfId="49" applyFont="1" applyFill="1" applyBorder="1" applyProtection="1">
      <protection locked="0"/>
    </xf>
    <xf numFmtId="43" fontId="4" fillId="0" borderId="4" xfId="49" applyFont="1" applyFill="1" applyBorder="1" applyAlignment="1" applyProtection="1">
      <alignment horizontal="center" vertical="top"/>
    </xf>
    <xf numFmtId="43" fontId="4" fillId="0" borderId="4" xfId="49" applyFont="1" applyFill="1" applyBorder="1" applyAlignment="1" applyProtection="1">
      <alignment vertical="top"/>
      <protection locked="0"/>
    </xf>
    <xf numFmtId="178" fontId="4" fillId="0" borderId="4" xfId="56" applyNumberFormat="1" applyFont="1" applyBorder="1" applyAlignment="1" applyProtection="1">
      <alignment horizontal="left" vertical="top"/>
    </xf>
    <xf numFmtId="2" fontId="4" fillId="0" borderId="4" xfId="0" applyNumberFormat="1" applyFont="1" applyFill="1" applyBorder="1" applyAlignment="1" applyProtection="1">
      <alignment horizontal="center" vertical="top"/>
    </xf>
    <xf numFmtId="179" fontId="4" fillId="0" borderId="4" xfId="49" applyNumberFormat="1" applyFont="1" applyFill="1" applyBorder="1" applyAlignment="1" applyProtection="1">
      <alignment horizontal="center" vertical="top"/>
    </xf>
    <xf numFmtId="43" fontId="4" fillId="0" borderId="4" xfId="49" applyFont="1" applyBorder="1" applyAlignment="1" applyProtection="1">
      <alignment horizontal="center" vertical="top"/>
    </xf>
    <xf numFmtId="2" fontId="4" fillId="0" borderId="5" xfId="0" applyNumberFormat="1" applyFont="1" applyFill="1" applyBorder="1" applyAlignment="1" applyProtection="1">
      <alignment horizontal="center" vertical="top"/>
    </xf>
    <xf numFmtId="43" fontId="4" fillId="0" borderId="5" xfId="49" applyFont="1" applyFill="1" applyBorder="1" applyAlignment="1" applyProtection="1">
      <alignment horizontal="center" vertical="top"/>
    </xf>
    <xf numFmtId="43" fontId="4" fillId="0" borderId="5" xfId="49" applyFont="1" applyFill="1" applyBorder="1" applyAlignment="1" applyProtection="1">
      <alignment vertical="top"/>
      <protection locked="0"/>
    </xf>
    <xf numFmtId="178" fontId="4" fillId="0" borderId="4" xfId="56" applyNumberFormat="1" applyFont="1" applyBorder="1" applyAlignment="1" applyProtection="1">
      <alignment horizontal="left" vertical="center"/>
    </xf>
    <xf numFmtId="2" fontId="4" fillId="0" borderId="4" xfId="0" applyNumberFormat="1" applyFont="1" applyFill="1" applyBorder="1" applyAlignment="1" applyProtection="1">
      <alignment horizontal="center" vertical="center"/>
    </xf>
    <xf numFmtId="43" fontId="4" fillId="0" borderId="4" xfId="49" applyFont="1" applyFill="1" applyBorder="1" applyAlignment="1" applyProtection="1">
      <alignment horizontal="center" vertical="center"/>
    </xf>
    <xf numFmtId="43" fontId="4" fillId="0" borderId="4" xfId="49" applyFont="1" applyFill="1" applyBorder="1" applyAlignment="1" applyProtection="1">
      <alignment vertical="center"/>
      <protection locked="0"/>
    </xf>
    <xf numFmtId="178" fontId="4" fillId="0" borderId="4" xfId="56" applyNumberFormat="1" applyFont="1" applyBorder="1" applyAlignment="1" applyProtection="1">
      <alignment horizontal="left" vertical="top" wrapText="1"/>
    </xf>
    <xf numFmtId="43" fontId="4" fillId="0" borderId="4" xfId="49" applyFont="1" applyFill="1" applyBorder="1" applyAlignment="1" applyProtection="1">
      <alignment horizontal="center" vertical="top"/>
      <protection locked="0"/>
    </xf>
    <xf numFmtId="43" fontId="4" fillId="0" borderId="4" xfId="49" applyFont="1" applyFill="1" applyBorder="1" applyAlignment="1" applyProtection="1">
      <alignment horizontal="center" vertical="center"/>
      <protection locked="0"/>
    </xf>
    <xf numFmtId="43" fontId="3" fillId="0" borderId="4" xfId="49" applyFont="1" applyFill="1" applyBorder="1" applyAlignment="1" applyProtection="1">
      <alignment horizontal="center" vertical="center"/>
      <protection locked="0"/>
    </xf>
    <xf numFmtId="43" fontId="3" fillId="0" borderId="6" xfId="49" applyFont="1" applyFill="1" applyBorder="1" applyAlignment="1" applyProtection="1">
      <alignment vertical="center"/>
      <protection locked="0"/>
    </xf>
    <xf numFmtId="0" fontId="4" fillId="0" borderId="5" xfId="0" applyFont="1" applyBorder="1" applyAlignment="1" applyProtection="1">
      <alignment wrapText="1"/>
      <protection locked="0"/>
    </xf>
    <xf numFmtId="0" fontId="4" fillId="0" borderId="5" xfId="0" applyFont="1" applyBorder="1" applyAlignment="1" applyProtection="1">
      <alignment horizontal="center"/>
      <protection locked="0"/>
    </xf>
    <xf numFmtId="43" fontId="4" fillId="0" borderId="5" xfId="49" applyFont="1" applyFill="1" applyBorder="1" applyAlignment="1" applyProtection="1">
      <alignment horizontal="center"/>
      <protection locked="0"/>
    </xf>
    <xf numFmtId="43" fontId="4" fillId="0" borderId="5" xfId="49" applyFont="1" applyFill="1" applyBorder="1" applyProtection="1">
      <protection locked="0"/>
    </xf>
    <xf numFmtId="0" fontId="1" fillId="0" borderId="0" xfId="0" applyFont="1" applyAlignment="1" applyProtection="1">
      <alignment horizontal="center" vertical="top"/>
      <protection locked="0"/>
    </xf>
    <xf numFmtId="0" fontId="1" fillId="0" borderId="0" xfId="0" applyFont="1" applyAlignment="1" applyProtection="1">
      <alignment wrapText="1"/>
      <protection locked="0"/>
    </xf>
    <xf numFmtId="43" fontId="1" fillId="0" borderId="0" xfId="49" applyFont="1" applyFill="1" applyAlignment="1" applyProtection="1">
      <alignment horizontal="center"/>
      <protection locked="0"/>
    </xf>
    <xf numFmtId="0" fontId="1" fillId="0" borderId="0" xfId="0" applyFont="1" applyAlignment="1" applyProtection="1">
      <alignment vertical="top"/>
      <protection locked="0"/>
    </xf>
    <xf numFmtId="0" fontId="1" fillId="4" borderId="0" xfId="0" applyFont="1" applyFill="1" applyProtection="1">
      <protection locked="0"/>
    </xf>
    <xf numFmtId="0" fontId="1" fillId="4" borderId="0" xfId="0" applyFont="1" applyFill="1" applyAlignment="1" applyProtection="1">
      <alignment vertical="center"/>
      <protection locked="0"/>
    </xf>
    <xf numFmtId="0" fontId="2" fillId="0" borderId="0" xfId="0" applyFont="1" applyAlignment="1" applyProtection="1">
      <alignment vertical="center" wrapText="1"/>
      <protection locked="0"/>
    </xf>
    <xf numFmtId="0" fontId="2" fillId="0" borderId="0" xfId="0" applyFont="1" applyBorder="1" applyAlignment="1" applyProtection="1">
      <alignment vertical="center"/>
      <protection locked="0"/>
    </xf>
    <xf numFmtId="0" fontId="2" fillId="0" borderId="1" xfId="0" applyFont="1" applyBorder="1" applyAlignment="1" applyProtection="1">
      <alignment horizontal="center" vertical="center"/>
      <protection locked="0"/>
    </xf>
    <xf numFmtId="0" fontId="3" fillId="0" borderId="3" xfId="0" applyFont="1" applyBorder="1" applyAlignment="1" applyProtection="1">
      <alignment horizontal="center"/>
      <protection locked="0"/>
    </xf>
    <xf numFmtId="0" fontId="3" fillId="0" borderId="3" xfId="0" applyFont="1" applyBorder="1" applyAlignment="1" applyProtection="1">
      <alignment horizontal="center" wrapText="1"/>
      <protection locked="0"/>
    </xf>
    <xf numFmtId="43" fontId="3" fillId="0" borderId="3" xfId="49" applyFont="1" applyFill="1" applyBorder="1" applyAlignment="1" applyProtection="1">
      <alignment horizontal="center"/>
      <protection locked="0"/>
    </xf>
    <xf numFmtId="43" fontId="3" fillId="0" borderId="3" xfId="49" applyFont="1" applyBorder="1" applyAlignment="1" applyProtection="1">
      <alignment horizontal="center"/>
      <protection locked="0"/>
    </xf>
    <xf numFmtId="0" fontId="5" fillId="0" borderId="4" xfId="0" applyFont="1" applyBorder="1" applyAlignment="1" applyProtection="1">
      <alignment horizontal="justify" vertical="top" wrapText="1"/>
    </xf>
    <xf numFmtId="178" fontId="4" fillId="0" borderId="4" xfId="56" applyNumberFormat="1" applyFont="1" applyFill="1" applyBorder="1" applyAlignment="1" applyProtection="1">
      <alignment horizontal="left" vertical="top"/>
    </xf>
    <xf numFmtId="178" fontId="4" fillId="0" borderId="5" xfId="56" applyNumberFormat="1" applyFont="1" applyBorder="1" applyAlignment="1" applyProtection="1">
      <alignment horizontal="left" vertical="top" wrapText="1"/>
    </xf>
    <xf numFmtId="0" fontId="0" fillId="0" borderId="4" xfId="0" applyFont="1" applyBorder="1" applyAlignment="1" applyProtection="1">
      <alignment vertical="top"/>
      <protection locked="0"/>
    </xf>
    <xf numFmtId="43" fontId="1" fillId="0" borderId="0" xfId="0" applyNumberFormat="1" applyFont="1" applyAlignment="1" applyProtection="1">
      <alignment vertical="top"/>
      <protection locked="0"/>
    </xf>
    <xf numFmtId="178" fontId="4" fillId="0" borderId="4" xfId="0" applyNumberFormat="1" applyFont="1" applyFill="1" applyBorder="1" applyAlignment="1" applyProtection="1">
      <alignment horizontal="left" vertical="top" wrapText="1"/>
    </xf>
    <xf numFmtId="178" fontId="4" fillId="0" borderId="4" xfId="0" applyNumberFormat="1" applyFont="1" applyBorder="1" applyAlignment="1" applyProtection="1">
      <alignment horizontal="left" vertical="center" wrapText="1"/>
    </xf>
    <xf numFmtId="178" fontId="4" fillId="0" borderId="5" xfId="56" applyNumberFormat="1" applyFont="1" applyBorder="1" applyAlignment="1" applyProtection="1">
      <alignment horizontal="left" vertical="top"/>
    </xf>
    <xf numFmtId="178" fontId="4" fillId="0" borderId="3" xfId="56" applyNumberFormat="1" applyFont="1" applyBorder="1" applyAlignment="1" applyProtection="1">
      <alignment horizontal="left" vertical="top"/>
    </xf>
    <xf numFmtId="43" fontId="4" fillId="0" borderId="3" xfId="49" applyFont="1" applyFill="1" applyBorder="1" applyAlignment="1" applyProtection="1">
      <alignment horizontal="center" vertical="top"/>
    </xf>
    <xf numFmtId="178" fontId="4" fillId="0" borderId="4" xfId="0" applyNumberFormat="1" applyFont="1" applyBorder="1" applyAlignment="1" applyProtection="1">
      <alignment horizontal="left" vertical="top" wrapText="1"/>
    </xf>
    <xf numFmtId="2" fontId="4" fillId="0" borderId="4" xfId="0" applyNumberFormat="1" applyFont="1" applyFill="1" applyBorder="1" applyAlignment="1" applyProtection="1">
      <alignment horizontal="center" vertical="top"/>
      <protection locked="0"/>
    </xf>
    <xf numFmtId="43" fontId="1" fillId="0" borderId="4" xfId="49" applyFont="1" applyBorder="1" applyAlignment="1" applyProtection="1">
      <alignment vertical="top"/>
      <protection locked="0"/>
    </xf>
    <xf numFmtId="0" fontId="3" fillId="0" borderId="4" xfId="0" applyFont="1" applyBorder="1" applyAlignment="1" applyProtection="1">
      <alignment vertical="top"/>
    </xf>
    <xf numFmtId="0" fontId="5" fillId="0" borderId="4" xfId="53" applyFont="1" applyBorder="1" applyAlignment="1" applyProtection="1">
      <alignment vertical="top"/>
    </xf>
    <xf numFmtId="0" fontId="4" fillId="0" borderId="4" xfId="53" applyFont="1" applyBorder="1" applyAlignment="1" applyProtection="1">
      <alignment vertical="top"/>
    </xf>
    <xf numFmtId="0" fontId="3" fillId="0" borderId="4" xfId="53" applyFont="1" applyBorder="1" applyAlignment="1" applyProtection="1">
      <alignment vertical="top"/>
    </xf>
    <xf numFmtId="2" fontId="1" fillId="0" borderId="0" xfId="0" applyNumberFormat="1" applyFont="1" applyFill="1" applyBorder="1" applyAlignment="1" applyProtection="1">
      <alignment horizontal="center" vertical="top"/>
      <protection locked="0"/>
    </xf>
    <xf numFmtId="43" fontId="1" fillId="0" borderId="0" xfId="49" applyFont="1" applyBorder="1" applyAlignment="1" applyProtection="1">
      <alignment vertical="top"/>
      <protection locked="0"/>
    </xf>
    <xf numFmtId="2" fontId="3" fillId="0" borderId="4" xfId="0" applyNumberFormat="1" applyFont="1" applyFill="1" applyBorder="1" applyAlignment="1" applyProtection="1">
      <alignment horizontal="center" vertical="top"/>
    </xf>
    <xf numFmtId="178" fontId="5" fillId="0" borderId="4" xfId="56" applyNumberFormat="1" applyFont="1" applyBorder="1" applyAlignment="1" applyProtection="1">
      <alignment horizontal="left" vertical="top"/>
    </xf>
    <xf numFmtId="178" fontId="4" fillId="0" borderId="4" xfId="56" applyNumberFormat="1" applyFont="1" applyBorder="1" applyAlignment="1" applyProtection="1">
      <alignment vertical="top"/>
    </xf>
    <xf numFmtId="0" fontId="4" fillId="0" borderId="5" xfId="0" applyFont="1" applyBorder="1" applyAlignment="1" applyProtection="1">
      <alignment horizontal="justify" vertical="top" wrapText="1"/>
    </xf>
    <xf numFmtId="0" fontId="4" fillId="0" borderId="4" xfId="0" applyFont="1" applyBorder="1" applyAlignment="1" applyProtection="1">
      <alignment horizontal="justify" vertical="center" wrapText="1"/>
    </xf>
    <xf numFmtId="178" fontId="6" fillId="0" borderId="4" xfId="56" applyNumberFormat="1" applyFont="1" applyBorder="1" applyAlignment="1" applyProtection="1">
      <alignment horizontal="left" vertical="top"/>
    </xf>
    <xf numFmtId="0" fontId="4" fillId="0" borderId="4" xfId="52" applyFont="1" applyBorder="1" applyAlignment="1" applyProtection="1">
      <alignment horizontal="justify" vertical="top" wrapText="1"/>
    </xf>
    <xf numFmtId="43" fontId="4" fillId="0" borderId="5" xfId="49" applyFont="1" applyBorder="1" applyProtection="1">
      <protection locked="0"/>
    </xf>
    <xf numFmtId="0" fontId="0" fillId="0" borderId="0" xfId="0" applyFont="1" applyBorder="1" applyAlignment="1" applyProtection="1">
      <alignment horizontal="center" vertical="center"/>
      <protection locked="0"/>
    </xf>
    <xf numFmtId="0" fontId="9" fillId="0" borderId="0" xfId="0" applyFont="1" applyBorder="1" applyProtection="1">
      <protection locked="0"/>
    </xf>
    <xf numFmtId="0" fontId="9" fillId="0" borderId="0" xfId="0" applyFont="1" applyBorder="1" applyAlignment="1" applyProtection="1">
      <alignment vertical="center"/>
      <protection locked="0"/>
    </xf>
    <xf numFmtId="0" fontId="9" fillId="0" borderId="0" xfId="0" applyFont="1" applyBorder="1" applyAlignment="1" applyProtection="1">
      <alignment vertical="top"/>
      <protection locked="0"/>
    </xf>
    <xf numFmtId="0" fontId="9" fillId="0" borderId="0" xfId="0" applyFont="1" applyFill="1" applyBorder="1" applyProtection="1">
      <protection locked="0"/>
    </xf>
    <xf numFmtId="0" fontId="9" fillId="0" borderId="0" xfId="0" applyFont="1" applyAlignment="1" applyProtection="1">
      <alignment vertical="center"/>
      <protection locked="0"/>
    </xf>
    <xf numFmtId="0" fontId="9" fillId="0" borderId="0" xfId="0" applyFont="1" applyProtection="1">
      <protection locked="0"/>
    </xf>
    <xf numFmtId="0" fontId="9" fillId="0" borderId="7" xfId="0" applyFont="1" applyFill="1" applyBorder="1" applyProtection="1">
      <protection locked="0"/>
    </xf>
    <xf numFmtId="0" fontId="9" fillId="0" borderId="4" xfId="0" applyFont="1" applyBorder="1" applyProtection="1">
      <protection locked="0"/>
    </xf>
    <xf numFmtId="0" fontId="2" fillId="0" borderId="7" xfId="0" applyFont="1" applyBorder="1" applyAlignment="1" applyProtection="1">
      <alignment vertical="center" wrapText="1"/>
      <protection locked="0"/>
    </xf>
    <xf numFmtId="0" fontId="2" fillId="0" borderId="7" xfId="0" applyFont="1" applyBorder="1" applyAlignment="1" applyProtection="1">
      <alignment vertical="center"/>
      <protection locked="0"/>
    </xf>
    <xf numFmtId="0" fontId="10" fillId="0" borderId="1" xfId="0" applyFont="1" applyBorder="1" applyAlignment="1" applyProtection="1">
      <alignment horizontal="center" vertical="center"/>
      <protection locked="0"/>
    </xf>
    <xf numFmtId="0" fontId="11" fillId="0" borderId="8" xfId="0" applyFont="1" applyBorder="1" applyAlignment="1" applyProtection="1">
      <alignment vertical="center"/>
      <protection locked="0"/>
    </xf>
    <xf numFmtId="0" fontId="9" fillId="0" borderId="9" xfId="0" applyFont="1" applyBorder="1" applyProtection="1">
      <protection locked="0"/>
    </xf>
    <xf numFmtId="0" fontId="12" fillId="0" borderId="3" xfId="0" applyFont="1" applyFill="1" applyBorder="1" applyAlignment="1" applyProtection="1">
      <alignment horizontal="center"/>
    </xf>
    <xf numFmtId="178" fontId="12" fillId="0" borderId="3" xfId="0" applyNumberFormat="1" applyFont="1" applyBorder="1" applyAlignment="1" applyProtection="1">
      <alignment horizontal="left"/>
    </xf>
    <xf numFmtId="0" fontId="7" fillId="0" borderId="3" xfId="0" applyFont="1" applyBorder="1" applyAlignment="1" applyProtection="1">
      <alignment horizontal="center" vertical="top"/>
    </xf>
    <xf numFmtId="1" fontId="12" fillId="0" borderId="3" xfId="0" applyNumberFormat="1" applyFont="1" applyBorder="1" applyAlignment="1" applyProtection="1">
      <alignment horizontal="center" vertical="center"/>
    </xf>
    <xf numFmtId="0" fontId="7" fillId="0" borderId="3" xfId="0" applyFont="1" applyBorder="1" applyAlignment="1" applyProtection="1">
      <alignment horizontal="center" vertical="top"/>
      <protection locked="0"/>
    </xf>
    <xf numFmtId="43" fontId="8" fillId="0" borderId="3" xfId="50" applyFont="1" applyBorder="1" applyAlignment="1" applyProtection="1">
      <alignment horizontal="justify" vertical="top"/>
      <protection locked="0"/>
    </xf>
    <xf numFmtId="178" fontId="12" fillId="0" borderId="10" xfId="0" applyNumberFormat="1" applyFont="1" applyBorder="1" applyAlignment="1" applyProtection="1">
      <alignment horizontal="center" vertical="center"/>
      <protection locked="0"/>
    </xf>
    <xf numFmtId="0" fontId="12" fillId="0" borderId="4" xfId="0" applyFont="1" applyFill="1" applyBorder="1" applyAlignment="1" applyProtection="1">
      <alignment horizontal="center" vertical="top"/>
    </xf>
    <xf numFmtId="178" fontId="12" fillId="0" borderId="4" xfId="0" applyNumberFormat="1" applyFont="1" applyBorder="1" applyAlignment="1" applyProtection="1">
      <alignment horizontal="left" vertical="top"/>
    </xf>
    <xf numFmtId="0" fontId="7" fillId="0" borderId="4" xfId="0" applyFont="1" applyBorder="1" applyAlignment="1" applyProtection="1">
      <alignment horizontal="center" vertical="top"/>
    </xf>
    <xf numFmtId="1" fontId="7" fillId="0" borderId="4" xfId="0" applyNumberFormat="1" applyFont="1" applyBorder="1" applyAlignment="1" applyProtection="1">
      <alignment horizontal="center" vertical="top"/>
    </xf>
    <xf numFmtId="0" fontId="7" fillId="0" borderId="4" xfId="0" applyFont="1" applyBorder="1" applyAlignment="1" applyProtection="1">
      <alignment horizontal="center" vertical="top"/>
      <protection locked="0"/>
    </xf>
    <xf numFmtId="43" fontId="8" fillId="0" borderId="4" xfId="50" applyFont="1" applyBorder="1" applyAlignment="1" applyProtection="1">
      <alignment horizontal="justify" vertical="top"/>
      <protection locked="0"/>
    </xf>
    <xf numFmtId="2" fontId="7" fillId="0" borderId="9" xfId="0" applyNumberFormat="1" applyFont="1" applyBorder="1" applyAlignment="1" applyProtection="1">
      <alignment horizontal="center" vertical="top"/>
      <protection locked="0"/>
    </xf>
    <xf numFmtId="0" fontId="4" fillId="0" borderId="4" xfId="0" applyFont="1" applyFill="1" applyBorder="1" applyAlignment="1" applyProtection="1">
      <alignment vertical="top" wrapText="1"/>
    </xf>
    <xf numFmtId="1" fontId="3" fillId="0" borderId="4" xfId="0" applyNumberFormat="1" applyFont="1" applyFill="1" applyBorder="1" applyAlignment="1" applyProtection="1">
      <alignment horizontal="center" vertical="top" wrapText="1"/>
    </xf>
    <xf numFmtId="0" fontId="3" fillId="0" borderId="9" xfId="0" applyFont="1" applyFill="1" applyBorder="1" applyAlignment="1" applyProtection="1">
      <alignment horizontal="center" vertical="top" wrapText="1"/>
      <protection locked="0"/>
    </xf>
    <xf numFmtId="0" fontId="3" fillId="0" borderId="4" xfId="0" applyFont="1" applyFill="1" applyBorder="1" applyAlignment="1" applyProtection="1">
      <alignment vertical="top" wrapText="1"/>
    </xf>
    <xf numFmtId="0" fontId="3" fillId="0" borderId="4" xfId="0" applyFont="1" applyFill="1" applyBorder="1" applyAlignment="1" applyProtection="1">
      <alignment horizontal="left" vertical="top" wrapText="1"/>
    </xf>
    <xf numFmtId="1" fontId="4" fillId="0" borderId="4" xfId="0" applyNumberFormat="1" applyFont="1" applyFill="1" applyBorder="1" applyAlignment="1" applyProtection="1">
      <alignment horizontal="center" vertical="top"/>
    </xf>
    <xf numFmtId="0" fontId="4" fillId="0" borderId="9" xfId="0" applyFont="1" applyFill="1" applyBorder="1" applyAlignment="1" applyProtection="1">
      <alignment horizontal="center" vertical="top"/>
      <protection locked="0"/>
    </xf>
    <xf numFmtId="0" fontId="4" fillId="0" borderId="4" xfId="55" applyFont="1" applyFill="1" applyBorder="1" applyAlignment="1" applyProtection="1">
      <alignment vertical="top" wrapText="1"/>
    </xf>
    <xf numFmtId="0" fontId="5" fillId="0" borderId="4" xfId="0" applyFont="1" applyFill="1" applyBorder="1" applyAlignment="1" applyProtection="1">
      <alignment horizontal="left" vertical="top" wrapText="1"/>
    </xf>
    <xf numFmtId="1" fontId="4" fillId="0" borderId="4" xfId="0" applyNumberFormat="1" applyFont="1" applyFill="1" applyBorder="1" applyAlignment="1" applyProtection="1">
      <alignment horizontal="center" vertical="top" wrapText="1"/>
    </xf>
    <xf numFmtId="0" fontId="4" fillId="0" borderId="9" xfId="0" applyFont="1" applyFill="1" applyBorder="1" applyAlignment="1" applyProtection="1">
      <alignment horizontal="center" vertical="top" wrapText="1"/>
      <protection locked="0"/>
    </xf>
    <xf numFmtId="0" fontId="4" fillId="0" borderId="4" xfId="55" applyFont="1" applyFill="1" applyBorder="1" applyAlignment="1" applyProtection="1">
      <alignment vertical="top"/>
    </xf>
    <xf numFmtId="0" fontId="4" fillId="0" borderId="11" xfId="0" applyFont="1" applyFill="1" applyBorder="1" applyAlignment="1" applyProtection="1">
      <alignment horizontal="center" vertical="top" wrapText="1"/>
      <protection locked="0"/>
    </xf>
    <xf numFmtId="0" fontId="12" fillId="0" borderId="5" xfId="0" applyFont="1" applyFill="1" applyBorder="1" applyAlignment="1" applyProtection="1">
      <alignment horizontal="center" vertical="top"/>
    </xf>
    <xf numFmtId="0" fontId="7" fillId="0" borderId="5" xfId="0" applyFont="1" applyBorder="1" applyAlignment="1" applyProtection="1">
      <alignment horizontal="center" vertical="top"/>
    </xf>
    <xf numFmtId="1" fontId="4" fillId="0" borderId="5" xfId="0" applyNumberFormat="1" applyFont="1" applyFill="1" applyBorder="1" applyAlignment="1" applyProtection="1">
      <alignment horizontal="center" vertical="top" wrapText="1"/>
    </xf>
    <xf numFmtId="0" fontId="7" fillId="0" borderId="5" xfId="0" applyFont="1" applyBorder="1" applyAlignment="1" applyProtection="1">
      <alignment horizontal="center" vertical="top"/>
      <protection locked="0"/>
    </xf>
    <xf numFmtId="43" fontId="8" fillId="0" borderId="5" xfId="50" applyFont="1" applyBorder="1" applyAlignment="1" applyProtection="1">
      <alignment horizontal="justify" vertical="top"/>
      <protection locked="0"/>
    </xf>
    <xf numFmtId="0" fontId="7" fillId="0" borderId="4" xfId="0" applyFont="1" applyFill="1" applyBorder="1" applyAlignment="1" applyProtection="1">
      <alignment horizontal="center" vertical="top"/>
    </xf>
    <xf numFmtId="0" fontId="12" fillId="0" borderId="4" xfId="0" applyFont="1" applyFill="1" applyBorder="1" applyAlignment="1" applyProtection="1">
      <alignment horizontal="justify" vertical="top"/>
    </xf>
    <xf numFmtId="0" fontId="13" fillId="0" borderId="4" xfId="0" applyFont="1" applyBorder="1" applyAlignment="1" applyProtection="1">
      <alignment horizontal="left" vertical="top" wrapText="1"/>
    </xf>
    <xf numFmtId="0" fontId="7" fillId="0" borderId="4" xfId="0" applyFont="1" applyFill="1" applyBorder="1" applyAlignment="1" applyProtection="1">
      <alignment vertical="top"/>
    </xf>
    <xf numFmtId="0" fontId="13" fillId="0" borderId="4" xfId="0" applyFont="1" applyBorder="1" applyAlignment="1" applyProtection="1">
      <alignment horizontal="left" vertical="top"/>
    </xf>
    <xf numFmtId="0" fontId="0" fillId="0" borderId="9" xfId="0" applyFont="1" applyBorder="1" applyAlignment="1" applyProtection="1">
      <alignment horizontal="center" vertical="center"/>
      <protection locked="0"/>
    </xf>
    <xf numFmtId="0" fontId="7" fillId="0" borderId="5" xfId="0" applyFont="1" applyFill="1" applyBorder="1" applyAlignment="1" applyProtection="1">
      <alignment vertical="top"/>
    </xf>
    <xf numFmtId="0" fontId="7" fillId="0" borderId="4" xfId="0" applyFont="1" applyFill="1" applyBorder="1" applyAlignment="1" applyProtection="1">
      <alignment vertical="center"/>
    </xf>
    <xf numFmtId="0" fontId="3" fillId="0" borderId="4" xfId="0" applyFont="1" applyFill="1" applyBorder="1" applyAlignment="1" applyProtection="1">
      <alignment horizontal="left" vertical="center" wrapText="1"/>
    </xf>
    <xf numFmtId="0" fontId="7" fillId="0" borderId="4" xfId="0" applyFont="1" applyBorder="1" applyAlignment="1" applyProtection="1">
      <alignment horizontal="center" vertical="center"/>
    </xf>
    <xf numFmtId="1" fontId="7" fillId="0" borderId="4" xfId="50" applyNumberFormat="1" applyFont="1" applyBorder="1" applyAlignment="1" applyProtection="1">
      <alignment horizontal="center" vertical="center"/>
    </xf>
    <xf numFmtId="0" fontId="7" fillId="0" borderId="4" xfId="0" applyFont="1" applyBorder="1" applyAlignment="1" applyProtection="1">
      <alignment horizontal="center" vertical="center"/>
      <protection locked="0"/>
    </xf>
    <xf numFmtId="43" fontId="8" fillId="0" borderId="4" xfId="50" applyFont="1" applyBorder="1" applyAlignment="1" applyProtection="1">
      <alignment horizontal="justify" vertical="center"/>
      <protection locked="0"/>
    </xf>
    <xf numFmtId="2" fontId="7" fillId="0" borderId="9" xfId="50" applyNumberFormat="1" applyFont="1" applyBorder="1" applyAlignment="1" applyProtection="1">
      <alignment horizontal="center" vertical="center"/>
      <protection locked="0"/>
    </xf>
    <xf numFmtId="1" fontId="7" fillId="0" borderId="4" xfId="50" applyNumberFormat="1" applyFont="1" applyBorder="1" applyAlignment="1" applyProtection="1">
      <alignment horizontal="center" vertical="top"/>
    </xf>
    <xf numFmtId="1" fontId="7" fillId="0" borderId="9" xfId="50" applyNumberFormat="1" applyFont="1" applyBorder="1" applyAlignment="1" applyProtection="1">
      <alignment horizontal="center" vertical="top"/>
      <protection locked="0"/>
    </xf>
    <xf numFmtId="0" fontId="4" fillId="0" borderId="4" xfId="0" applyFont="1" applyFill="1" applyBorder="1" applyAlignment="1" applyProtection="1">
      <alignment vertical="top"/>
    </xf>
    <xf numFmtId="0" fontId="4" fillId="0" borderId="4" xfId="0" applyFont="1" applyFill="1" applyBorder="1" applyAlignment="1" applyProtection="1">
      <alignment horizontal="center" vertical="top" wrapText="1"/>
    </xf>
    <xf numFmtId="1" fontId="4" fillId="0" borderId="4" xfId="50" applyNumberFormat="1" applyFont="1" applyFill="1" applyBorder="1" applyAlignment="1" applyProtection="1">
      <alignment horizontal="center" vertical="top"/>
    </xf>
    <xf numFmtId="43" fontId="4" fillId="0" borderId="4" xfId="0" applyNumberFormat="1" applyFont="1" applyFill="1" applyBorder="1" applyAlignment="1" applyProtection="1">
      <alignment horizontal="center" vertical="top" wrapText="1"/>
      <protection locked="0"/>
    </xf>
    <xf numFmtId="1" fontId="4" fillId="0" borderId="9" xfId="50" applyNumberFormat="1" applyFont="1" applyFill="1" applyBorder="1" applyAlignment="1" applyProtection="1">
      <alignment horizontal="center" vertical="top"/>
      <protection locked="0"/>
    </xf>
    <xf numFmtId="43" fontId="7" fillId="0" borderId="4" xfId="0" applyNumberFormat="1" applyFont="1" applyBorder="1" applyAlignment="1" applyProtection="1">
      <alignment horizontal="center" vertical="top"/>
      <protection locked="0"/>
    </xf>
    <xf numFmtId="0" fontId="4" fillId="0" borderId="4" xfId="0" applyFont="1" applyFill="1" applyBorder="1" applyAlignment="1" applyProtection="1">
      <alignment horizontal="center" vertical="top" wrapText="1"/>
      <protection locked="0"/>
    </xf>
    <xf numFmtId="0" fontId="7" fillId="0" borderId="5" xfId="0" applyFont="1" applyFill="1" applyBorder="1" applyAlignment="1" applyProtection="1">
      <alignment horizontal="center" vertical="top"/>
    </xf>
    <xf numFmtId="0" fontId="4" fillId="0" borderId="5" xfId="0" applyFont="1" applyFill="1" applyBorder="1" applyAlignment="1" applyProtection="1">
      <alignment horizontal="center" vertical="top" wrapText="1"/>
    </xf>
    <xf numFmtId="1" fontId="7" fillId="0" borderId="5" xfId="50" applyNumberFormat="1" applyFont="1" applyBorder="1" applyAlignment="1" applyProtection="1">
      <alignment horizontal="center" vertical="top"/>
    </xf>
    <xf numFmtId="0" fontId="4" fillId="0" borderId="5" xfId="0" applyFont="1" applyFill="1" applyBorder="1" applyAlignment="1" applyProtection="1">
      <alignment horizontal="center" vertical="top" wrapText="1"/>
      <protection locked="0"/>
    </xf>
    <xf numFmtId="0" fontId="7" fillId="0" borderId="3" xfId="0" applyFont="1" applyFill="1" applyBorder="1" applyAlignment="1" applyProtection="1">
      <alignment horizontal="center" vertical="top"/>
    </xf>
    <xf numFmtId="0" fontId="5" fillId="0" borderId="3" xfId="0" applyFont="1" applyFill="1" applyBorder="1" applyAlignment="1" applyProtection="1">
      <alignment horizontal="justify" vertical="center" wrapText="1"/>
    </xf>
    <xf numFmtId="0" fontId="4" fillId="0" borderId="3" xfId="0" applyFont="1" applyFill="1" applyBorder="1" applyAlignment="1" applyProtection="1">
      <alignment horizontal="center" vertical="top" wrapText="1"/>
    </xf>
    <xf numFmtId="1" fontId="7" fillId="0" borderId="3" xfId="50" applyNumberFormat="1" applyFont="1" applyBorder="1" applyAlignment="1" applyProtection="1">
      <alignment horizontal="center" vertical="top"/>
    </xf>
    <xf numFmtId="0" fontId="4" fillId="0" borderId="3" xfId="0" applyFont="1" applyFill="1" applyBorder="1" applyAlignment="1" applyProtection="1">
      <alignment horizontal="center" vertical="top" wrapText="1"/>
      <protection locked="0"/>
    </xf>
    <xf numFmtId="0" fontId="9" fillId="0" borderId="4" xfId="0" applyFont="1" applyFill="1" applyBorder="1" applyAlignment="1" applyProtection="1">
      <alignment vertical="top"/>
    </xf>
    <xf numFmtId="0" fontId="9" fillId="0" borderId="4" xfId="0" applyFont="1" applyBorder="1" applyAlignment="1" applyProtection="1">
      <alignment vertical="top"/>
    </xf>
    <xf numFmtId="0" fontId="9" fillId="0" borderId="4" xfId="0" applyFont="1" applyBorder="1" applyAlignment="1" applyProtection="1">
      <alignment vertical="top"/>
      <protection locked="0"/>
    </xf>
    <xf numFmtId="0" fontId="9" fillId="0" borderId="9" xfId="0" applyFont="1" applyBorder="1" applyAlignment="1" applyProtection="1">
      <alignment vertical="top"/>
      <protection locked="0"/>
    </xf>
    <xf numFmtId="1" fontId="7" fillId="0" borderId="4" xfId="50" applyNumberFormat="1" applyFont="1" applyBorder="1" applyAlignment="1" applyProtection="1">
      <alignment horizontal="center" vertical="top"/>
      <protection locked="0"/>
    </xf>
    <xf numFmtId="0" fontId="4" fillId="0" borderId="4" xfId="0" applyFont="1" applyFill="1" applyBorder="1" applyAlignment="1" applyProtection="1">
      <alignment horizontal="justify" vertical="top"/>
    </xf>
    <xf numFmtId="2" fontId="7" fillId="0" borderId="9" xfId="50" applyNumberFormat="1" applyFont="1" applyBorder="1" applyAlignment="1" applyProtection="1">
      <alignment horizontal="center" vertical="top"/>
      <protection locked="0"/>
    </xf>
    <xf numFmtId="0" fontId="4" fillId="0" borderId="5" xfId="0" applyFont="1" applyFill="1" applyBorder="1" applyAlignment="1" applyProtection="1">
      <alignment horizontal="justify" vertical="top"/>
    </xf>
    <xf numFmtId="0" fontId="9" fillId="0" borderId="9" xfId="0" applyFont="1" applyBorder="1" applyAlignment="1" applyProtection="1">
      <alignment vertical="center"/>
      <protection locked="0"/>
    </xf>
    <xf numFmtId="1" fontId="7" fillId="0" borderId="4" xfId="50" applyNumberFormat="1" applyFont="1" applyFill="1" applyBorder="1" applyAlignment="1" applyProtection="1">
      <alignment horizontal="center" vertical="top"/>
    </xf>
    <xf numFmtId="0" fontId="4" fillId="0" borderId="4" xfId="0" applyFont="1" applyFill="1" applyBorder="1" applyAlignment="1" applyProtection="1">
      <alignment horizontal="left" vertical="top" wrapText="1"/>
    </xf>
    <xf numFmtId="2" fontId="7" fillId="0" borderId="11" xfId="50" applyNumberFormat="1" applyFont="1" applyBorder="1" applyAlignment="1" applyProtection="1">
      <alignment horizontal="center" vertical="top"/>
      <protection locked="0"/>
    </xf>
    <xf numFmtId="0" fontId="9" fillId="0" borderId="5" xfId="0" applyFont="1" applyFill="1" applyBorder="1" applyAlignment="1" applyProtection="1">
      <alignment vertical="top"/>
    </xf>
    <xf numFmtId="0" fontId="4" fillId="0" borderId="5" xfId="0" applyFont="1" applyFill="1" applyBorder="1" applyAlignment="1" applyProtection="1">
      <alignment vertical="top"/>
    </xf>
    <xf numFmtId="0" fontId="9" fillId="0" borderId="5" xfId="0" applyFont="1" applyBorder="1" applyAlignment="1" applyProtection="1">
      <alignment vertical="top"/>
    </xf>
    <xf numFmtId="0" fontId="9" fillId="0" borderId="4" xfId="0" applyFont="1" applyFill="1" applyBorder="1" applyAlignment="1" applyProtection="1">
      <alignment vertical="center"/>
    </xf>
    <xf numFmtId="0" fontId="4" fillId="0" borderId="4" xfId="0" applyFont="1" applyFill="1" applyBorder="1" applyAlignment="1" applyProtection="1">
      <alignment vertical="center"/>
    </xf>
    <xf numFmtId="0" fontId="4" fillId="0" borderId="4" xfId="0" applyFont="1" applyFill="1" applyBorder="1" applyAlignment="1" applyProtection="1">
      <alignment horizontal="center" vertical="center" wrapText="1"/>
    </xf>
    <xf numFmtId="0" fontId="9" fillId="0" borderId="4" xfId="0" applyFont="1" applyBorder="1" applyAlignment="1" applyProtection="1">
      <alignment vertical="center"/>
    </xf>
    <xf numFmtId="0" fontId="4" fillId="0" borderId="4" xfId="0" applyFont="1" applyFill="1" applyBorder="1" applyAlignment="1" applyProtection="1">
      <alignment horizontal="center" vertical="center" wrapText="1"/>
      <protection locked="0"/>
    </xf>
    <xf numFmtId="0" fontId="4" fillId="0" borderId="4" xfId="0" applyFont="1" applyFill="1" applyBorder="1" applyAlignment="1" applyProtection="1">
      <alignment horizontal="left" vertical="center" wrapText="1"/>
    </xf>
    <xf numFmtId="0" fontId="4" fillId="0" borderId="5" xfId="0" applyFont="1" applyFill="1" applyBorder="1" applyAlignment="1" applyProtection="1">
      <alignment vertical="top" wrapText="1"/>
    </xf>
    <xf numFmtId="1" fontId="7" fillId="0" borderId="5" xfId="50" applyNumberFormat="1" applyFont="1" applyFill="1" applyBorder="1" applyAlignment="1" applyProtection="1">
      <alignment horizontal="center" vertical="top"/>
    </xf>
    <xf numFmtId="0" fontId="4" fillId="0" borderId="5" xfId="0" applyFont="1" applyFill="1" applyBorder="1" applyAlignment="1" applyProtection="1">
      <alignment horizontal="left" vertical="top" wrapText="1"/>
    </xf>
    <xf numFmtId="1" fontId="7" fillId="0" borderId="4" xfId="50" applyNumberFormat="1" applyFont="1" applyFill="1" applyBorder="1" applyAlignment="1" applyProtection="1">
      <alignment horizontal="center" vertical="center"/>
    </xf>
    <xf numFmtId="43" fontId="9" fillId="0" borderId="0" xfId="0" applyNumberFormat="1" applyFont="1" applyBorder="1" applyProtection="1">
      <protection locked="0"/>
    </xf>
    <xf numFmtId="2" fontId="7" fillId="0" borderId="4" xfId="50" applyNumberFormat="1" applyFont="1" applyBorder="1" applyAlignment="1" applyProtection="1">
      <alignment horizontal="center" vertical="top"/>
      <protection locked="0"/>
    </xf>
    <xf numFmtId="0" fontId="12" fillId="0" borderId="4" xfId="0" applyFont="1" applyFill="1" applyBorder="1" applyAlignment="1" applyProtection="1">
      <alignment horizontal="center" vertical="center"/>
    </xf>
    <xf numFmtId="43" fontId="4" fillId="0" borderId="5" xfId="0" applyNumberFormat="1" applyFont="1" applyFill="1" applyBorder="1" applyAlignment="1" applyProtection="1">
      <alignment horizontal="center" vertical="top" wrapText="1"/>
      <protection locked="0"/>
    </xf>
    <xf numFmtId="0" fontId="4" fillId="0" borderId="4" xfId="0" applyFont="1" applyFill="1" applyBorder="1" applyAlignment="1" applyProtection="1">
      <alignment vertical="center" wrapText="1"/>
    </xf>
    <xf numFmtId="2" fontId="7" fillId="0" borderId="11" xfId="50" applyNumberFormat="1" applyFont="1" applyBorder="1" applyAlignment="1" applyProtection="1">
      <alignment horizontal="center" vertical="center"/>
      <protection locked="0"/>
    </xf>
    <xf numFmtId="0" fontId="9" fillId="0" borderId="3" xfId="0" applyFont="1" applyFill="1" applyBorder="1" applyAlignment="1" applyProtection="1">
      <alignment vertical="center"/>
    </xf>
    <xf numFmtId="0" fontId="4" fillId="0" borderId="3" xfId="0" applyFont="1" applyFill="1" applyBorder="1" applyAlignment="1" applyProtection="1">
      <alignment vertical="center" wrapText="1"/>
    </xf>
    <xf numFmtId="1" fontId="7" fillId="0" borderId="3" xfId="50" applyNumberFormat="1" applyFont="1" applyFill="1" applyBorder="1" applyAlignment="1" applyProtection="1">
      <alignment horizontal="center" vertical="top"/>
    </xf>
    <xf numFmtId="0" fontId="9" fillId="0" borderId="4" xfId="0" applyFont="1" applyFill="1" applyBorder="1" applyAlignment="1" applyProtection="1">
      <alignment vertical="top"/>
      <protection locked="0"/>
    </xf>
    <xf numFmtId="0" fontId="9" fillId="0" borderId="11" xfId="0" applyFont="1" applyFill="1" applyBorder="1" applyAlignment="1" applyProtection="1">
      <alignment vertical="top"/>
      <protection locked="0"/>
    </xf>
    <xf numFmtId="2" fontId="7" fillId="0" borderId="9" xfId="50" applyNumberFormat="1" applyFont="1" applyFill="1" applyBorder="1" applyAlignment="1" applyProtection="1">
      <alignment horizontal="center" vertical="top"/>
      <protection locked="0"/>
    </xf>
    <xf numFmtId="0" fontId="7" fillId="0" borderId="4" xfId="0" applyFont="1" applyFill="1" applyBorder="1" applyAlignment="1" applyProtection="1">
      <alignment horizontal="left" vertical="top" wrapText="1"/>
    </xf>
    <xf numFmtId="0" fontId="7" fillId="0" borderId="5" xfId="0" applyFont="1" applyFill="1" applyBorder="1" applyAlignment="1" applyProtection="1">
      <alignment horizontal="left" vertical="top" wrapText="1"/>
    </xf>
    <xf numFmtId="0" fontId="8" fillId="0" borderId="4" xfId="0" applyFont="1" applyFill="1" applyBorder="1" applyAlignment="1" applyProtection="1">
      <alignment horizontal="left" vertical="top" wrapText="1"/>
    </xf>
    <xf numFmtId="0" fontId="12" fillId="0" borderId="4" xfId="0" applyFont="1" applyFill="1" applyBorder="1" applyAlignment="1" applyProtection="1">
      <alignment horizontal="left" vertical="top" wrapText="1"/>
    </xf>
    <xf numFmtId="0" fontId="7" fillId="0" borderId="4" xfId="0" applyFont="1" applyFill="1" applyBorder="1" applyAlignment="1" applyProtection="1">
      <alignment horizontal="center" vertical="center"/>
    </xf>
    <xf numFmtId="0" fontId="12" fillId="0" borderId="4" xfId="0" applyFont="1" applyFill="1" applyBorder="1" applyAlignment="1" applyProtection="1">
      <alignment horizontal="left" vertical="center" wrapText="1"/>
    </xf>
    <xf numFmtId="2" fontId="7" fillId="0" borderId="11" xfId="50" applyNumberFormat="1" applyFont="1" applyFill="1" applyBorder="1" applyAlignment="1" applyProtection="1">
      <alignment horizontal="center" vertical="top"/>
      <protection locked="0"/>
    </xf>
    <xf numFmtId="180" fontId="7" fillId="0" borderId="4" xfId="0" applyNumberFormat="1" applyFont="1" applyBorder="1" applyAlignment="1" applyProtection="1">
      <alignment horizontal="center" vertical="top"/>
    </xf>
    <xf numFmtId="180" fontId="7" fillId="0" borderId="4" xfId="0" applyNumberFormat="1" applyFont="1" applyBorder="1" applyAlignment="1" applyProtection="1">
      <alignment horizontal="center" vertical="top"/>
      <protection locked="0"/>
    </xf>
    <xf numFmtId="0" fontId="9" fillId="0" borderId="9" xfId="0" applyFont="1" applyFill="1" applyBorder="1" applyProtection="1">
      <protection locked="0"/>
    </xf>
    <xf numFmtId="0" fontId="9" fillId="0" borderId="4" xfId="0" applyFont="1" applyBorder="1" applyAlignment="1" applyProtection="1">
      <alignment horizontal="center" vertical="top"/>
    </xf>
    <xf numFmtId="43" fontId="9" fillId="0" borderId="4" xfId="0" applyNumberFormat="1" applyFont="1" applyBorder="1" applyAlignment="1" applyProtection="1">
      <alignment vertical="top"/>
      <protection locked="0"/>
    </xf>
    <xf numFmtId="0" fontId="14" fillId="0" borderId="4" xfId="0" applyFont="1" applyFill="1" applyBorder="1" applyAlignment="1" applyProtection="1">
      <alignment horizontal="center" vertical="top"/>
    </xf>
    <xf numFmtId="0" fontId="9" fillId="0" borderId="4" xfId="0" applyFont="1" applyBorder="1" applyAlignment="1" applyProtection="1">
      <alignment vertical="top" wrapText="1"/>
    </xf>
    <xf numFmtId="0" fontId="15" fillId="0" borderId="4" xfId="0" applyFont="1" applyFill="1" applyBorder="1" applyAlignment="1" applyProtection="1">
      <alignment horizontal="center" vertical="top"/>
    </xf>
    <xf numFmtId="0" fontId="16" fillId="0" borderId="4" xfId="0" applyFont="1" applyBorder="1" applyAlignment="1" applyProtection="1">
      <alignment horizontal="left" vertical="top" wrapText="1"/>
    </xf>
    <xf numFmtId="1" fontId="17" fillId="0" borderId="4" xfId="50" applyNumberFormat="1" applyFont="1" applyBorder="1" applyAlignment="1" applyProtection="1">
      <alignment horizontal="center" vertical="top"/>
    </xf>
    <xf numFmtId="0" fontId="17" fillId="0" borderId="4" xfId="0" applyFont="1" applyBorder="1" applyAlignment="1" applyProtection="1">
      <alignment horizontal="left" vertical="top" wrapText="1"/>
    </xf>
    <xf numFmtId="0" fontId="15" fillId="0" borderId="5" xfId="0" applyFont="1" applyFill="1" applyBorder="1" applyAlignment="1" applyProtection="1">
      <alignment horizontal="center" vertical="top"/>
    </xf>
    <xf numFmtId="0" fontId="17" fillId="0" borderId="5" xfId="0" applyFont="1" applyBorder="1" applyAlignment="1" applyProtection="1">
      <alignment horizontal="left" vertical="top" wrapText="1"/>
    </xf>
    <xf numFmtId="1" fontId="17" fillId="0" borderId="5" xfId="50" applyNumberFormat="1" applyFont="1" applyBorder="1" applyAlignment="1" applyProtection="1">
      <alignment horizontal="center" vertical="top"/>
    </xf>
    <xf numFmtId="0" fontId="9" fillId="0" borderId="11" xfId="0" applyFont="1" applyBorder="1" applyAlignment="1" applyProtection="1">
      <alignment vertical="top"/>
      <protection locked="0"/>
    </xf>
    <xf numFmtId="0" fontId="17" fillId="0" borderId="4" xfId="0" applyFont="1" applyFill="1" applyBorder="1" applyAlignment="1" applyProtection="1">
      <alignment horizontal="justify" vertical="top" wrapText="1"/>
    </xf>
    <xf numFmtId="0" fontId="17" fillId="0" borderId="4" xfId="0" applyFont="1" applyFill="1" applyBorder="1" applyAlignment="1" applyProtection="1">
      <alignment vertical="top" wrapText="1"/>
    </xf>
    <xf numFmtId="1" fontId="17" fillId="5" borderId="4" xfId="50" applyNumberFormat="1" applyFont="1" applyFill="1" applyBorder="1" applyAlignment="1" applyProtection="1">
      <alignment horizontal="center" vertical="top"/>
    </xf>
    <xf numFmtId="0" fontId="17" fillId="0" borderId="4" xfId="0" applyFont="1" applyFill="1" applyBorder="1" applyAlignment="1" applyProtection="1">
      <alignment horizontal="left" vertical="top" wrapText="1"/>
    </xf>
    <xf numFmtId="0" fontId="17" fillId="0" borderId="4" xfId="0" applyFont="1" applyFill="1" applyBorder="1" applyAlignment="1" applyProtection="1">
      <alignment horizontal="center" vertical="top"/>
    </xf>
    <xf numFmtId="0" fontId="9" fillId="0" borderId="5" xfId="0" applyFont="1" applyBorder="1" applyAlignment="1" applyProtection="1">
      <alignment vertical="top"/>
      <protection locked="0"/>
    </xf>
    <xf numFmtId="0" fontId="17" fillId="0" borderId="5" xfId="0" applyFont="1" applyFill="1" applyBorder="1" applyAlignment="1" applyProtection="1">
      <alignment horizontal="justify" vertical="top" wrapText="1"/>
    </xf>
    <xf numFmtId="43" fontId="7" fillId="0" borderId="4" xfId="1" applyFont="1" applyBorder="1" applyAlignment="1" applyProtection="1">
      <alignment horizontal="right" vertical="top"/>
      <protection locked="0"/>
    </xf>
    <xf numFmtId="43" fontId="8" fillId="5" borderId="4" xfId="50" applyFont="1" applyFill="1" applyBorder="1" applyAlignment="1" applyProtection="1">
      <alignment horizontal="justify" vertical="top"/>
      <protection locked="0"/>
    </xf>
    <xf numFmtId="43" fontId="4" fillId="0" borderId="4" xfId="50" applyFont="1" applyBorder="1" applyAlignment="1" applyProtection="1">
      <alignment horizontal="justify" vertical="top"/>
      <protection locked="0"/>
    </xf>
    <xf numFmtId="43" fontId="7" fillId="0" borderId="4" xfId="49" applyFont="1" applyBorder="1" applyAlignment="1" applyProtection="1">
      <alignment horizontal="center" vertical="top"/>
      <protection locked="0"/>
    </xf>
    <xf numFmtId="0" fontId="9" fillId="0" borderId="4" xfId="0" applyFont="1" applyFill="1" applyBorder="1" applyProtection="1"/>
    <xf numFmtId="0" fontId="9" fillId="0" borderId="4" xfId="0" applyFont="1" applyBorder="1" applyProtection="1"/>
    <xf numFmtId="0" fontId="14" fillId="0" borderId="4" xfId="0" applyFont="1" applyBorder="1" applyAlignment="1" applyProtection="1">
      <alignment vertical="center"/>
    </xf>
    <xf numFmtId="0" fontId="9" fillId="0" borderId="4" xfId="0" applyFont="1" applyBorder="1" applyAlignment="1" applyProtection="1">
      <alignment vertical="center"/>
      <protection locked="0"/>
    </xf>
    <xf numFmtId="43" fontId="14" fillId="0" borderId="6" xfId="0" applyNumberFormat="1" applyFont="1" applyBorder="1" applyAlignment="1" applyProtection="1">
      <alignment vertical="center"/>
      <protection locked="0"/>
    </xf>
    <xf numFmtId="43" fontId="9" fillId="0" borderId="6" xfId="49" applyFont="1" applyBorder="1" applyAlignment="1" applyProtection="1">
      <alignment vertical="center"/>
      <protection locked="0"/>
    </xf>
    <xf numFmtId="0" fontId="9" fillId="0" borderId="5" xfId="0" applyFont="1" applyFill="1" applyBorder="1" applyProtection="1">
      <protection locked="0"/>
    </xf>
    <xf numFmtId="0" fontId="9" fillId="0" borderId="5" xfId="0" applyFont="1" applyBorder="1" applyProtection="1">
      <protection locked="0"/>
    </xf>
    <xf numFmtId="43" fontId="9" fillId="0" borderId="4" xfId="0" applyNumberFormat="1" applyFont="1" applyBorder="1" applyProtection="1">
      <protection locked="0"/>
    </xf>
    <xf numFmtId="0" fontId="4" fillId="0" borderId="0" xfId="0" applyFont="1" applyAlignment="1" applyProtection="1">
      <alignment vertical="center"/>
      <protection locked="0"/>
    </xf>
    <xf numFmtId="0" fontId="4" fillId="0" borderId="0" xfId="0" applyFont="1" applyAlignment="1" applyProtection="1">
      <alignment vertical="top"/>
      <protection locked="0"/>
    </xf>
    <xf numFmtId="0" fontId="4" fillId="0" borderId="0" xfId="0" applyFont="1" applyProtection="1">
      <protection locked="0"/>
    </xf>
    <xf numFmtId="43" fontId="4" fillId="0" borderId="0" xfId="49" applyFont="1" applyFill="1" applyProtection="1">
      <protection locked="0"/>
    </xf>
    <xf numFmtId="43" fontId="4" fillId="0" borderId="0" xfId="49" applyNumberFormat="1" applyFont="1" applyProtection="1">
      <protection locked="0"/>
    </xf>
    <xf numFmtId="0" fontId="2" fillId="0" borderId="0" xfId="0" applyFont="1" applyFill="1" applyAlignment="1" applyProtection="1">
      <alignment horizontal="center" vertical="center" wrapText="1"/>
      <protection locked="0"/>
    </xf>
    <xf numFmtId="0" fontId="2" fillId="0" borderId="0" xfId="0" applyFont="1" applyAlignment="1" applyProtection="1">
      <alignment vertical="center"/>
      <protection locked="0"/>
    </xf>
    <xf numFmtId="43" fontId="3" fillId="0" borderId="2" xfId="49" applyNumberFormat="1" applyFont="1" applyBorder="1" applyAlignment="1" applyProtection="1">
      <alignment horizontal="center" vertical="center" wrapText="1"/>
      <protection locked="0"/>
    </xf>
    <xf numFmtId="43" fontId="3" fillId="0" borderId="4" xfId="49" applyNumberFormat="1" applyFont="1" applyBorder="1" applyAlignment="1" applyProtection="1">
      <alignment horizontal="center"/>
      <protection locked="0"/>
    </xf>
    <xf numFmtId="0" fontId="3" fillId="0" borderId="4" xfId="0" applyFont="1" applyBorder="1" applyAlignment="1" applyProtection="1">
      <alignment horizontal="center" vertical="center"/>
    </xf>
    <xf numFmtId="0" fontId="3" fillId="0" borderId="4" xfId="0" applyFont="1" applyBorder="1" applyAlignment="1" applyProtection="1">
      <alignment horizontal="justify" vertical="center" wrapText="1"/>
    </xf>
    <xf numFmtId="43" fontId="4" fillId="0" borderId="4" xfId="49" applyNumberFormat="1" applyFont="1" applyBorder="1" applyAlignment="1" applyProtection="1">
      <alignment vertical="center"/>
      <protection locked="0"/>
    </xf>
    <xf numFmtId="0" fontId="3" fillId="0" borderId="4" xfId="0" applyFont="1" applyBorder="1" applyAlignment="1" applyProtection="1">
      <alignment vertical="center" wrapText="1"/>
    </xf>
    <xf numFmtId="43" fontId="3" fillId="0" borderId="4" xfId="49" applyNumberFormat="1" applyFont="1" applyBorder="1" applyProtection="1">
      <protection locked="0"/>
    </xf>
    <xf numFmtId="43" fontId="3" fillId="0" borderId="4" xfId="49" applyFont="1" applyBorder="1" applyAlignment="1" applyProtection="1">
      <alignment vertical="top" wrapText="1"/>
    </xf>
    <xf numFmtId="0" fontId="3" fillId="0" borderId="4" xfId="0" applyFont="1" applyBorder="1" applyAlignment="1" applyProtection="1">
      <alignment vertical="top" wrapText="1"/>
      <protection locked="0"/>
    </xf>
    <xf numFmtId="43" fontId="3" fillId="0" borderId="4" xfId="49" applyFont="1" applyBorder="1" applyAlignment="1" applyProtection="1">
      <alignment wrapText="1"/>
    </xf>
    <xf numFmtId="0" fontId="3" fillId="0" borderId="4" xfId="0" applyFont="1" applyBorder="1" applyAlignment="1" applyProtection="1">
      <alignment wrapText="1"/>
      <protection locked="0"/>
    </xf>
    <xf numFmtId="43" fontId="4" fillId="0" borderId="4" xfId="49" applyNumberFormat="1" applyFont="1" applyBorder="1" applyAlignment="1" applyProtection="1">
      <alignment vertical="top"/>
      <protection locked="0"/>
    </xf>
    <xf numFmtId="43" fontId="4" fillId="0" borderId="4" xfId="49" applyFont="1" applyFill="1" applyBorder="1" applyAlignment="1" applyProtection="1">
      <alignment horizontal="right" vertical="top"/>
      <protection locked="0"/>
    </xf>
    <xf numFmtId="43" fontId="4" fillId="0" borderId="5" xfId="49" applyFont="1" applyFill="1" applyBorder="1" applyAlignment="1" applyProtection="1">
      <alignment horizontal="right" vertical="top"/>
      <protection locked="0"/>
    </xf>
    <xf numFmtId="43" fontId="4" fillId="0" borderId="5" xfId="49" applyNumberFormat="1" applyFont="1" applyBorder="1" applyAlignment="1" applyProtection="1">
      <alignment vertical="top"/>
      <protection locked="0"/>
    </xf>
    <xf numFmtId="43" fontId="3" fillId="0" borderId="4" xfId="49" applyNumberFormat="1" applyFont="1" applyBorder="1" applyAlignment="1" applyProtection="1">
      <alignment horizontal="center" vertical="center"/>
      <protection locked="0"/>
    </xf>
    <xf numFmtId="43" fontId="3" fillId="0" borderId="6" xfId="49" applyNumberFormat="1" applyFont="1" applyBorder="1" applyAlignment="1" applyProtection="1">
      <alignment vertical="center"/>
      <protection locked="0"/>
    </xf>
    <xf numFmtId="43" fontId="4" fillId="0" borderId="5" xfId="49" applyNumberFormat="1" applyFont="1" applyBorder="1" applyProtection="1">
      <protection locked="0"/>
    </xf>
    <xf numFmtId="0" fontId="4" fillId="0" borderId="0" xfId="0" applyFont="1" applyAlignment="1" applyProtection="1">
      <alignment horizontal="center" vertical="top"/>
      <protection locked="0"/>
    </xf>
    <xf numFmtId="0" fontId="4" fillId="0" borderId="0" xfId="0" applyFont="1" applyAlignment="1" applyProtection="1">
      <alignment wrapText="1"/>
      <protection locked="0"/>
    </xf>
    <xf numFmtId="0" fontId="4" fillId="0" borderId="0" xfId="0" applyFont="1" applyAlignment="1" applyProtection="1">
      <alignment horizontal="center"/>
      <protection locked="0"/>
    </xf>
    <xf numFmtId="43" fontId="4" fillId="0" borderId="0" xfId="49" applyFont="1" applyFill="1" applyAlignment="1" applyProtection="1">
      <alignment horizontal="center"/>
      <protection locked="0"/>
    </xf>
    <xf numFmtId="0" fontId="4" fillId="0" borderId="0" xfId="51" applyFont="1" applyProtection="1">
      <protection locked="0"/>
    </xf>
    <xf numFmtId="43" fontId="4" fillId="0" borderId="0" xfId="1" applyFont="1" applyFill="1" applyProtection="1">
      <protection locked="0"/>
    </xf>
    <xf numFmtId="43" fontId="4" fillId="0" borderId="0" xfId="1" applyFont="1" applyProtection="1">
      <protection locked="0"/>
    </xf>
    <xf numFmtId="0" fontId="2" fillId="0" borderId="0" xfId="0" applyFont="1" applyFill="1" applyAlignment="1" applyProtection="1">
      <alignment vertical="center"/>
      <protection locked="0"/>
    </xf>
    <xf numFmtId="0" fontId="3" fillId="0" borderId="2" xfId="0" applyFont="1" applyFill="1" applyBorder="1" applyAlignment="1" applyProtection="1">
      <alignment horizontal="center" vertical="center" wrapText="1"/>
      <protection locked="0"/>
    </xf>
    <xf numFmtId="43" fontId="3" fillId="0" borderId="2" xfId="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protection locked="0"/>
    </xf>
    <xf numFmtId="0" fontId="3" fillId="0" borderId="4" xfId="0" applyFont="1" applyFill="1" applyBorder="1" applyAlignment="1" applyProtection="1">
      <alignment horizontal="center" vertical="center" wrapText="1"/>
      <protection locked="0"/>
    </xf>
    <xf numFmtId="43" fontId="3" fillId="0" borderId="4" xfId="1" applyFont="1" applyFill="1" applyBorder="1" applyAlignment="1" applyProtection="1">
      <alignment horizontal="center"/>
      <protection locked="0"/>
    </xf>
    <xf numFmtId="0" fontId="3" fillId="0" borderId="4" xfId="0" applyFont="1" applyFill="1" applyBorder="1" applyAlignment="1" applyProtection="1">
      <alignment horizontal="center" vertical="top"/>
    </xf>
    <xf numFmtId="0" fontId="4" fillId="0" borderId="4" xfId="0" applyFont="1" applyFill="1" applyBorder="1" applyAlignment="1" applyProtection="1">
      <alignment horizontal="center"/>
    </xf>
    <xf numFmtId="43" fontId="4" fillId="0" borderId="4" xfId="1" applyFont="1" applyFill="1" applyBorder="1" applyAlignment="1" applyProtection="1">
      <alignment horizontal="center"/>
    </xf>
    <xf numFmtId="43" fontId="4" fillId="0" borderId="4" xfId="1" applyFont="1" applyFill="1" applyBorder="1" applyAlignment="1" applyProtection="1">
      <protection locked="0"/>
    </xf>
    <xf numFmtId="0" fontId="3" fillId="0" borderId="4" xfId="0" applyFont="1" applyFill="1" applyBorder="1" applyAlignment="1" applyProtection="1">
      <alignment horizontal="justify" vertical="center" wrapText="1"/>
    </xf>
    <xf numFmtId="0" fontId="4" fillId="0" borderId="4" xfId="0" applyFont="1" applyFill="1" applyBorder="1" applyAlignment="1" applyProtection="1">
      <alignment horizontal="justify" vertical="center" wrapText="1"/>
    </xf>
    <xf numFmtId="0" fontId="6" fillId="0" borderId="5" xfId="0" applyFont="1" applyFill="1" applyBorder="1" applyAlignment="1" applyProtection="1">
      <alignment horizontal="justify" vertical="top" wrapText="1"/>
    </xf>
    <xf numFmtId="0" fontId="4" fillId="0" borderId="5" xfId="0" applyFont="1" applyFill="1" applyBorder="1" applyAlignment="1" applyProtection="1">
      <alignment horizontal="center"/>
    </xf>
    <xf numFmtId="43" fontId="4" fillId="0" borderId="5" xfId="1" applyFont="1" applyFill="1" applyBorder="1" applyAlignment="1" applyProtection="1">
      <alignment horizontal="center"/>
    </xf>
    <xf numFmtId="43" fontId="4" fillId="0" borderId="5" xfId="1" applyFont="1" applyFill="1" applyBorder="1" applyAlignment="1" applyProtection="1">
      <protection locked="0"/>
    </xf>
    <xf numFmtId="43" fontId="4" fillId="0" borderId="4" xfId="1" applyFont="1" applyFill="1" applyBorder="1" applyAlignment="1" applyProtection="1">
      <alignment vertical="top"/>
    </xf>
    <xf numFmtId="43" fontId="4" fillId="0" borderId="4" xfId="1" applyFont="1" applyFill="1" applyBorder="1" applyAlignment="1" applyProtection="1">
      <alignment horizontal="right" vertical="top"/>
      <protection locked="0"/>
    </xf>
    <xf numFmtId="43" fontId="4" fillId="0" borderId="4" xfId="1" applyFont="1" applyFill="1" applyBorder="1" applyAlignment="1" applyProtection="1">
      <alignment vertical="top"/>
      <protection locked="0"/>
    </xf>
    <xf numFmtId="177" fontId="4" fillId="0" borderId="4" xfId="1" applyNumberFormat="1" applyFont="1" applyBorder="1" applyAlignment="1" applyProtection="1">
      <alignment horizontal="center" vertical="top"/>
    </xf>
    <xf numFmtId="177" fontId="4" fillId="0" borderId="4" xfId="1" applyNumberFormat="1" applyFont="1" applyFill="1" applyBorder="1" applyAlignment="1" applyProtection="1">
      <alignment horizontal="center" vertical="top"/>
    </xf>
    <xf numFmtId="177" fontId="4" fillId="0" borderId="5" xfId="1" applyNumberFormat="1" applyFont="1" applyFill="1" applyBorder="1" applyAlignment="1" applyProtection="1">
      <alignment horizontal="center" vertical="top"/>
    </xf>
    <xf numFmtId="43" fontId="4" fillId="0" borderId="5" xfId="1" applyFont="1" applyFill="1" applyBorder="1" applyAlignment="1" applyProtection="1">
      <alignment horizontal="right" vertical="top"/>
      <protection locked="0"/>
    </xf>
    <xf numFmtId="43" fontId="4" fillId="0" borderId="5" xfId="1" applyFont="1" applyFill="1" applyBorder="1" applyAlignment="1" applyProtection="1">
      <alignment vertical="top"/>
      <protection locked="0"/>
    </xf>
    <xf numFmtId="43" fontId="1" fillId="0" borderId="0" xfId="1" applyFont="1" applyAlignment="1" applyProtection="1">
      <alignment vertical="center"/>
      <protection locked="0"/>
    </xf>
    <xf numFmtId="0" fontId="4" fillId="0" borderId="3" xfId="0" applyFont="1" applyFill="1" applyBorder="1" applyAlignment="1" applyProtection="1">
      <alignment horizontal="center" vertical="top"/>
    </xf>
    <xf numFmtId="177" fontId="4" fillId="0" borderId="3" xfId="1" applyNumberFormat="1" applyFont="1" applyFill="1" applyBorder="1" applyAlignment="1" applyProtection="1">
      <alignment horizontal="center" vertical="top"/>
    </xf>
    <xf numFmtId="43" fontId="4" fillId="0" borderId="3" xfId="1" applyFont="1" applyFill="1" applyBorder="1" applyAlignment="1" applyProtection="1">
      <alignment horizontal="right" vertical="top"/>
      <protection locked="0"/>
    </xf>
    <xf numFmtId="43" fontId="4" fillId="0" borderId="3" xfId="1" applyFont="1" applyFill="1" applyBorder="1" applyAlignment="1" applyProtection="1">
      <alignment vertical="top"/>
      <protection locked="0"/>
    </xf>
    <xf numFmtId="177" fontId="4" fillId="0" borderId="3" xfId="1" applyNumberFormat="1" applyFont="1" applyBorder="1" applyAlignment="1" applyProtection="1">
      <alignment horizontal="center" vertical="top"/>
    </xf>
    <xf numFmtId="0" fontId="4" fillId="6" borderId="4" xfId="51" applyFont="1" applyFill="1" applyBorder="1" applyAlignment="1" applyProtection="1">
      <alignment horizontal="center" vertical="top"/>
    </xf>
    <xf numFmtId="0" fontId="4" fillId="6" borderId="4" xfId="51" applyFont="1" applyFill="1" applyBorder="1" applyAlignment="1" applyProtection="1">
      <alignment horizontal="left" vertical="top" wrapText="1" indent="1"/>
    </xf>
    <xf numFmtId="177" fontId="4" fillId="6" borderId="4" xfId="49" applyNumberFormat="1" applyFont="1" applyFill="1" applyBorder="1" applyAlignment="1" applyProtection="1">
      <alignment horizontal="center" vertical="top"/>
    </xf>
    <xf numFmtId="43" fontId="4" fillId="6" borderId="4" xfId="49" applyFont="1" applyFill="1" applyBorder="1" applyAlignment="1" applyProtection="1">
      <alignment horizontal="right" vertical="top"/>
      <protection locked="0"/>
    </xf>
    <xf numFmtId="43" fontId="4" fillId="6" borderId="4" xfId="49" applyFont="1" applyFill="1" applyBorder="1" applyAlignment="1" applyProtection="1">
      <alignment vertical="top"/>
      <protection locked="0"/>
    </xf>
    <xf numFmtId="0" fontId="4" fillId="0" borderId="5" xfId="51" applyFont="1" applyFill="1" applyBorder="1" applyAlignment="1" applyProtection="1">
      <alignment horizontal="center" vertical="top"/>
    </xf>
    <xf numFmtId="0" fontId="4" fillId="0" borderId="5" xfId="51" applyFont="1" applyFill="1" applyBorder="1" applyAlignment="1" applyProtection="1">
      <alignment horizontal="left" vertical="top" wrapText="1" indent="1"/>
    </xf>
    <xf numFmtId="177" fontId="4" fillId="0" borderId="5" xfId="49" applyNumberFormat="1" applyFont="1" applyFill="1" applyBorder="1" applyAlignment="1" applyProtection="1">
      <alignment horizontal="center" vertical="top"/>
    </xf>
    <xf numFmtId="43" fontId="4" fillId="0" borderId="0" xfId="49" applyFont="1" applyBorder="1" applyAlignment="1" applyProtection="1">
      <alignment horizontal="center" vertical="center"/>
      <protection locked="0"/>
    </xf>
    <xf numFmtId="0" fontId="4" fillId="0" borderId="4" xfId="51" applyFont="1" applyFill="1" applyBorder="1" applyAlignment="1" applyProtection="1">
      <alignment horizontal="center" vertical="top"/>
    </xf>
    <xf numFmtId="0" fontId="4" fillId="0" borderId="4" xfId="51" applyFont="1" applyFill="1" applyBorder="1" applyAlignment="1" applyProtection="1">
      <alignment horizontal="left" vertical="top" wrapText="1" indent="1"/>
    </xf>
    <xf numFmtId="177" fontId="4" fillId="0" borderId="4" xfId="49" applyNumberFormat="1" applyFont="1" applyFill="1" applyBorder="1" applyAlignment="1" applyProtection="1">
      <alignment horizontal="center" vertical="top"/>
    </xf>
    <xf numFmtId="177" fontId="4" fillId="0" borderId="4" xfId="1" applyNumberFormat="1" applyFont="1" applyFill="1" applyBorder="1" applyAlignment="1" applyProtection="1">
      <alignment vertical="top"/>
    </xf>
    <xf numFmtId="1" fontId="4" fillId="0" borderId="4" xfId="0" applyNumberFormat="1" applyFont="1" applyBorder="1" applyAlignment="1" applyProtection="1">
      <alignment horizontal="center" vertical="top"/>
    </xf>
    <xf numFmtId="43" fontId="4" fillId="0" borderId="4" xfId="1" applyFont="1" applyBorder="1" applyAlignment="1" applyProtection="1">
      <alignment vertical="top"/>
      <protection locked="0"/>
    </xf>
    <xf numFmtId="43" fontId="4" fillId="7" borderId="4" xfId="1" applyFont="1" applyFill="1" applyBorder="1" applyAlignment="1" applyProtection="1">
      <alignment horizontal="right" vertical="top"/>
      <protection locked="0"/>
    </xf>
    <xf numFmtId="43" fontId="4" fillId="7" borderId="5" xfId="1" applyFont="1" applyFill="1" applyBorder="1" applyAlignment="1" applyProtection="1">
      <alignment horizontal="right" vertical="top"/>
      <protection locked="0"/>
    </xf>
    <xf numFmtId="43" fontId="4" fillId="0" borderId="0" xfId="1" applyFont="1" applyAlignment="1" applyProtection="1">
      <alignment vertical="top"/>
      <protection locked="0"/>
    </xf>
    <xf numFmtId="43" fontId="4" fillId="0" borderId="0" xfId="0" applyNumberFormat="1" applyFont="1" applyAlignment="1" applyProtection="1">
      <alignment vertical="top"/>
      <protection locked="0"/>
    </xf>
    <xf numFmtId="43" fontId="4" fillId="0" borderId="0" xfId="0" applyNumberFormat="1" applyFont="1" applyProtection="1">
      <protection locked="0"/>
    </xf>
    <xf numFmtId="1" fontId="4" fillId="0" borderId="5" xfId="0" applyNumberFormat="1" applyFont="1" applyBorder="1" applyAlignment="1" applyProtection="1">
      <alignment horizontal="center" vertical="top"/>
    </xf>
    <xf numFmtId="177" fontId="4" fillId="0" borderId="5" xfId="1" applyNumberFormat="1" applyFont="1" applyBorder="1" applyAlignment="1" applyProtection="1">
      <alignment horizontal="center" vertical="top"/>
    </xf>
    <xf numFmtId="177" fontId="8" fillId="0" borderId="4" xfId="1" applyNumberFormat="1" applyFont="1" applyBorder="1" applyAlignment="1" applyProtection="1">
      <alignment horizontal="center" vertical="top"/>
    </xf>
    <xf numFmtId="1" fontId="4" fillId="5" borderId="4" xfId="0" applyNumberFormat="1" applyFont="1" applyFill="1" applyBorder="1" applyAlignment="1" applyProtection="1">
      <alignment horizontal="center" vertical="top"/>
    </xf>
    <xf numFmtId="177" fontId="4" fillId="5" borderId="4" xfId="49" applyNumberFormat="1" applyFont="1" applyFill="1" applyBorder="1" applyAlignment="1" applyProtection="1">
      <alignment horizontal="center" vertical="top"/>
    </xf>
    <xf numFmtId="43" fontId="4" fillId="7" borderId="4" xfId="49" applyFont="1" applyFill="1" applyBorder="1" applyAlignment="1" applyProtection="1">
      <alignment horizontal="right" vertical="top"/>
      <protection locked="0"/>
    </xf>
    <xf numFmtId="43" fontId="4" fillId="5" borderId="4" xfId="49" applyFont="1" applyFill="1" applyBorder="1" applyAlignment="1" applyProtection="1">
      <alignment vertical="top"/>
      <protection locked="0"/>
    </xf>
    <xf numFmtId="177" fontId="4" fillId="0" borderId="4" xfId="49" applyNumberFormat="1" applyFont="1" applyBorder="1" applyAlignment="1" applyProtection="1">
      <alignment horizontal="center" vertical="top"/>
    </xf>
    <xf numFmtId="43" fontId="4" fillId="5" borderId="4" xfId="49" applyFont="1" applyFill="1" applyBorder="1" applyAlignment="1" applyProtection="1">
      <alignment horizontal="right" vertical="top"/>
      <protection locked="0"/>
    </xf>
    <xf numFmtId="43" fontId="4" fillId="7" borderId="4" xfId="49" applyFont="1" applyFill="1" applyBorder="1" applyAlignment="1" applyProtection="1">
      <alignment vertical="top"/>
      <protection locked="0"/>
    </xf>
    <xf numFmtId="0" fontId="4" fillId="5" borderId="5" xfId="0" applyFont="1" applyFill="1" applyBorder="1" applyAlignment="1" applyProtection="1">
      <alignment vertical="top" wrapText="1"/>
    </xf>
    <xf numFmtId="43" fontId="4" fillId="0" borderId="5" xfId="1" applyNumberFormat="1" applyFont="1" applyBorder="1" applyAlignment="1" applyProtection="1">
      <alignment vertical="top"/>
      <protection locked="0"/>
    </xf>
    <xf numFmtId="43" fontId="4" fillId="0" borderId="4" xfId="1" applyNumberFormat="1" applyFont="1" applyBorder="1" applyAlignment="1" applyProtection="1">
      <alignment vertical="top"/>
      <protection locked="0"/>
    </xf>
    <xf numFmtId="43" fontId="3" fillId="0" borderId="4" xfId="1" applyFont="1" applyBorder="1" applyAlignment="1" applyProtection="1">
      <alignment horizontal="center" vertical="center"/>
      <protection locked="0"/>
    </xf>
    <xf numFmtId="43" fontId="3" fillId="0" borderId="6" xfId="1" applyFont="1" applyBorder="1" applyAlignment="1" applyProtection="1">
      <alignment vertical="center"/>
      <protection locked="0"/>
    </xf>
    <xf numFmtId="0" fontId="4" fillId="0" borderId="5" xfId="0" applyFont="1" applyBorder="1" applyAlignment="1" applyProtection="1">
      <alignment vertical="center" wrapText="1"/>
      <protection locked="0"/>
    </xf>
    <xf numFmtId="43" fontId="4" fillId="0" borderId="5" xfId="1" applyFont="1" applyFill="1" applyBorder="1" applyAlignment="1" applyProtection="1">
      <alignment horizontal="center"/>
      <protection locked="0"/>
    </xf>
    <xf numFmtId="43" fontId="4" fillId="0" borderId="5" xfId="1" applyFont="1" applyBorder="1" applyProtection="1">
      <protection locked="0"/>
    </xf>
    <xf numFmtId="0" fontId="4" fillId="0" borderId="0" xfId="0" applyFont="1" applyAlignment="1" applyProtection="1">
      <alignment vertical="center" wrapText="1"/>
      <protection locked="0"/>
    </xf>
    <xf numFmtId="43" fontId="4" fillId="0" borderId="0" xfId="1" applyFont="1" applyFill="1" applyAlignment="1" applyProtection="1">
      <alignment horizontal="center"/>
      <protection locked="0"/>
    </xf>
    <xf numFmtId="0" fontId="4" fillId="0" borderId="0" xfId="0" applyFont="1" applyAlignment="1" applyProtection="1">
      <protection locked="0"/>
    </xf>
    <xf numFmtId="43" fontId="4" fillId="0" borderId="0" xfId="1" applyFont="1" applyFill="1" applyAlignment="1" applyProtection="1">
      <protection locked="0"/>
    </xf>
    <xf numFmtId="43" fontId="4" fillId="0" borderId="0" xfId="1" applyFont="1" applyAlignment="1" applyProtection="1">
      <protection locked="0"/>
    </xf>
    <xf numFmtId="43" fontId="3" fillId="0" borderId="2" xfId="1" applyFont="1" applyBorder="1" applyAlignment="1" applyProtection="1">
      <alignment horizontal="center" vertical="center" wrapText="1"/>
      <protection locked="0"/>
    </xf>
    <xf numFmtId="0" fontId="3" fillId="0" borderId="4" xfId="0" applyFont="1" applyBorder="1" applyAlignment="1" applyProtection="1">
      <alignment horizontal="center"/>
      <protection locked="0"/>
    </xf>
    <xf numFmtId="0" fontId="3" fillId="0" borderId="4" xfId="0" applyFont="1" applyBorder="1" applyAlignment="1" applyProtection="1">
      <alignment horizontal="center" vertical="center" wrapText="1"/>
      <protection locked="0"/>
    </xf>
    <xf numFmtId="43" fontId="3" fillId="0" borderId="4" xfId="1" applyFont="1" applyBorder="1" applyAlignment="1" applyProtection="1">
      <alignment horizontal="center"/>
      <protection locked="0"/>
    </xf>
    <xf numFmtId="178" fontId="4" fillId="0" borderId="5" xfId="56" applyNumberFormat="1" applyFont="1" applyFill="1" applyBorder="1" applyAlignment="1" applyProtection="1">
      <alignment horizontal="left" vertical="top" wrapText="1"/>
    </xf>
    <xf numFmtId="43" fontId="4" fillId="0" borderId="5" xfId="1" applyFont="1" applyBorder="1" applyAlignment="1" applyProtection="1">
      <alignment vertical="top"/>
      <protection locked="0"/>
    </xf>
    <xf numFmtId="178" fontId="4" fillId="0" borderId="4" xfId="56" applyNumberFormat="1" applyFont="1" applyFill="1" applyBorder="1" applyAlignment="1" applyProtection="1">
      <alignment horizontal="left" vertical="top" wrapText="1"/>
    </xf>
    <xf numFmtId="16" fontId="4" fillId="0" borderId="4" xfId="0" applyNumberFormat="1" applyFont="1" applyBorder="1" applyAlignment="1" applyProtection="1">
      <alignment horizontal="center" vertical="top"/>
    </xf>
    <xf numFmtId="16" fontId="4" fillId="0" borderId="5" xfId="0" applyNumberFormat="1" applyFont="1" applyBorder="1" applyAlignment="1" applyProtection="1">
      <alignment horizontal="center" vertical="top"/>
    </xf>
    <xf numFmtId="43" fontId="4" fillId="0" borderId="4" xfId="1" applyFont="1" applyFill="1" applyBorder="1" applyAlignment="1" applyProtection="1">
      <alignment horizontal="center" vertical="center"/>
    </xf>
    <xf numFmtId="0" fontId="4" fillId="0" borderId="5" xfId="0" applyFont="1" applyBorder="1" applyAlignment="1" applyProtection="1">
      <alignment vertical="center" wrapText="1"/>
    </xf>
    <xf numFmtId="0" fontId="4" fillId="0" borderId="5" xfId="0" applyFont="1" applyBorder="1" applyAlignment="1" applyProtection="1">
      <alignment horizontal="center"/>
    </xf>
    <xf numFmtId="43" fontId="4" fillId="0" borderId="5" xfId="1" applyFont="1" applyBorder="1" applyAlignment="1" applyProtection="1">
      <protection locked="0"/>
    </xf>
    <xf numFmtId="0" fontId="1" fillId="0" borderId="0" xfId="0" applyFont="1" applyFill="1" applyAlignment="1" applyProtection="1">
      <alignment vertical="center"/>
      <protection locked="0"/>
    </xf>
    <xf numFmtId="0" fontId="4" fillId="0" borderId="0" xfId="0" applyFont="1" applyFill="1" applyAlignment="1" applyProtection="1">
      <alignment vertical="center"/>
      <protection locked="0"/>
    </xf>
    <xf numFmtId="0" fontId="4" fillId="0" borderId="0" xfId="0" applyFont="1" applyFill="1" applyProtection="1">
      <protection locked="0"/>
    </xf>
    <xf numFmtId="0" fontId="3" fillId="0" borderId="4" xfId="0" applyFont="1" applyFill="1" applyBorder="1" applyAlignment="1" applyProtection="1">
      <alignment horizontal="center" wrapText="1"/>
      <protection locked="0"/>
    </xf>
    <xf numFmtId="0" fontId="3" fillId="0" borderId="3" xfId="0" applyFont="1" applyFill="1" applyBorder="1" applyAlignment="1" applyProtection="1">
      <alignment horizontal="center"/>
      <protection locked="0"/>
    </xf>
    <xf numFmtId="43" fontId="3" fillId="0" borderId="3" xfId="1" applyFont="1" applyFill="1" applyBorder="1" applyAlignment="1" applyProtection="1">
      <alignment horizontal="center"/>
      <protection locked="0"/>
    </xf>
    <xf numFmtId="0" fontId="3" fillId="0" borderId="4" xfId="0" applyFont="1" applyFill="1" applyBorder="1" applyAlignment="1" applyProtection="1">
      <alignment wrapText="1"/>
    </xf>
    <xf numFmtId="43" fontId="4" fillId="0" borderId="4" xfId="1" applyFont="1" applyFill="1" applyBorder="1" applyProtection="1">
      <protection locked="0"/>
    </xf>
    <xf numFmtId="0" fontId="4" fillId="0" borderId="4" xfId="0" applyFont="1" applyFill="1" applyBorder="1" applyAlignment="1" applyProtection="1">
      <alignment wrapText="1"/>
    </xf>
    <xf numFmtId="43" fontId="4" fillId="0" borderId="4" xfId="1" applyFont="1" applyFill="1" applyBorder="1" applyAlignment="1" applyProtection="1">
      <alignment wrapText="1"/>
    </xf>
    <xf numFmtId="43" fontId="9" fillId="0" borderId="0" xfId="1" applyFont="1" applyAlignment="1">
      <alignment vertical="top"/>
    </xf>
    <xf numFmtId="43" fontId="9" fillId="0" borderId="0" xfId="1" applyFont="1" applyBorder="1" applyAlignment="1">
      <alignment vertical="top"/>
    </xf>
    <xf numFmtId="0" fontId="4" fillId="0" borderId="4" xfId="0" applyFont="1" applyFill="1" applyBorder="1" applyAlignment="1" applyProtection="1">
      <alignment horizontal="justify" vertical="top" wrapText="1"/>
      <protection locked="0"/>
    </xf>
    <xf numFmtId="43" fontId="4" fillId="0" borderId="4" xfId="1" applyFont="1" applyFill="1" applyBorder="1" applyAlignment="1" applyProtection="1">
      <alignment horizontal="center" vertical="top"/>
      <protection locked="0"/>
    </xf>
    <xf numFmtId="0" fontId="4" fillId="0" borderId="4" xfId="0" applyFont="1" applyFill="1" applyBorder="1" applyAlignment="1" applyProtection="1">
      <alignment horizontal="center" vertical="center"/>
      <protection locked="0"/>
    </xf>
    <xf numFmtId="0" fontId="3" fillId="0" borderId="4" xfId="0" applyFont="1" applyFill="1" applyBorder="1" applyAlignment="1" applyProtection="1">
      <alignment horizontal="justify" vertical="center" wrapText="1"/>
      <protection locked="0"/>
    </xf>
    <xf numFmtId="43" fontId="4" fillId="0" borderId="4" xfId="1" applyFont="1" applyFill="1" applyBorder="1" applyAlignment="1" applyProtection="1">
      <alignment horizontal="center" vertical="center"/>
      <protection locked="0"/>
    </xf>
    <xf numFmtId="43" fontId="3" fillId="0" borderId="4" xfId="1" applyFont="1" applyFill="1" applyBorder="1" applyAlignment="1" applyProtection="1">
      <alignment horizontal="center" vertical="center"/>
      <protection locked="0"/>
    </xf>
    <xf numFmtId="43" fontId="14" fillId="0" borderId="6" xfId="1" applyFont="1" applyBorder="1" applyAlignment="1">
      <alignment vertical="center"/>
    </xf>
    <xf numFmtId="0" fontId="4" fillId="0" borderId="5" xfId="0" applyFont="1" applyFill="1" applyBorder="1" applyProtection="1">
      <protection locked="0"/>
    </xf>
    <xf numFmtId="0" fontId="4" fillId="0" borderId="5" xfId="0" applyFont="1" applyFill="1" applyBorder="1" applyAlignment="1" applyProtection="1">
      <alignment horizontal="center"/>
      <protection locked="0"/>
    </xf>
    <xf numFmtId="43" fontId="4" fillId="0" borderId="5" xfId="1" applyFont="1" applyFill="1" applyBorder="1" applyProtection="1">
      <protection locked="0"/>
    </xf>
    <xf numFmtId="43" fontId="4" fillId="0" borderId="12" xfId="1" applyFont="1" applyFill="1" applyBorder="1" applyProtection="1">
      <protection locked="0"/>
    </xf>
    <xf numFmtId="0" fontId="4" fillId="0" borderId="0" xfId="0" applyFont="1" applyFill="1" applyBorder="1" applyAlignment="1" applyProtection="1">
      <alignment horizontal="center" vertical="top"/>
      <protection locked="0"/>
    </xf>
    <xf numFmtId="0" fontId="4" fillId="0" borderId="0" xfId="0" applyFont="1" applyFill="1" applyBorder="1" applyAlignment="1" applyProtection="1">
      <alignment wrapText="1"/>
      <protection locked="0"/>
    </xf>
    <xf numFmtId="0" fontId="4" fillId="0" borderId="0" xfId="0" applyFont="1" applyFill="1" applyBorder="1" applyAlignment="1" applyProtection="1">
      <alignment horizontal="center"/>
      <protection locked="0"/>
    </xf>
    <xf numFmtId="43" fontId="4" fillId="0" borderId="0" xfId="1" applyFont="1" applyFill="1" applyBorder="1" applyAlignment="1" applyProtection="1">
      <alignment horizontal="center"/>
      <protection locked="0"/>
    </xf>
    <xf numFmtId="43" fontId="4" fillId="0" borderId="0" xfId="1" applyFont="1" applyFill="1" applyBorder="1" applyProtection="1">
      <protection locked="0"/>
    </xf>
    <xf numFmtId="0" fontId="4" fillId="0" borderId="0" xfId="0" applyFont="1" applyFill="1" applyAlignment="1" applyProtection="1">
      <alignment horizontal="center" vertical="top"/>
      <protection locked="0"/>
    </xf>
    <xf numFmtId="0" fontId="4" fillId="0" borderId="0" xfId="0" applyFont="1" applyFill="1" applyAlignment="1" applyProtection="1">
      <alignment wrapText="1"/>
      <protection locked="0"/>
    </xf>
    <xf numFmtId="0" fontId="4" fillId="0" borderId="0" xfId="0" applyFont="1" applyFill="1" applyAlignment="1" applyProtection="1">
      <alignment horizontal="center"/>
      <protection locked="0"/>
    </xf>
    <xf numFmtId="9" fontId="4" fillId="0" borderId="0" xfId="3" applyFont="1" applyFill="1" applyProtection="1">
      <protection locked="0"/>
    </xf>
    <xf numFmtId="0" fontId="4" fillId="0" borderId="0" xfId="0" applyFont="1" applyBorder="1" applyProtection="1">
      <protection locked="0"/>
    </xf>
    <xf numFmtId="0" fontId="4" fillId="0" borderId="0" xfId="0" applyFont="1" applyFill="1" applyAlignment="1" applyProtection="1">
      <protection locked="0"/>
    </xf>
    <xf numFmtId="179" fontId="4" fillId="0" borderId="0" xfId="1" applyNumberFormat="1" applyFont="1" applyFill="1" applyAlignment="1" applyProtection="1">
      <protection locked="0"/>
    </xf>
    <xf numFmtId="43" fontId="8" fillId="0" borderId="0" xfId="1" applyFont="1" applyProtection="1">
      <protection locked="0"/>
    </xf>
    <xf numFmtId="0" fontId="3" fillId="0" borderId="2" xfId="0" applyFont="1" applyFill="1" applyBorder="1" applyAlignment="1" applyProtection="1">
      <alignment horizontal="center" vertical="center" wrapText="1"/>
    </xf>
    <xf numFmtId="179" fontId="3" fillId="0" borderId="2" xfId="1" applyNumberFormat="1" applyFont="1" applyFill="1" applyBorder="1" applyAlignment="1" applyProtection="1">
      <alignment horizontal="center" vertical="center" wrapText="1"/>
    </xf>
    <xf numFmtId="0" fontId="3" fillId="0" borderId="3" xfId="0" applyFont="1" applyFill="1" applyBorder="1" applyAlignment="1" applyProtection="1">
      <alignment horizontal="center"/>
    </xf>
    <xf numFmtId="0" fontId="3" fillId="0" borderId="3" xfId="0" applyFont="1" applyFill="1" applyBorder="1" applyAlignment="1" applyProtection="1">
      <alignment horizontal="center" vertical="center" wrapText="1"/>
    </xf>
    <xf numFmtId="179" fontId="3" fillId="0" borderId="3" xfId="1" applyNumberFormat="1" applyFont="1" applyFill="1" applyBorder="1" applyAlignment="1" applyProtection="1">
      <alignment horizontal="center"/>
    </xf>
    <xf numFmtId="0" fontId="3" fillId="0" borderId="4" xfId="0" applyFont="1" applyFill="1" applyBorder="1" applyAlignment="1" applyProtection="1">
      <alignment vertical="center" wrapText="1"/>
    </xf>
    <xf numFmtId="179" fontId="4" fillId="0" borderId="4" xfId="1" applyNumberFormat="1" applyFont="1" applyFill="1" applyBorder="1" applyAlignment="1" applyProtection="1">
      <alignment horizontal="center"/>
    </xf>
    <xf numFmtId="0" fontId="5" fillId="0" borderId="4" xfId="0" applyFont="1" applyFill="1" applyBorder="1" applyAlignment="1" applyProtection="1">
      <alignment vertical="top"/>
    </xf>
    <xf numFmtId="179" fontId="4" fillId="0" borderId="4" xfId="1" applyNumberFormat="1" applyFont="1" applyFill="1" applyBorder="1" applyAlignment="1" applyProtection="1">
      <alignment horizontal="center" vertical="top"/>
    </xf>
    <xf numFmtId="43" fontId="9" fillId="0" borderId="0" xfId="1" applyFont="1"/>
    <xf numFmtId="0" fontId="4" fillId="8" borderId="4" xfId="0" applyFont="1" applyFill="1" applyBorder="1" applyAlignment="1" applyProtection="1">
      <alignment horizontal="center" vertical="top"/>
    </xf>
    <xf numFmtId="179" fontId="4" fillId="0" borderId="5" xfId="1" applyNumberFormat="1" applyFont="1" applyFill="1" applyBorder="1" applyAlignment="1" applyProtection="1">
      <alignment horizontal="center" vertical="top"/>
    </xf>
    <xf numFmtId="43" fontId="18" fillId="0" borderId="0" xfId="1" applyFont="1" applyAlignment="1" applyProtection="1">
      <alignment vertical="center"/>
      <protection locked="0"/>
    </xf>
    <xf numFmtId="10" fontId="4" fillId="0" borderId="0" xfId="0" applyNumberFormat="1" applyFont="1" applyProtection="1">
      <protection locked="0"/>
    </xf>
    <xf numFmtId="43" fontId="8" fillId="0" borderId="0" xfId="1" applyFont="1" applyAlignment="1" applyProtection="1">
      <alignment vertical="top"/>
      <protection locked="0"/>
    </xf>
    <xf numFmtId="0" fontId="5" fillId="0" borderId="4" xfId="0" applyFont="1" applyFill="1" applyBorder="1" applyAlignment="1" applyProtection="1">
      <alignment vertical="top" wrapText="1"/>
    </xf>
    <xf numFmtId="0" fontId="4" fillId="5" borderId="4" xfId="0" applyFont="1" applyFill="1" applyBorder="1" applyAlignment="1" applyProtection="1">
      <alignment horizontal="center" vertical="top"/>
    </xf>
    <xf numFmtId="0" fontId="4" fillId="5" borderId="5" xfId="0" applyFont="1" applyFill="1" applyBorder="1" applyAlignment="1" applyProtection="1">
      <alignment horizontal="center" vertical="top"/>
    </xf>
    <xf numFmtId="0" fontId="4" fillId="5" borderId="4" xfId="0" applyFont="1" applyFill="1" applyBorder="1" applyAlignment="1" applyProtection="1">
      <alignment horizontal="center" vertical="center"/>
    </xf>
    <xf numFmtId="179" fontId="4" fillId="0" borderId="4" xfId="1" applyNumberFormat="1" applyFont="1" applyFill="1" applyBorder="1" applyAlignment="1" applyProtection="1">
      <alignment horizontal="center" vertical="center"/>
    </xf>
    <xf numFmtId="43" fontId="4" fillId="0" borderId="4" xfId="1" applyFont="1" applyFill="1" applyBorder="1" applyAlignment="1" applyProtection="1">
      <alignment horizontal="right" vertical="center"/>
      <protection locked="0"/>
    </xf>
    <xf numFmtId="43" fontId="4" fillId="0" borderId="4" xfId="1" applyFont="1" applyFill="1" applyBorder="1" applyAlignment="1" applyProtection="1">
      <alignment vertical="center"/>
      <protection locked="0"/>
    </xf>
    <xf numFmtId="43" fontId="8" fillId="0" borderId="0" xfId="1" applyFont="1" applyAlignment="1" applyProtection="1">
      <alignment vertical="center"/>
      <protection locked="0"/>
    </xf>
    <xf numFmtId="0" fontId="4" fillId="0" borderId="1" xfId="0" applyFont="1" applyBorder="1" applyAlignment="1" applyProtection="1">
      <alignment vertical="top"/>
      <protection locked="0"/>
    </xf>
    <xf numFmtId="0" fontId="9" fillId="0" borderId="7" xfId="0" applyFont="1" applyBorder="1" applyAlignment="1" applyProtection="1">
      <alignment vertical="top"/>
      <protection locked="0"/>
    </xf>
    <xf numFmtId="43" fontId="9" fillId="0" borderId="0" xfId="1" applyFont="1" applyBorder="1"/>
    <xf numFmtId="0" fontId="3" fillId="0" borderId="4" xfId="0" applyFont="1" applyFill="1" applyBorder="1" applyAlignment="1" applyProtection="1">
      <alignment horizontal="justify" wrapText="1"/>
    </xf>
    <xf numFmtId="43" fontId="9" fillId="5" borderId="0" xfId="1" applyFont="1" applyFill="1"/>
    <xf numFmtId="43" fontId="4" fillId="5" borderId="4" xfId="1" applyFont="1" applyFill="1" applyBorder="1" applyAlignment="1" applyProtection="1">
      <alignment vertical="top"/>
      <protection locked="0"/>
    </xf>
    <xf numFmtId="43" fontId="4" fillId="5" borderId="4" xfId="1" applyFont="1" applyFill="1" applyBorder="1" applyAlignment="1" applyProtection="1">
      <alignment horizontal="right" vertical="top"/>
      <protection locked="0"/>
    </xf>
    <xf numFmtId="0" fontId="5" fillId="0" borderId="4" xfId="0" applyFont="1" applyFill="1" applyBorder="1" applyAlignment="1" applyProtection="1">
      <alignment vertical="center" wrapText="1"/>
    </xf>
    <xf numFmtId="43" fontId="3" fillId="0" borderId="0" xfId="1" applyFont="1" applyAlignment="1" applyProtection="1">
      <alignment vertical="top"/>
      <protection locked="0"/>
    </xf>
    <xf numFmtId="43" fontId="4" fillId="9" borderId="4" xfId="1" applyFont="1" applyFill="1" applyBorder="1" applyAlignment="1" applyProtection="1">
      <alignment horizontal="right" vertical="top"/>
      <protection locked="0"/>
    </xf>
    <xf numFmtId="0" fontId="4" fillId="0" borderId="0" xfId="0" applyFont="1" applyBorder="1" applyAlignment="1" applyProtection="1">
      <alignment vertical="top"/>
      <protection locked="0"/>
    </xf>
    <xf numFmtId="0" fontId="3" fillId="0" borderId="4" xfId="0" applyFont="1" applyFill="1" applyBorder="1" applyAlignment="1" applyProtection="1">
      <alignment vertical="top"/>
    </xf>
    <xf numFmtId="0" fontId="6" fillId="0" borderId="4" xfId="0" applyFont="1" applyFill="1" applyBorder="1" applyAlignment="1" applyProtection="1">
      <alignment horizontal="left" vertical="top" wrapText="1"/>
    </xf>
    <xf numFmtId="0" fontId="8" fillId="0" borderId="4" xfId="0" applyFont="1" applyFill="1" applyBorder="1" applyAlignment="1" applyProtection="1">
      <alignment horizontal="center" vertical="top"/>
    </xf>
    <xf numFmtId="0" fontId="8" fillId="0" borderId="4" xfId="0" applyFont="1" applyFill="1" applyBorder="1" applyAlignment="1" applyProtection="1">
      <alignment horizontal="justify" vertical="top" wrapText="1"/>
    </xf>
    <xf numFmtId="179" fontId="8" fillId="0" borderId="4" xfId="1" applyNumberFormat="1" applyFont="1" applyFill="1" applyBorder="1" applyAlignment="1" applyProtection="1">
      <alignment horizontal="center" vertical="top"/>
    </xf>
    <xf numFmtId="43" fontId="9" fillId="7" borderId="0" xfId="1" applyFont="1" applyFill="1" applyAlignment="1">
      <alignment vertical="top"/>
    </xf>
    <xf numFmtId="43" fontId="8" fillId="0" borderId="4" xfId="1" applyFont="1" applyFill="1" applyBorder="1" applyAlignment="1" applyProtection="1">
      <alignment vertical="top"/>
      <protection locked="0"/>
    </xf>
    <xf numFmtId="0" fontId="4" fillId="0" borderId="4" xfId="0" applyFont="1" applyFill="1" applyBorder="1" applyAlignment="1" applyProtection="1"/>
    <xf numFmtId="179" fontId="4" fillId="0" borderId="4" xfId="1" applyNumberFormat="1" applyFont="1" applyFill="1" applyBorder="1" applyAlignment="1" applyProtection="1"/>
    <xf numFmtId="0" fontId="4" fillId="0" borderId="4" xfId="0" applyFont="1" applyFill="1" applyBorder="1" applyProtection="1"/>
    <xf numFmtId="179" fontId="4" fillId="0" borderId="4" xfId="1" applyNumberFormat="1" applyFont="1" applyFill="1" applyBorder="1" applyAlignment="1" applyProtection="1">
      <alignment vertical="center"/>
    </xf>
    <xf numFmtId="0" fontId="4" fillId="0" borderId="5" xfId="0" applyFont="1" applyFill="1" applyBorder="1" applyProtection="1"/>
    <xf numFmtId="0" fontId="4" fillId="0" borderId="5" xfId="0" applyFont="1" applyFill="1" applyBorder="1" applyAlignment="1" applyProtection="1">
      <alignment vertical="center"/>
    </xf>
    <xf numFmtId="0" fontId="4" fillId="0" borderId="5" xfId="0" applyFont="1" applyFill="1" applyBorder="1" applyAlignment="1" applyProtection="1"/>
    <xf numFmtId="179" fontId="4" fillId="0" borderId="5" xfId="1" applyNumberFormat="1" applyFont="1" applyFill="1" applyBorder="1" applyAlignment="1" applyProtection="1"/>
    <xf numFmtId="0" fontId="4" fillId="0" borderId="9" xfId="0" applyFont="1" applyFill="1" applyBorder="1" applyProtection="1"/>
    <xf numFmtId="0" fontId="4" fillId="0" borderId="0" xfId="0" applyFont="1" applyFill="1" applyAlignment="1" applyProtection="1">
      <alignment vertical="center"/>
    </xf>
    <xf numFmtId="0" fontId="4" fillId="0" borderId="0" xfId="0" applyFont="1" applyFill="1" applyAlignment="1" applyProtection="1"/>
    <xf numFmtId="179" fontId="4" fillId="0" borderId="0" xfId="1" applyNumberFormat="1" applyFont="1" applyFill="1" applyAlignment="1" applyProtection="1"/>
    <xf numFmtId="0" fontId="4" fillId="0" borderId="9" xfId="0" applyFont="1" applyFill="1" applyBorder="1" applyProtection="1">
      <protection locked="0"/>
    </xf>
    <xf numFmtId="43" fontId="8" fillId="0" borderId="0" xfId="1" applyFont="1" applyBorder="1" applyProtection="1">
      <protection locked="0"/>
    </xf>
    <xf numFmtId="0" fontId="2" fillId="0" borderId="1" xfId="0" applyFont="1" applyBorder="1" applyAlignment="1" applyProtection="1">
      <alignment vertical="center"/>
      <protection locked="0"/>
    </xf>
    <xf numFmtId="0" fontId="3" fillId="0" borderId="2" xfId="0" applyFont="1" applyBorder="1" applyAlignment="1" applyProtection="1">
      <alignment horizontal="center" vertical="center" wrapText="1"/>
    </xf>
    <xf numFmtId="43" fontId="3" fillId="0" borderId="2" xfId="1" applyFont="1" applyBorder="1" applyAlignment="1" applyProtection="1">
      <alignment horizontal="center" vertical="center" wrapText="1"/>
    </xf>
    <xf numFmtId="43" fontId="3" fillId="0" borderId="4" xfId="1" applyFont="1" applyBorder="1" applyAlignment="1" applyProtection="1">
      <alignment horizontal="center"/>
    </xf>
    <xf numFmtId="0" fontId="3" fillId="0" borderId="4" xfId="0" applyFont="1" applyFill="1" applyBorder="1" applyAlignment="1" applyProtection="1">
      <alignment horizontal="center" vertical="center"/>
    </xf>
    <xf numFmtId="43" fontId="9" fillId="0" borderId="4" xfId="1" applyFont="1" applyFill="1" applyBorder="1" applyAlignment="1" applyProtection="1">
      <alignment horizontal="center" vertical="top"/>
    </xf>
    <xf numFmtId="0" fontId="3" fillId="0" borderId="7" xfId="0" applyFont="1" applyBorder="1" applyAlignment="1" applyProtection="1">
      <alignment horizontal="center"/>
    </xf>
    <xf numFmtId="0" fontId="9" fillId="0" borderId="4" xfId="0" applyFont="1" applyBorder="1" applyAlignment="1" applyProtection="1">
      <alignment horizontal="justify" vertical="top"/>
    </xf>
    <xf numFmtId="0" fontId="6" fillId="0" borderId="4" xfId="0" applyFont="1" applyFill="1" applyBorder="1" applyAlignment="1" applyProtection="1">
      <alignment horizontal="justify" vertical="top" wrapText="1"/>
    </xf>
    <xf numFmtId="43" fontId="4" fillId="0" borderId="0" xfId="0" applyNumberFormat="1" applyFont="1" applyFill="1" applyProtection="1">
      <protection locked="0"/>
    </xf>
    <xf numFmtId="43" fontId="4" fillId="0" borderId="5" xfId="1" applyFont="1" applyFill="1" applyBorder="1" applyAlignment="1" applyProtection="1">
      <alignment horizontal="right"/>
      <protection locked="0"/>
    </xf>
    <xf numFmtId="0" fontId="1" fillId="0" borderId="0" xfId="0" applyFont="1" applyBorder="1"/>
    <xf numFmtId="0" fontId="1" fillId="0" borderId="0" xfId="0" applyFont="1"/>
    <xf numFmtId="43" fontId="1" fillId="0" borderId="0" xfId="49" applyFont="1"/>
    <xf numFmtId="0" fontId="2" fillId="0" borderId="0" xfId="0" applyFont="1" applyBorder="1" applyAlignment="1">
      <alignment horizontal="center" vertical="center" wrapText="1"/>
    </xf>
    <xf numFmtId="0" fontId="2" fillId="0" borderId="0" xfId="0" applyFont="1" applyBorder="1" applyAlignment="1">
      <alignment horizontal="center" vertical="center"/>
    </xf>
    <xf numFmtId="0" fontId="2" fillId="0" borderId="1" xfId="0" applyFont="1" applyBorder="1" applyAlignment="1">
      <alignment horizontal="center" vertical="top" wrapText="1"/>
    </xf>
    <xf numFmtId="0" fontId="2" fillId="0" borderId="2" xfId="0" applyFont="1" applyBorder="1" applyAlignment="1">
      <alignment horizontal="center" vertical="center"/>
    </xf>
    <xf numFmtId="4" fontId="2" fillId="0" borderId="2" xfId="0" applyNumberFormat="1" applyFont="1" applyBorder="1" applyAlignment="1">
      <alignment horizontal="center" vertical="center" wrapText="1"/>
    </xf>
    <xf numFmtId="0" fontId="1" fillId="0" borderId="4" xfId="0" applyFont="1" applyBorder="1" applyAlignment="1">
      <alignment horizontal="center" vertical="top"/>
    </xf>
    <xf numFmtId="0" fontId="1" fillId="0" borderId="4" xfId="0" applyFont="1" applyBorder="1" applyAlignment="1">
      <alignment wrapText="1"/>
    </xf>
    <xf numFmtId="4" fontId="2" fillId="0" borderId="4" xfId="0" applyNumberFormat="1" applyFont="1" applyBorder="1" applyAlignment="1">
      <alignment horizontal="center" vertical="top" wrapText="1"/>
    </xf>
    <xf numFmtId="0" fontId="1" fillId="0" borderId="4" xfId="0" applyFont="1" applyBorder="1" applyAlignment="1">
      <alignment horizontal="center" vertical="center"/>
    </xf>
    <xf numFmtId="0" fontId="1" fillId="0" borderId="4" xfId="0" applyFont="1" applyBorder="1" applyAlignment="1">
      <alignment vertical="center" wrapText="1"/>
    </xf>
    <xf numFmtId="43" fontId="0" fillId="0" borderId="4" xfId="1" applyFont="1" applyBorder="1"/>
    <xf numFmtId="43" fontId="1" fillId="0" borderId="4" xfId="1" applyFont="1" applyFill="1" applyBorder="1" applyAlignment="1">
      <alignment vertical="center"/>
    </xf>
    <xf numFmtId="43" fontId="1" fillId="0" borderId="4" xfId="49" applyFont="1" applyFill="1" applyBorder="1" applyAlignment="1">
      <alignment vertical="center"/>
    </xf>
    <xf numFmtId="43" fontId="19" fillId="0" borderId="4" xfId="49" applyFont="1" applyFill="1" applyBorder="1" applyAlignment="1">
      <alignment vertical="center"/>
    </xf>
    <xf numFmtId="43" fontId="1" fillId="0" borderId="4" xfId="49" applyFont="1" applyBorder="1" applyAlignment="1">
      <alignment vertical="center"/>
    </xf>
    <xf numFmtId="0" fontId="1" fillId="0" borderId="4" xfId="0" applyFont="1" applyBorder="1" applyAlignment="1">
      <alignment horizontal="justify" vertical="center" wrapText="1"/>
    </xf>
    <xf numFmtId="0" fontId="2" fillId="0" borderId="4" xfId="0" applyFont="1" applyBorder="1" applyAlignment="1">
      <alignment vertical="center" wrapText="1"/>
    </xf>
    <xf numFmtId="43" fontId="20" fillId="0" borderId="6" xfId="1" applyFont="1" applyBorder="1" applyAlignment="1">
      <alignment vertical="center"/>
    </xf>
    <xf numFmtId="0" fontId="1" fillId="0" borderId="5" xfId="0" applyFont="1" applyBorder="1" applyAlignment="1">
      <alignment horizontal="center" vertical="top"/>
    </xf>
    <xf numFmtId="0" fontId="2" fillId="0" borderId="5" xfId="0" applyFont="1" applyBorder="1" applyAlignment="1">
      <alignment wrapText="1"/>
    </xf>
    <xf numFmtId="43" fontId="1" fillId="0" borderId="5" xfId="49" applyFont="1" applyBorder="1"/>
    <xf numFmtId="43" fontId="1" fillId="0" borderId="0" xfId="49" applyFont="1" applyFill="1" applyAlignment="1"/>
    <xf numFmtId="0" fontId="0" fillId="0" borderId="0" xfId="0" applyFont="1" applyAlignment="1">
      <alignment vertical="top"/>
    </xf>
    <xf numFmtId="0" fontId="9" fillId="0" borderId="0" xfId="0" applyFont="1" applyAlignment="1">
      <alignment horizontal="center" vertical="top"/>
    </xf>
    <xf numFmtId="0" fontId="9" fillId="10" borderId="0" xfId="0" applyFont="1" applyFill="1" applyAlignment="1">
      <alignment vertical="top"/>
    </xf>
    <xf numFmtId="0" fontId="9" fillId="0" borderId="0" xfId="0" applyFont="1" applyBorder="1" applyAlignment="1">
      <alignment vertical="top"/>
    </xf>
    <xf numFmtId="0" fontId="9" fillId="0" borderId="0" xfId="0" applyFont="1" applyAlignment="1">
      <alignment vertical="center"/>
    </xf>
    <xf numFmtId="0" fontId="9" fillId="0" borderId="0" xfId="0" applyFont="1" applyAlignment="1">
      <alignment vertical="top"/>
    </xf>
    <xf numFmtId="0" fontId="9" fillId="0" borderId="0" xfId="0" applyFont="1" applyAlignment="1">
      <alignment horizontal="justify" vertical="top"/>
    </xf>
    <xf numFmtId="0" fontId="20" fillId="0" borderId="0" xfId="0" applyFont="1" applyAlignment="1">
      <alignment horizontal="center" vertical="top"/>
    </xf>
    <xf numFmtId="0" fontId="20" fillId="0" borderId="0" xfId="0" applyFont="1" applyAlignment="1">
      <alignment vertical="top"/>
    </xf>
    <xf numFmtId="0" fontId="0" fillId="0" borderId="0" xfId="0" applyFont="1" applyAlignment="1">
      <alignment horizontal="center" vertical="top"/>
    </xf>
    <xf numFmtId="0" fontId="0" fillId="0" borderId="0" xfId="0" applyFont="1" applyAlignment="1">
      <alignment horizontal="justify" vertical="top"/>
    </xf>
    <xf numFmtId="43" fontId="0" fillId="0" borderId="0" xfId="1" applyFont="1" applyAlignment="1">
      <alignment vertical="top"/>
    </xf>
    <xf numFmtId="0" fontId="14" fillId="0" borderId="2" xfId="0" applyFont="1" applyBorder="1" applyAlignment="1">
      <alignment horizontal="center" vertical="center" wrapText="1"/>
    </xf>
    <xf numFmtId="43" fontId="14" fillId="0" borderId="2" xfId="1" applyFont="1" applyBorder="1" applyAlignment="1">
      <alignment horizontal="center" vertical="center" wrapText="1"/>
    </xf>
    <xf numFmtId="0" fontId="9" fillId="0" borderId="4" xfId="0" applyFont="1" applyBorder="1" applyAlignment="1">
      <alignment horizontal="center" vertical="top"/>
    </xf>
    <xf numFmtId="0" fontId="9" fillId="0" borderId="4" xfId="0" applyFont="1" applyBorder="1" applyAlignment="1">
      <alignment horizontal="justify" vertical="top"/>
    </xf>
    <xf numFmtId="43" fontId="9" fillId="0" borderId="4" xfId="1" applyFont="1" applyBorder="1" applyAlignment="1">
      <alignment vertical="top"/>
    </xf>
    <xf numFmtId="0" fontId="14" fillId="0" borderId="4" xfId="0" applyFont="1" applyBorder="1" applyAlignment="1">
      <alignment horizontal="center" vertical="top"/>
    </xf>
    <xf numFmtId="0" fontId="14" fillId="0" borderId="4" xfId="0" applyFont="1" applyBorder="1" applyAlignment="1">
      <alignment horizontal="justify" vertical="top"/>
    </xf>
    <xf numFmtId="0" fontId="21" fillId="0" borderId="4" xfId="0" applyFont="1" applyBorder="1" applyAlignment="1">
      <alignment horizontal="justify" vertical="top"/>
    </xf>
    <xf numFmtId="0" fontId="21" fillId="0" borderId="4" xfId="0" applyFont="1" applyBorder="1" applyAlignment="1">
      <alignment horizontal="center" vertical="top"/>
    </xf>
    <xf numFmtId="43" fontId="4" fillId="0" borderId="4" xfId="1" applyFont="1" applyBorder="1" applyAlignment="1">
      <alignment vertical="top"/>
    </xf>
    <xf numFmtId="0" fontId="9" fillId="0" borderId="4" xfId="0" applyFont="1" applyFill="1" applyBorder="1" applyAlignment="1">
      <alignment horizontal="center" vertical="top"/>
    </xf>
    <xf numFmtId="0" fontId="9" fillId="0" borderId="4" xfId="0" applyFont="1" applyFill="1" applyBorder="1" applyAlignment="1">
      <alignment horizontal="justify" vertical="top"/>
    </xf>
    <xf numFmtId="43" fontId="4" fillId="0" borderId="4" xfId="1" applyFont="1" applyFill="1" applyBorder="1" applyAlignment="1">
      <alignment vertical="top"/>
    </xf>
    <xf numFmtId="0" fontId="9" fillId="0" borderId="4" xfId="0" applyFont="1" applyFill="1" applyBorder="1" applyAlignment="1">
      <alignment horizontal="justify" vertical="top" wrapText="1"/>
    </xf>
    <xf numFmtId="43" fontId="9" fillId="10" borderId="0" xfId="0" applyNumberFormat="1" applyFont="1" applyFill="1" applyAlignment="1">
      <alignment vertical="top"/>
    </xf>
    <xf numFmtId="0" fontId="9" fillId="2" borderId="4" xfId="0" applyFont="1" applyFill="1" applyBorder="1" applyAlignment="1">
      <alignment horizontal="center" vertical="top"/>
    </xf>
    <xf numFmtId="43" fontId="9" fillId="0" borderId="4" xfId="1" applyFont="1" applyBorder="1" applyAlignment="1">
      <alignment vertical="top" wrapText="1"/>
    </xf>
    <xf numFmtId="0" fontId="9" fillId="0" borderId="5" xfId="0" applyFont="1" applyBorder="1" applyAlignment="1">
      <alignment horizontal="center" vertical="top"/>
    </xf>
    <xf numFmtId="0" fontId="9" fillId="0" borderId="5" xfId="0" applyFont="1" applyBorder="1" applyAlignment="1">
      <alignment horizontal="justify" vertical="top"/>
    </xf>
    <xf numFmtId="43" fontId="9" fillId="0" borderId="5" xfId="1" applyFont="1" applyBorder="1" applyAlignment="1">
      <alignment vertical="top"/>
    </xf>
    <xf numFmtId="0" fontId="14" fillId="0" borderId="4" xfId="0" applyFont="1" applyBorder="1" applyAlignment="1">
      <alignment horizontal="center" vertical="center"/>
    </xf>
    <xf numFmtId="0" fontId="21" fillId="0" borderId="4" xfId="0" applyFont="1" applyBorder="1" applyAlignment="1">
      <alignment horizontal="justify" vertical="center"/>
    </xf>
    <xf numFmtId="0" fontId="9" fillId="0" borderId="4" xfId="0" applyFont="1" applyBorder="1" applyAlignment="1">
      <alignment horizontal="center" vertical="center"/>
    </xf>
    <xf numFmtId="43" fontId="9" fillId="0" borderId="4" xfId="1" applyFont="1" applyBorder="1" applyAlignment="1">
      <alignment vertical="center"/>
    </xf>
    <xf numFmtId="43" fontId="9" fillId="0" borderId="0" xfId="1" applyFont="1" applyAlignment="1">
      <alignment horizontal="center" vertical="top"/>
    </xf>
    <xf numFmtId="43" fontId="9" fillId="10" borderId="0" xfId="1" applyFont="1" applyFill="1" applyAlignment="1">
      <alignment vertical="top"/>
    </xf>
    <xf numFmtId="43" fontId="9" fillId="0" borderId="0" xfId="1" applyFont="1" applyAlignment="1">
      <alignment vertical="center"/>
    </xf>
    <xf numFmtId="43" fontId="3" fillId="0" borderId="4" xfId="1" applyFont="1" applyBorder="1" applyAlignment="1">
      <alignment horizontal="center" vertical="top"/>
    </xf>
    <xf numFmtId="0" fontId="9" fillId="0" borderId="0" xfId="0" applyFont="1"/>
    <xf numFmtId="0" fontId="20" fillId="0" borderId="0" xfId="0" applyFont="1" applyAlignment="1">
      <alignment horizontal="center" vertical="center"/>
    </xf>
    <xf numFmtId="0" fontId="9" fillId="0" borderId="0" xfId="0" applyFont="1" applyAlignment="1">
      <alignment horizontal="justify" vertical="center"/>
    </xf>
    <xf numFmtId="0" fontId="9" fillId="0" borderId="0" xfId="0" applyFont="1" applyAlignment="1">
      <alignment horizontal="center" vertical="center"/>
    </xf>
    <xf numFmtId="0" fontId="9" fillId="0" borderId="2" xfId="0" applyFont="1" applyBorder="1" applyAlignment="1">
      <alignment horizontal="justify" vertical="center"/>
    </xf>
    <xf numFmtId="0" fontId="9" fillId="0" borderId="2" xfId="0" applyFont="1" applyBorder="1" applyAlignment="1">
      <alignment horizontal="center" vertical="center" wrapText="1"/>
    </xf>
    <xf numFmtId="0" fontId="9" fillId="0" borderId="2" xfId="0" applyFont="1" applyBorder="1" applyAlignment="1">
      <alignment horizontal="center" vertical="center"/>
    </xf>
    <xf numFmtId="0" fontId="0" fillId="0" borderId="0" xfId="0" applyFont="1" applyAlignment="1">
      <alignment vertical="center"/>
    </xf>
    <xf numFmtId="0" fontId="0" fillId="0" borderId="0" xfId="0" applyFont="1"/>
    <xf numFmtId="0" fontId="11" fillId="0" borderId="0" xfId="0" applyFont="1"/>
    <xf numFmtId="43" fontId="0" fillId="0" borderId="0" xfId="1" applyFont="1"/>
    <xf numFmtId="0" fontId="2" fillId="0" borderId="0" xfId="0" applyFont="1" applyBorder="1" applyAlignment="1">
      <alignment vertical="center" wrapText="1"/>
    </xf>
    <xf numFmtId="43" fontId="2" fillId="0" borderId="0" xfId="1" applyFont="1" applyBorder="1" applyAlignment="1">
      <alignment vertical="center" wrapText="1"/>
    </xf>
    <xf numFmtId="0" fontId="22" fillId="0" borderId="1" xfId="0" applyFont="1" applyBorder="1" applyAlignment="1">
      <alignment horizontal="center" vertical="top" wrapText="1"/>
    </xf>
    <xf numFmtId="0" fontId="0" fillId="0" borderId="0" xfId="0" applyFont="1" applyBorder="1"/>
    <xf numFmtId="43" fontId="0" fillId="0" borderId="0" xfId="1" applyFont="1" applyBorder="1"/>
    <xf numFmtId="0" fontId="2" fillId="0" borderId="3" xfId="0" applyFont="1" applyBorder="1" applyAlignment="1">
      <alignment horizontal="center" vertical="center" wrapText="1"/>
    </xf>
    <xf numFmtId="0" fontId="2" fillId="0" borderId="10" xfId="0" applyFont="1" applyBorder="1" applyAlignment="1">
      <alignment horizontal="center" vertical="center"/>
    </xf>
    <xf numFmtId="0" fontId="10" fillId="0" borderId="3" xfId="0" applyFont="1" applyBorder="1" applyAlignment="1">
      <alignment horizontal="center"/>
    </xf>
    <xf numFmtId="0" fontId="2" fillId="0" borderId="5" xfId="0" applyFont="1" applyBorder="1" applyAlignment="1">
      <alignment horizontal="center" vertical="center" wrapText="1"/>
    </xf>
    <xf numFmtId="0" fontId="2" fillId="0" borderId="11" xfId="0" applyFont="1" applyBorder="1" applyAlignment="1">
      <alignment horizontal="center" vertical="center"/>
    </xf>
    <xf numFmtId="0" fontId="10" fillId="0" borderId="5" xfId="0" applyFont="1" applyBorder="1" applyAlignment="1">
      <alignment horizontal="center"/>
    </xf>
    <xf numFmtId="0" fontId="1" fillId="0" borderId="3" xfId="0" applyFont="1" applyBorder="1" applyAlignment="1">
      <alignment horizontal="center"/>
    </xf>
    <xf numFmtId="0" fontId="1" fillId="0" borderId="13" xfId="0" applyFont="1" applyBorder="1"/>
    <xf numFmtId="0" fontId="1" fillId="0" borderId="3" xfId="0" applyFont="1" applyBorder="1"/>
    <xf numFmtId="0" fontId="1" fillId="0" borderId="0" xfId="0" applyFont="1" applyBorder="1" applyAlignment="1">
      <alignment vertical="center"/>
    </xf>
    <xf numFmtId="10" fontId="0" fillId="0" borderId="0" xfId="3" applyNumberFormat="1" applyFont="1"/>
    <xf numFmtId="0" fontId="1" fillId="0" borderId="4" xfId="0" applyFont="1" applyBorder="1" applyAlignment="1">
      <alignment vertical="center"/>
    </xf>
    <xf numFmtId="43" fontId="0" fillId="0" borderId="4" xfId="1" applyFont="1" applyBorder="1" applyAlignment="1">
      <alignment vertical="center"/>
    </xf>
    <xf numFmtId="0" fontId="1" fillId="0" borderId="9" xfId="0" applyFont="1" applyBorder="1" applyAlignment="1">
      <alignment horizontal="left" vertical="top" wrapText="1"/>
    </xf>
    <xf numFmtId="43" fontId="1" fillId="0" borderId="4" xfId="0" applyNumberFormat="1" applyFont="1" applyBorder="1" applyAlignment="1">
      <alignment vertical="center"/>
    </xf>
    <xf numFmtId="43" fontId="2" fillId="0" borderId="14" xfId="0" applyNumberFormat="1" applyFont="1" applyBorder="1" applyAlignment="1">
      <alignment vertical="center"/>
    </xf>
    <xf numFmtId="43" fontId="0" fillId="0" borderId="0" xfId="0" applyNumberFormat="1" applyFont="1"/>
    <xf numFmtId="43" fontId="1" fillId="0" borderId="14" xfId="0" applyNumberFormat="1" applyFont="1" applyBorder="1" applyAlignment="1">
      <alignment vertical="center"/>
    </xf>
    <xf numFmtId="0" fontId="1" fillId="0" borderId="9" xfId="0" applyFont="1" applyBorder="1" applyAlignment="1">
      <alignment horizontal="left" vertical="center" wrapText="1"/>
    </xf>
    <xf numFmtId="43" fontId="2" fillId="0" borderId="6" xfId="0" applyNumberFormat="1" applyFont="1" applyBorder="1" applyAlignment="1">
      <alignment vertical="center"/>
    </xf>
    <xf numFmtId="0" fontId="1" fillId="0" borderId="5" xfId="0" applyFont="1" applyBorder="1" applyAlignment="1">
      <alignment vertical="center"/>
    </xf>
    <xf numFmtId="0" fontId="1" fillId="0" borderId="1" xfId="0" applyFont="1" applyBorder="1" applyAlignment="1">
      <alignment vertical="center"/>
    </xf>
    <xf numFmtId="0" fontId="1" fillId="0" borderId="10" xfId="0" applyFont="1" applyBorder="1" applyAlignment="1">
      <alignment horizontal="left" vertical="center" wrapText="1"/>
    </xf>
    <xf numFmtId="0" fontId="1" fillId="0" borderId="13" xfId="0" applyFont="1" applyBorder="1" applyAlignment="1">
      <alignment horizontal="left" vertical="center" wrapText="1"/>
    </xf>
    <xf numFmtId="0" fontId="1" fillId="0" borderId="15" xfId="0" applyFont="1" applyBorder="1" applyAlignment="1">
      <alignment horizontal="left" vertical="center" wrapText="1"/>
    </xf>
    <xf numFmtId="43" fontId="0" fillId="0" borderId="0" xfId="0" applyNumberFormat="1" applyFont="1" applyAlignment="1">
      <alignment vertical="center"/>
    </xf>
    <xf numFmtId="43" fontId="0" fillId="0" borderId="0" xfId="1" applyFont="1" applyAlignment="1">
      <alignment vertical="center"/>
    </xf>
    <xf numFmtId="0" fontId="1" fillId="0" borderId="9" xfId="0" applyFont="1" applyBorder="1" applyAlignment="1">
      <alignment vertical="center"/>
    </xf>
    <xf numFmtId="0" fontId="11" fillId="0" borderId="7" xfId="0" applyFont="1" applyBorder="1" applyAlignment="1">
      <alignment vertical="center"/>
    </xf>
    <xf numFmtId="0" fontId="1" fillId="0" borderId="9" xfId="54" applyFont="1" applyBorder="1" applyAlignment="1">
      <alignment vertical="top"/>
    </xf>
    <xf numFmtId="0" fontId="2" fillId="0" borderId="0" xfId="54" applyFont="1" applyBorder="1"/>
    <xf numFmtId="0" fontId="1" fillId="0" borderId="7" xfId="54" applyFont="1" applyBorder="1"/>
    <xf numFmtId="0" fontId="1" fillId="0" borderId="9" xfId="54" applyFont="1" applyFill="1" applyBorder="1" applyAlignment="1">
      <alignment vertical="top"/>
    </xf>
    <xf numFmtId="9" fontId="0" fillId="0" borderId="0" xfId="3" applyFont="1"/>
    <xf numFmtId="0" fontId="1" fillId="0" borderId="9" xfId="54" applyFont="1" applyBorder="1" applyAlignment="1">
      <alignment horizontal="left" vertical="top"/>
    </xf>
    <xf numFmtId="0" fontId="1" fillId="0" borderId="0" xfId="54" applyFont="1" applyBorder="1"/>
    <xf numFmtId="0" fontId="1" fillId="0" borderId="11" xfId="54" applyFont="1" applyFill="1" applyBorder="1"/>
    <xf numFmtId="0" fontId="1" fillId="0" borderId="1" xfId="54" applyFont="1" applyFill="1" applyBorder="1" applyAlignment="1">
      <alignment horizontal="right"/>
    </xf>
    <xf numFmtId="0" fontId="1" fillId="0" borderId="8" xfId="54" applyFont="1" applyFill="1" applyBorder="1"/>
    <xf numFmtId="16" fontId="4" fillId="0" borderId="4" xfId="0" applyNumberFormat="1" applyFont="1" applyBorder="1" applyAlignment="1" applyProtection="1" quotePrefix="1">
      <alignment horizontal="center" vertical="top"/>
    </xf>
    <xf numFmtId="16" fontId="4" fillId="0" borderId="5" xfId="0" applyNumberFormat="1" applyFont="1" applyBorder="1" applyAlignment="1" applyProtection="1" quotePrefix="1">
      <alignment horizontal="center" vertical="top"/>
    </xf>
    <xf numFmtId="0" fontId="12" fillId="0" borderId="4" xfId="0" applyFont="1" applyFill="1" applyBorder="1" applyAlignment="1" applyProtection="1" quotePrefix="1">
      <alignment horizontal="center" vertical="top"/>
    </xf>
    <xf numFmtId="178" fontId="5" fillId="0" borderId="4" xfId="56" applyNumberFormat="1" applyFont="1" applyBorder="1" applyAlignment="1" applyProtection="1" quotePrefix="1">
      <alignment horizontal="left" vertical="top"/>
    </xf>
  </cellXfs>
  <cellStyles count="57">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11 2" xfId="49"/>
    <cellStyle name="Comma 2" xfId="50"/>
    <cellStyle name="Normal 16 2" xfId="51"/>
    <cellStyle name="Normal_Bedroom &amp; Studio Blocks for West &amp; East Rev 12.5.2002" xfId="52"/>
    <cellStyle name="Normal_Bill No 3 Archtectural Worl New2" xfId="53"/>
    <cellStyle name="Normal_BOQ tangalle hospital Final" xfId="54"/>
    <cellStyle name="Normal_BOQ Workshop Bld" xfId="55"/>
    <cellStyle name="Normal_KUMARA (2)" xfId="56"/>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haredStrings" Target="sharedStrings.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externalLink" Target="externalLinks/externalLink3.xml"/><Relationship Id="rId17" Type="http://schemas.openxmlformats.org/officeDocument/2006/relationships/externalLink" Target="externalLinks/externalLink2.xml"/><Relationship Id="rId16" Type="http://schemas.openxmlformats.org/officeDocument/2006/relationships/externalLink" Target="externalLinks/externalLink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SIDATH\Desktop\HAMBANTOTA%20HOSPITAL%20CD\BOQ-Main%20Bld,%20H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TENDERS\Hambantota\HAMBANTOTA%20HOSPITAL%20CD\BOQ-Sajitha-R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Users\DA\Desktop\4.18.12.2012%20BOQ-residential%20nurse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ode-pay"/>
      <sheetName val="Prelem"/>
      <sheetName val="E.Wk"/>
      <sheetName val="Concrete"/>
      <sheetName val="Masonry"/>
      <sheetName val="Water Proofing "/>
      <sheetName val="Metal Work"/>
      <sheetName val="roofing"/>
      <sheetName val="Elec"/>
      <sheetName val="Finishes"/>
      <sheetName val="Painting"/>
      <sheetName val="Miscellaneous"/>
      <sheetName val="SUMMARY"/>
      <sheetName val="Money Provision"/>
      <sheetName val="G.Sum"/>
    </sheetNames>
    <sheetDataSet>
      <sheetData sheetId="0" refreshError="1"/>
      <sheetData sheetId="1" refreshError="1"/>
      <sheetData sheetId="2">
        <row r="1">
          <cell r="A1" t="str">
            <v>PROPOSED DISTRICT GENERAL HOSPITAL AT HAMBANTOTA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mode-pay"/>
      <sheetName val="Prelem"/>
      <sheetName val="E.Wk"/>
      <sheetName val="Concrete"/>
      <sheetName val="Masonry"/>
      <sheetName val="Water Proofing "/>
      <sheetName val="ANALYSIS (sajitha)"/>
      <sheetName val="PRICE LIST"/>
      <sheetName val="Metal Work"/>
      <sheetName val="Metal Work - Dilini"/>
      <sheetName val="Roofing"/>
      <sheetName val="Elec"/>
      <sheetName val="Finishes"/>
      <sheetName val="Painting"/>
      <sheetName val="Miscellaneous"/>
      <sheetName val="SUMMARY"/>
      <sheetName val="Money Provision"/>
      <sheetName val="G.Sum"/>
    </sheetNames>
    <sheetDataSet>
      <sheetData sheetId="0"/>
      <sheetData sheetId="1"/>
      <sheetData sheetId="2">
        <row r="2">
          <cell r="A2" t="str">
            <v>CONSTRUCTION AND COMPLETION OF MAIN BUILDING (BLOCK-E)</v>
          </cell>
        </row>
      </sheetData>
      <sheetData sheetId="3"/>
      <sheetData sheetId="4"/>
      <sheetData sheetId="5"/>
      <sheetData sheetId="6"/>
      <sheetData sheetId="7"/>
      <sheetData sheetId="8"/>
      <sheetData sheetId="9"/>
      <sheetData sheetId="10"/>
      <sheetData sheetId="11"/>
      <sheetData sheetId="12"/>
      <sheetData sheetId="13">
        <row r="3">
          <cell r="A3" t="str">
            <v>BILL OF QUANTITIES</v>
          </cell>
        </row>
      </sheetData>
      <sheetData sheetId="14"/>
      <sheetData sheetId="15"/>
      <sheetData sheetId="16"/>
      <sheetData sheetId="17"/>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ode-pay"/>
      <sheetName val="Prelem"/>
      <sheetName val="E.Wk"/>
      <sheetName val="Concrete"/>
      <sheetName val="Masonry"/>
      <sheetName val="ANALYSIS (BINALI)"/>
      <sheetName val="ANALYSIS (sajitha)"/>
      <sheetName val="PRICE LIST"/>
      <sheetName val="Water Proofing "/>
      <sheetName val="Metal Work"/>
      <sheetName val="roofing"/>
      <sheetName val="Elec"/>
      <sheetName val="Finishes"/>
      <sheetName val="Painting"/>
      <sheetName val="Miscellaneous"/>
      <sheetName val="SUMMARY"/>
      <sheetName val="Money Provision"/>
      <sheetName val="G.Sum"/>
      <sheetName val="quotation"/>
      <sheetName val="Sheet1"/>
      <sheetName val="Sheet2"/>
      <sheetName val="Mode of Payment"/>
      <sheetName val="Preliminaries"/>
      <sheetName val="Excavation &amp; Earthwork"/>
      <sheetName val="Water Proofing"/>
      <sheetName val="Structural Steel"/>
      <sheetName val="Roof &amp; Roof plumbing"/>
      <sheetName val="Plumbing &amp; Sanitary"/>
      <sheetName val="Sewerage &amp; Waste water disposal"/>
      <sheetName val="Grand Summary- Bid"/>
      <sheetName val="Sheet3"/>
    </sheetNames>
    <sheetDataSet>
      <sheetData sheetId="0">
        <row r="3">
          <cell r="A3" t="str">
            <v>BILL OF QUANTITIES</v>
          </cell>
        </row>
      </sheetData>
      <sheetData sheetId="1" refreshError="1"/>
      <sheetData sheetId="2" refreshError="1"/>
      <sheetData sheetId="3"/>
      <sheetData sheetId="4"/>
      <sheetData sheetId="5" refreshError="1"/>
      <sheetData sheetId="6" refreshError="1"/>
      <sheetData sheetId="7" refreshError="1"/>
      <sheetData sheetId="8" refreshError="1"/>
      <sheetData sheetId="9"/>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B2:I37"/>
  <sheetViews>
    <sheetView view="pageBreakPreview" zoomScaleNormal="100" workbookViewId="0">
      <selection activeCell="F26" sqref="F26"/>
    </sheetView>
  </sheetViews>
  <sheetFormatPr defaultColWidth="10.287037037037" defaultRowHeight="14.4"/>
  <cols>
    <col min="1" max="1" width="9.13888888888889" style="614" customWidth="1"/>
    <col min="2" max="2" width="6.85185185185185" style="614" customWidth="1"/>
    <col min="3" max="3" width="61.1388888888889" style="614" customWidth="1"/>
    <col min="4" max="4" width="22.8518518518519" style="615" customWidth="1"/>
    <col min="5" max="5" width="9.13888888888889" style="614"/>
    <col min="6" max="6" width="27.4259259259259" style="614" customWidth="1"/>
    <col min="7" max="7" width="23.5740740740741" style="616" customWidth="1"/>
    <col min="8" max="8" width="20" style="614" customWidth="1"/>
    <col min="9" max="16384" width="10.287037037037" style="614"/>
  </cols>
  <sheetData>
    <row r="2" ht="27.75" customHeight="1" spans="2:7">
      <c r="B2" s="544" t="str">
        <f>[1]E.Wk!A1</f>
        <v>PROPOSED DISTRICT GENERAL HOSPITAL AT HAMBANTOTA</v>
      </c>
      <c r="C2" s="544"/>
      <c r="D2" s="544"/>
      <c r="E2" s="617"/>
      <c r="F2" s="617"/>
      <c r="G2" s="618"/>
    </row>
    <row r="3" ht="36.75" customHeight="1" spans="2:7">
      <c r="B3" s="544" t="str">
        <f>[2]E.Wk!A2</f>
        <v>CONSTRUCTION AND COMPLETION OF MAIN BUILDING (BLOCK-E)</v>
      </c>
      <c r="C3" s="544"/>
      <c r="D3" s="544"/>
      <c r="E3" s="617"/>
      <c r="F3" s="617"/>
      <c r="G3" s="618"/>
    </row>
    <row r="4" ht="43.5" customHeight="1" spans="2:7">
      <c r="B4" s="619" t="s">
        <v>0</v>
      </c>
      <c r="C4" s="619"/>
      <c r="D4" s="619"/>
      <c r="E4" s="620"/>
      <c r="F4" s="620"/>
      <c r="G4" s="621"/>
    </row>
    <row r="5" ht="15.75" customHeight="1" spans="2:4">
      <c r="B5" s="622" t="s">
        <v>1</v>
      </c>
      <c r="C5" s="623" t="s">
        <v>2</v>
      </c>
      <c r="D5" s="624" t="s">
        <v>3</v>
      </c>
    </row>
    <row r="6" spans="2:4">
      <c r="B6" s="625"/>
      <c r="C6" s="626"/>
      <c r="D6" s="627" t="s">
        <v>4</v>
      </c>
    </row>
    <row r="7" ht="12" customHeight="1" spans="2:4">
      <c r="B7" s="628"/>
      <c r="C7" s="629"/>
      <c r="D7" s="630"/>
    </row>
    <row r="8" ht="21.75" customHeight="1" spans="2:6">
      <c r="B8" s="552">
        <v>1</v>
      </c>
      <c r="C8" s="631" t="s">
        <v>5</v>
      </c>
      <c r="D8" s="558">
        <f>prelem!F72</f>
        <v>81569500</v>
      </c>
      <c r="F8" s="632"/>
    </row>
    <row r="9" ht="15.75" customHeight="1" spans="2:4">
      <c r="B9" s="552"/>
      <c r="C9" s="631"/>
      <c r="D9" s="633"/>
    </row>
    <row r="10" ht="21.75" customHeight="1" spans="2:4">
      <c r="B10" s="552">
        <v>2</v>
      </c>
      <c r="C10" s="559" t="s">
        <v>6</v>
      </c>
      <c r="D10" s="634">
        <f>SUMMARY!D32</f>
        <v>1385387911.662</v>
      </c>
    </row>
    <row r="11" ht="15.75" customHeight="1" spans="2:4">
      <c r="B11" s="552"/>
      <c r="C11" s="631"/>
      <c r="D11" s="633"/>
    </row>
    <row r="12" ht="36" customHeight="1" spans="2:4">
      <c r="B12" s="552">
        <v>3</v>
      </c>
      <c r="C12" s="635" t="s">
        <v>7</v>
      </c>
      <c r="D12" s="636">
        <f>'Money provision'!G40</f>
        <v>32560000</v>
      </c>
    </row>
    <row r="13" ht="15.75" customHeight="1" spans="2:4">
      <c r="B13" s="552"/>
      <c r="C13" s="631"/>
      <c r="D13" s="633"/>
    </row>
    <row r="14" ht="21.75" customHeight="1" spans="2:6">
      <c r="B14" s="633"/>
      <c r="C14" s="631" t="s">
        <v>8</v>
      </c>
      <c r="D14" s="637">
        <f>SUM(D8:D12)</f>
        <v>1499517411.662</v>
      </c>
      <c r="F14" s="616"/>
    </row>
    <row r="15" ht="15.75" customHeight="1" spans="2:6">
      <c r="B15" s="633"/>
      <c r="C15" s="631"/>
      <c r="D15" s="633"/>
      <c r="F15" s="632"/>
    </row>
    <row r="16" ht="36" customHeight="1" spans="2:6">
      <c r="B16" s="633"/>
      <c r="C16" s="635" t="s">
        <v>9</v>
      </c>
      <c r="D16" s="558">
        <f>-40484500-3250000</f>
        <v>-43734500</v>
      </c>
      <c r="F16" s="616"/>
    </row>
    <row r="17" ht="15.75" customHeight="1" spans="2:6">
      <c r="B17" s="633"/>
      <c r="C17" s="631"/>
      <c r="D17" s="633"/>
      <c r="F17" s="616"/>
    </row>
    <row r="18" ht="21.75" customHeight="1" spans="2:6">
      <c r="B18" s="633"/>
      <c r="C18" s="631" t="s">
        <v>10</v>
      </c>
      <c r="D18" s="637">
        <f>SUM(D14:D16)</f>
        <v>1455782911.662</v>
      </c>
      <c r="F18" s="616"/>
    </row>
    <row r="19" ht="15.75" customHeight="1" spans="2:6">
      <c r="B19" s="633"/>
      <c r="C19" s="631"/>
      <c r="D19" s="633"/>
      <c r="F19" s="632"/>
    </row>
    <row r="20" ht="21.75" customHeight="1" spans="2:4">
      <c r="B20" s="633"/>
      <c r="C20" s="631" t="s">
        <v>11</v>
      </c>
      <c r="D20" s="636"/>
    </row>
    <row r="21" ht="15.75" customHeight="1" spans="2:8">
      <c r="B21" s="633"/>
      <c r="C21" s="631"/>
      <c r="D21" s="636"/>
      <c r="H21" s="638"/>
    </row>
    <row r="22" ht="21.75" customHeight="1" spans="2:4">
      <c r="B22" s="633"/>
      <c r="C22" s="631" t="s">
        <v>12</v>
      </c>
      <c r="D22" s="639">
        <f>D18+D20</f>
        <v>1455782911.662</v>
      </c>
    </row>
    <row r="23" ht="15.75" customHeight="1" spans="2:4">
      <c r="B23" s="633"/>
      <c r="C23" s="631"/>
      <c r="D23" s="633"/>
    </row>
    <row r="24" ht="21.75" customHeight="1" spans="2:4">
      <c r="B24" s="633"/>
      <c r="C24" s="631" t="s">
        <v>13</v>
      </c>
      <c r="D24" s="558">
        <f>40484500+3250000</f>
        <v>43734500</v>
      </c>
    </row>
    <row r="25" ht="15.75" customHeight="1" spans="2:4">
      <c r="B25" s="633"/>
      <c r="C25" s="631"/>
      <c r="D25" s="633"/>
    </row>
    <row r="26" ht="21.75" customHeight="1" spans="2:8">
      <c r="B26" s="553"/>
      <c r="C26" s="640" t="s">
        <v>14</v>
      </c>
      <c r="D26" s="641">
        <f>D24+D22</f>
        <v>1499517411.662</v>
      </c>
      <c r="F26" s="638"/>
      <c r="H26" s="638"/>
    </row>
    <row r="27" ht="21.75" customHeight="1" spans="2:4">
      <c r="B27" s="642"/>
      <c r="C27" s="643"/>
      <c r="D27" s="642"/>
    </row>
    <row r="28" s="613" customFormat="1" ht="51.75" customHeight="1" spans="2:8">
      <c r="B28" s="644" t="s">
        <v>15</v>
      </c>
      <c r="C28" s="645"/>
      <c r="D28" s="646"/>
      <c r="F28" s="647"/>
      <c r="G28" s="648"/>
      <c r="H28" s="647"/>
    </row>
    <row r="29" ht="19.5" customHeight="1" spans="2:9">
      <c r="B29" s="649"/>
      <c r="C29" s="631"/>
      <c r="D29" s="650"/>
      <c r="I29" s="542"/>
    </row>
    <row r="30" ht="19.5" customHeight="1" spans="2:6">
      <c r="B30" s="651" t="s">
        <v>16</v>
      </c>
      <c r="C30" s="652"/>
      <c r="D30" s="653"/>
      <c r="F30" s="638"/>
    </row>
    <row r="31" ht="19.5" customHeight="1" spans="2:4">
      <c r="B31" s="654"/>
      <c r="C31" s="652"/>
      <c r="D31" s="653"/>
    </row>
    <row r="32" ht="19.5" customHeight="1" spans="2:6">
      <c r="B32" s="651" t="s">
        <v>17</v>
      </c>
      <c r="C32" s="652"/>
      <c r="D32" s="653"/>
      <c r="F32" s="655"/>
    </row>
    <row r="33" ht="19.5" customHeight="1" spans="2:6">
      <c r="B33" s="654"/>
      <c r="C33" s="652"/>
      <c r="D33" s="653"/>
      <c r="F33" s="632"/>
    </row>
    <row r="34" ht="19.5" customHeight="1" spans="2:4">
      <c r="B34" s="656" t="s">
        <v>18</v>
      </c>
      <c r="C34" s="652"/>
      <c r="D34" s="653"/>
    </row>
    <row r="35" ht="19.5" customHeight="1" spans="2:4">
      <c r="B35" s="656"/>
      <c r="C35" s="657"/>
      <c r="D35" s="653"/>
    </row>
    <row r="36" ht="19.5" customHeight="1" spans="2:4">
      <c r="B36" s="651" t="s">
        <v>19</v>
      </c>
      <c r="C36" s="657"/>
      <c r="D36" s="653"/>
    </row>
    <row r="37" spans="2:4">
      <c r="B37" s="658"/>
      <c r="C37" s="659"/>
      <c r="D37" s="660"/>
    </row>
  </sheetData>
  <mergeCells count="6">
    <mergeCell ref="B2:D2"/>
    <mergeCell ref="B3:D3"/>
    <mergeCell ref="B4:D4"/>
    <mergeCell ref="B28:D28"/>
    <mergeCell ref="B5:B6"/>
    <mergeCell ref="C5:C6"/>
  </mergeCells>
  <pageMargins left="1.17" right="0.15" top="0.35" bottom="0.3" header="0.3" footer="0.15"/>
  <pageSetup paperSize="9" scale="92" orientation="portrait" useFirstPageNumber="1"/>
  <headerFooter>
    <oddFooter>&amp;C&amp;P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B2:C13"/>
  <sheetViews>
    <sheetView view="pageBreakPreview" zoomScaleNormal="100" workbookViewId="0">
      <selection activeCell="G11" sqref="G11"/>
    </sheetView>
  </sheetViews>
  <sheetFormatPr defaultColWidth="10.287037037037" defaultRowHeight="13.8" outlineLevelCol="2"/>
  <cols>
    <col min="1" max="1" width="10.287037037037" style="606"/>
    <col min="2" max="2" width="64.5740740740741" style="606" customWidth="1"/>
    <col min="3" max="3" width="22.712962962963" style="606" customWidth="1"/>
    <col min="4" max="16384" width="10.287037037037" style="606"/>
  </cols>
  <sheetData>
    <row r="2" ht="28.5" customHeight="1" spans="2:3">
      <c r="B2" s="607" t="s">
        <v>20</v>
      </c>
      <c r="C2" s="607"/>
    </row>
    <row r="3" ht="14.4" spans="2:3">
      <c r="B3" s="607"/>
      <c r="C3" s="607"/>
    </row>
    <row r="4" ht="20.25" customHeight="1" spans="2:3">
      <c r="B4" s="607" t="str">
        <f>'[3]mode-pay'!A3</f>
        <v>BILL OF QUANTITIES</v>
      </c>
      <c r="C4" s="607"/>
    </row>
    <row r="5" spans="2:3">
      <c r="B5" s="608"/>
      <c r="C5" s="609"/>
    </row>
    <row r="6" ht="31.5" customHeight="1" spans="2:3">
      <c r="B6" s="578" t="s">
        <v>21</v>
      </c>
      <c r="C6" s="578" t="s">
        <v>22</v>
      </c>
    </row>
    <row r="7" ht="72.75" customHeight="1" spans="2:3">
      <c r="B7" s="610" t="s">
        <v>23</v>
      </c>
      <c r="C7" s="611" t="s">
        <v>24</v>
      </c>
    </row>
    <row r="8" ht="26.25" customHeight="1" spans="2:3">
      <c r="B8" s="610" t="s">
        <v>25</v>
      </c>
      <c r="C8" s="612" t="s">
        <v>26</v>
      </c>
    </row>
    <row r="9" ht="60.75" customHeight="1" spans="2:3">
      <c r="B9" s="610" t="s">
        <v>27</v>
      </c>
      <c r="C9" s="611" t="s">
        <v>28</v>
      </c>
    </row>
    <row r="10" ht="27" customHeight="1" spans="2:3">
      <c r="B10" s="610" t="s">
        <v>29</v>
      </c>
      <c r="C10" s="612" t="s">
        <v>30</v>
      </c>
    </row>
    <row r="11" ht="76.5" customHeight="1" spans="2:3">
      <c r="B11" s="610" t="s">
        <v>31</v>
      </c>
      <c r="C11" s="611" t="s">
        <v>32</v>
      </c>
    </row>
    <row r="12" ht="57.75" customHeight="1" spans="2:3">
      <c r="B12" s="610" t="s">
        <v>33</v>
      </c>
      <c r="C12" s="612" t="s">
        <v>34</v>
      </c>
    </row>
    <row r="13" ht="27" customHeight="1" spans="2:3">
      <c r="B13" s="610" t="s">
        <v>35</v>
      </c>
      <c r="C13" s="612" t="s">
        <v>36</v>
      </c>
    </row>
  </sheetData>
  <mergeCells count="3">
    <mergeCell ref="B2:C2"/>
    <mergeCell ref="B3:C3"/>
    <mergeCell ref="B4:C4"/>
  </mergeCells>
  <pageMargins left="1.02" right="0.23" top="0.75" bottom="0.75" header="0.3" footer="0.3"/>
  <pageSetup paperSize="9" firstPageNumber="2" orientation="portrait" useFirstPageNumber="1"/>
  <headerFooter>
    <oddFooter>&amp;C2</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2:K74"/>
  <sheetViews>
    <sheetView view="pageBreakPreview" zoomScaleNormal="100" topLeftCell="A55" workbookViewId="0">
      <selection activeCell="C30" sqref="C30"/>
    </sheetView>
  </sheetViews>
  <sheetFormatPr defaultColWidth="10.287037037037" defaultRowHeight="13.8"/>
  <cols>
    <col min="1" max="1" width="10.287037037037" style="571"/>
    <col min="2" max="2" width="10.287037037037" style="567"/>
    <col min="3" max="3" width="47.5740740740741" style="572" customWidth="1"/>
    <col min="4" max="4" width="9.71296296296296" style="567" customWidth="1"/>
    <col min="5" max="5" width="6.13888888888889" style="567" customWidth="1"/>
    <col min="6" max="6" width="17.8518518518519" style="449" customWidth="1"/>
    <col min="7" max="7" width="9.13888888888889" style="571"/>
    <col min="8" max="8" width="16.8518518518519" style="571" customWidth="1"/>
    <col min="9" max="10" width="9.13888888888889" style="571"/>
    <col min="11" max="11" width="19.287037037037" style="449" customWidth="1"/>
    <col min="12" max="16384" width="10.287037037037" style="571"/>
  </cols>
  <sheetData>
    <row r="2" s="566" customFormat="1" ht="14.4" spans="2:11">
      <c r="B2" s="573" t="s">
        <v>20</v>
      </c>
      <c r="C2" s="573"/>
      <c r="D2" s="573"/>
      <c r="E2" s="573"/>
      <c r="F2" s="573"/>
      <c r="K2" s="577"/>
    </row>
    <row r="3" s="566" customFormat="1" ht="14.4" spans="2:11">
      <c r="B3" s="573" t="s">
        <v>37</v>
      </c>
      <c r="C3" s="573"/>
      <c r="D3" s="573"/>
      <c r="E3" s="573"/>
      <c r="F3" s="573"/>
      <c r="K3" s="577"/>
    </row>
    <row r="4" s="566" customFormat="1" ht="14.4" spans="2:11">
      <c r="B4" s="573" t="s">
        <v>38</v>
      </c>
      <c r="C4" s="573"/>
      <c r="D4" s="574" t="s">
        <v>5</v>
      </c>
      <c r="E4" s="574"/>
      <c r="F4" s="574"/>
      <c r="K4" s="577"/>
    </row>
    <row r="5" s="566" customFormat="1" ht="14.4" spans="2:11">
      <c r="B5" s="575"/>
      <c r="C5" s="576"/>
      <c r="D5" s="575"/>
      <c r="E5" s="575"/>
      <c r="F5" s="577"/>
      <c r="K5" s="577"/>
    </row>
    <row r="6" s="567" customFormat="1" ht="43.5" customHeight="1" spans="2:11">
      <c r="B6" s="578" t="s">
        <v>39</v>
      </c>
      <c r="C6" s="578" t="s">
        <v>40</v>
      </c>
      <c r="D6" s="578" t="s">
        <v>41</v>
      </c>
      <c r="E6" s="578" t="s">
        <v>42</v>
      </c>
      <c r="F6" s="579" t="s">
        <v>43</v>
      </c>
      <c r="K6" s="602"/>
    </row>
    <row r="7" ht="9" customHeight="1" spans="2:6">
      <c r="B7" s="580"/>
      <c r="C7" s="581"/>
      <c r="D7" s="580"/>
      <c r="E7" s="580"/>
      <c r="F7" s="582"/>
    </row>
    <row r="8" ht="17.25" customHeight="1" spans="2:6">
      <c r="B8" s="583" t="s">
        <v>44</v>
      </c>
      <c r="C8" s="584" t="s">
        <v>5</v>
      </c>
      <c r="D8" s="580"/>
      <c r="E8" s="580"/>
      <c r="F8" s="582"/>
    </row>
    <row r="9" ht="19.5" customHeight="1" spans="2:6">
      <c r="B9" s="583" t="s">
        <v>45</v>
      </c>
      <c r="C9" s="585" t="s">
        <v>46</v>
      </c>
      <c r="D9" s="586"/>
      <c r="E9" s="580"/>
      <c r="F9" s="587"/>
    </row>
    <row r="10" s="568" customFormat="1" ht="18.75" customHeight="1" spans="2:11">
      <c r="B10" s="588" t="s">
        <v>47</v>
      </c>
      <c r="C10" s="589" t="s">
        <v>48</v>
      </c>
      <c r="D10" s="588" t="s">
        <v>49</v>
      </c>
      <c r="E10" s="588" t="s">
        <v>50</v>
      </c>
      <c r="F10" s="590">
        <v>832000</v>
      </c>
      <c r="K10" s="603"/>
    </row>
    <row r="11" spans="2:6">
      <c r="B11" s="588"/>
      <c r="C11" s="589"/>
      <c r="D11" s="588"/>
      <c r="E11" s="588"/>
      <c r="F11" s="590"/>
    </row>
    <row r="12" s="568" customFormat="1" ht="29.25" customHeight="1" spans="2:11">
      <c r="B12" s="588" t="s">
        <v>51</v>
      </c>
      <c r="C12" s="589" t="s">
        <v>52</v>
      </c>
      <c r="D12" s="588" t="s">
        <v>49</v>
      </c>
      <c r="E12" s="588" t="s">
        <v>50</v>
      </c>
      <c r="F12" s="590">
        <v>3330000</v>
      </c>
      <c r="K12" s="603"/>
    </row>
    <row r="13" spans="2:6">
      <c r="B13" s="588"/>
      <c r="C13" s="589"/>
      <c r="D13" s="588"/>
      <c r="E13" s="588"/>
      <c r="F13" s="590"/>
    </row>
    <row r="14" s="568" customFormat="1" ht="52.5" customHeight="1" spans="2:11">
      <c r="B14" s="588" t="s">
        <v>53</v>
      </c>
      <c r="C14" s="591" t="s">
        <v>54</v>
      </c>
      <c r="D14" s="588" t="s">
        <v>49</v>
      </c>
      <c r="E14" s="588" t="s">
        <v>50</v>
      </c>
      <c r="F14" s="590">
        <v>6105000</v>
      </c>
      <c r="K14" s="603"/>
    </row>
    <row r="15" spans="2:6">
      <c r="B15" s="588"/>
      <c r="C15" s="589"/>
      <c r="D15" s="588"/>
      <c r="E15" s="588"/>
      <c r="F15" s="590"/>
    </row>
    <row r="16" s="568" customFormat="1" ht="29.25" customHeight="1" spans="2:11">
      <c r="B16" s="588" t="s">
        <v>55</v>
      </c>
      <c r="C16" s="589" t="s">
        <v>56</v>
      </c>
      <c r="D16" s="588" t="s">
        <v>49</v>
      </c>
      <c r="E16" s="588" t="s">
        <v>50</v>
      </c>
      <c r="F16" s="590">
        <v>277500</v>
      </c>
      <c r="H16" s="592"/>
      <c r="K16" s="603"/>
    </row>
    <row r="17" spans="2:6">
      <c r="B17" s="580"/>
      <c r="C17" s="581"/>
      <c r="D17" s="580"/>
      <c r="E17" s="580"/>
      <c r="F17" s="582"/>
    </row>
    <row r="18" ht="20.25" customHeight="1" spans="2:6">
      <c r="B18" s="583" t="s">
        <v>57</v>
      </c>
      <c r="C18" s="585" t="s">
        <v>58</v>
      </c>
      <c r="D18" s="580"/>
      <c r="E18" s="580"/>
      <c r="F18" s="582"/>
    </row>
    <row r="19" ht="57.75" customHeight="1" spans="2:6">
      <c r="B19" s="593" t="s">
        <v>59</v>
      </c>
      <c r="C19" s="581" t="s">
        <v>60</v>
      </c>
      <c r="D19" s="580" t="s">
        <v>61</v>
      </c>
      <c r="E19" s="580" t="s">
        <v>62</v>
      </c>
      <c r="F19" s="594" t="s">
        <v>63</v>
      </c>
    </row>
    <row r="20" spans="2:6">
      <c r="B20" s="580"/>
      <c r="C20" s="581"/>
      <c r="D20" s="580"/>
      <c r="E20" s="580"/>
      <c r="F20" s="582"/>
    </row>
    <row r="21" ht="48" customHeight="1" spans="2:6">
      <c r="B21" s="580" t="s">
        <v>64</v>
      </c>
      <c r="C21" s="581" t="s">
        <v>65</v>
      </c>
      <c r="D21" s="580" t="s">
        <v>66</v>
      </c>
      <c r="E21" s="580" t="s">
        <v>62</v>
      </c>
      <c r="F21" s="594" t="s">
        <v>63</v>
      </c>
    </row>
    <row r="22" ht="9" customHeight="1" spans="2:6">
      <c r="B22" s="580"/>
      <c r="C22" s="581"/>
      <c r="D22" s="580"/>
      <c r="E22" s="580"/>
      <c r="F22" s="582"/>
    </row>
    <row r="23" ht="53.25" customHeight="1" spans="2:6">
      <c r="B23" s="580" t="s">
        <v>67</v>
      </c>
      <c r="C23" s="581" t="s">
        <v>68</v>
      </c>
      <c r="D23" s="580" t="s">
        <v>69</v>
      </c>
      <c r="E23" s="580" t="s">
        <v>62</v>
      </c>
      <c r="F23" s="594" t="s">
        <v>63</v>
      </c>
    </row>
    <row r="24" spans="2:6">
      <c r="B24" s="580"/>
      <c r="C24" s="581"/>
      <c r="D24" s="580"/>
      <c r="E24" s="580"/>
      <c r="F24" s="582"/>
    </row>
    <row r="25" ht="21" customHeight="1" spans="2:6">
      <c r="B25" s="583" t="s">
        <v>70</v>
      </c>
      <c r="C25" s="585" t="s">
        <v>71</v>
      </c>
      <c r="D25" s="580"/>
      <c r="E25" s="580"/>
      <c r="F25" s="582"/>
    </row>
    <row r="26" ht="57" customHeight="1" spans="2:6">
      <c r="B26" s="580" t="s">
        <v>72</v>
      </c>
      <c r="C26" s="581" t="s">
        <v>73</v>
      </c>
      <c r="D26" s="580" t="s">
        <v>61</v>
      </c>
      <c r="E26" s="580" t="s">
        <v>62</v>
      </c>
      <c r="F26" s="594">
        <v>550000</v>
      </c>
    </row>
    <row r="27" spans="2:6">
      <c r="B27" s="580"/>
      <c r="C27" s="581"/>
      <c r="D27" s="580"/>
      <c r="E27" s="580"/>
      <c r="F27" s="582"/>
    </row>
    <row r="28" ht="42.75" customHeight="1" spans="2:6">
      <c r="B28" s="580" t="s">
        <v>74</v>
      </c>
      <c r="C28" s="581" t="s">
        <v>75</v>
      </c>
      <c r="D28" s="580" t="s">
        <v>61</v>
      </c>
      <c r="E28" s="580" t="s">
        <v>62</v>
      </c>
      <c r="F28" s="582">
        <v>400000</v>
      </c>
    </row>
    <row r="29" spans="2:6">
      <c r="B29" s="580"/>
      <c r="C29" s="581"/>
      <c r="D29" s="580"/>
      <c r="E29" s="580"/>
      <c r="F29" s="582"/>
    </row>
    <row r="30" ht="43.5" customHeight="1" spans="2:6">
      <c r="B30" s="580" t="s">
        <v>76</v>
      </c>
      <c r="C30" s="581" t="s">
        <v>77</v>
      </c>
      <c r="D30" s="580" t="s">
        <v>61</v>
      </c>
      <c r="E30" s="580" t="s">
        <v>62</v>
      </c>
      <c r="F30" s="582">
        <v>1825000</v>
      </c>
    </row>
    <row r="31" spans="2:6">
      <c r="B31" s="580"/>
      <c r="C31" s="581" t="s">
        <v>78</v>
      </c>
      <c r="D31" s="580"/>
      <c r="E31" s="580"/>
      <c r="F31" s="582"/>
    </row>
    <row r="32" spans="2:6">
      <c r="B32" s="580"/>
      <c r="C32" s="581" t="s">
        <v>79</v>
      </c>
      <c r="D32" s="580"/>
      <c r="E32" s="580"/>
      <c r="F32" s="582"/>
    </row>
    <row r="33" spans="2:6">
      <c r="B33" s="580"/>
      <c r="C33" s="581" t="s">
        <v>80</v>
      </c>
      <c r="D33" s="580"/>
      <c r="E33" s="580"/>
      <c r="F33" s="582"/>
    </row>
    <row r="34" ht="36.75" customHeight="1" spans="2:6">
      <c r="B34" s="595"/>
      <c r="C34" s="596" t="s">
        <v>81</v>
      </c>
      <c r="D34" s="595"/>
      <c r="E34" s="595"/>
      <c r="F34" s="597"/>
    </row>
    <row r="35" spans="2:6">
      <c r="B35" s="580"/>
      <c r="C35" s="581"/>
      <c r="D35" s="580"/>
      <c r="E35" s="580"/>
      <c r="F35" s="582"/>
    </row>
    <row r="36" ht="45.75" customHeight="1" spans="2:6">
      <c r="B36" s="580" t="s">
        <v>82</v>
      </c>
      <c r="C36" s="581" t="s">
        <v>83</v>
      </c>
      <c r="D36" s="580" t="s">
        <v>66</v>
      </c>
      <c r="E36" s="580" t="s">
        <v>62</v>
      </c>
      <c r="F36" s="582">
        <v>150000</v>
      </c>
    </row>
    <row r="37" spans="2:6">
      <c r="B37" s="580"/>
      <c r="C37" s="581"/>
      <c r="D37" s="580"/>
      <c r="E37" s="580"/>
      <c r="F37" s="582"/>
    </row>
    <row r="38" ht="58.5" customHeight="1" spans="2:6">
      <c r="B38" s="580" t="s">
        <v>84</v>
      </c>
      <c r="C38" s="581" t="s">
        <v>85</v>
      </c>
      <c r="D38" s="580" t="s">
        <v>69</v>
      </c>
      <c r="E38" s="580" t="s">
        <v>62</v>
      </c>
      <c r="F38" s="582">
        <v>1100000</v>
      </c>
    </row>
    <row r="39" spans="2:6">
      <c r="B39" s="580"/>
      <c r="C39" s="581"/>
      <c r="D39" s="580"/>
      <c r="E39" s="580"/>
      <c r="F39" s="582"/>
    </row>
    <row r="40" ht="18.75" customHeight="1" spans="2:6">
      <c r="B40" s="583" t="s">
        <v>86</v>
      </c>
      <c r="C40" s="585" t="s">
        <v>87</v>
      </c>
      <c r="D40" s="580"/>
      <c r="E40" s="580"/>
      <c r="F40" s="582"/>
    </row>
    <row r="41" s="569" customFormat="1" ht="46.5" customHeight="1" spans="2:11">
      <c r="B41" s="580" t="s">
        <v>88</v>
      </c>
      <c r="C41" s="581" t="s">
        <v>89</v>
      </c>
      <c r="D41" s="580" t="s">
        <v>69</v>
      </c>
      <c r="E41" s="580" t="s">
        <v>62</v>
      </c>
      <c r="F41" s="582">
        <v>18000000</v>
      </c>
      <c r="K41" s="450"/>
    </row>
    <row r="42" spans="2:6">
      <c r="B42" s="580"/>
      <c r="C42" s="581"/>
      <c r="D42" s="580"/>
      <c r="E42" s="580"/>
      <c r="F42" s="582"/>
    </row>
    <row r="43" ht="33" customHeight="1" spans="2:6">
      <c r="B43" s="580" t="s">
        <v>90</v>
      </c>
      <c r="C43" s="581" t="s">
        <v>91</v>
      </c>
      <c r="D43" s="580" t="s">
        <v>69</v>
      </c>
      <c r="E43" s="580" t="s">
        <v>62</v>
      </c>
      <c r="F43" s="582">
        <v>17500000</v>
      </c>
    </row>
    <row r="44" spans="2:6">
      <c r="B44" s="580"/>
      <c r="C44" s="581"/>
      <c r="D44" s="580"/>
      <c r="E44" s="580"/>
      <c r="F44" s="582"/>
    </row>
    <row r="45" s="570" customFormat="1" ht="24.75" customHeight="1" spans="2:11">
      <c r="B45" s="598" t="s">
        <v>92</v>
      </c>
      <c r="C45" s="599" t="s">
        <v>93</v>
      </c>
      <c r="D45" s="600"/>
      <c r="E45" s="600"/>
      <c r="F45" s="601"/>
      <c r="K45" s="604"/>
    </row>
    <row r="46" ht="45" customHeight="1" spans="2:6">
      <c r="B46" s="580" t="s">
        <v>94</v>
      </c>
      <c r="C46" s="581" t="s">
        <v>95</v>
      </c>
      <c r="D46" s="580" t="s">
        <v>96</v>
      </c>
      <c r="E46" s="580" t="s">
        <v>62</v>
      </c>
      <c r="F46" s="582">
        <v>1500000</v>
      </c>
    </row>
    <row r="47" spans="2:6">
      <c r="B47" s="580"/>
      <c r="C47" s="581"/>
      <c r="D47" s="580"/>
      <c r="E47" s="580"/>
      <c r="F47" s="582"/>
    </row>
    <row r="48" ht="20.25" customHeight="1" spans="2:6">
      <c r="B48" s="583" t="s">
        <v>97</v>
      </c>
      <c r="C48" s="585" t="s">
        <v>98</v>
      </c>
      <c r="D48" s="580"/>
      <c r="E48" s="580"/>
      <c r="F48" s="582"/>
    </row>
    <row r="49" ht="59.25" customHeight="1" spans="2:6">
      <c r="B49" s="580" t="s">
        <v>99</v>
      </c>
      <c r="C49" s="581" t="s">
        <v>100</v>
      </c>
      <c r="D49" s="580" t="s">
        <v>69</v>
      </c>
      <c r="E49" s="580" t="s">
        <v>62</v>
      </c>
      <c r="F49" s="582">
        <v>220000</v>
      </c>
    </row>
    <row r="50" spans="2:6">
      <c r="B50" s="580"/>
      <c r="C50" s="581"/>
      <c r="D50" s="580"/>
      <c r="E50" s="580"/>
      <c r="F50" s="582"/>
    </row>
    <row r="51" ht="59.25" customHeight="1" spans="2:6">
      <c r="B51" s="580" t="s">
        <v>101</v>
      </c>
      <c r="C51" s="581" t="s">
        <v>102</v>
      </c>
      <c r="D51" s="580" t="s">
        <v>69</v>
      </c>
      <c r="E51" s="580" t="s">
        <v>62</v>
      </c>
      <c r="F51" s="582">
        <v>630000</v>
      </c>
    </row>
    <row r="52" spans="2:6">
      <c r="B52" s="580"/>
      <c r="C52" s="581"/>
      <c r="D52" s="580"/>
      <c r="E52" s="580"/>
      <c r="F52" s="582"/>
    </row>
    <row r="53" ht="34.5" customHeight="1" spans="2:6">
      <c r="B53" s="580" t="s">
        <v>103</v>
      </c>
      <c r="C53" s="581" t="s">
        <v>104</v>
      </c>
      <c r="D53" s="580" t="s">
        <v>69</v>
      </c>
      <c r="E53" s="580" t="s">
        <v>62</v>
      </c>
      <c r="F53" s="582">
        <v>260000</v>
      </c>
    </row>
    <row r="54" spans="2:6">
      <c r="B54" s="580"/>
      <c r="C54" s="581"/>
      <c r="D54" s="580"/>
      <c r="E54" s="580"/>
      <c r="F54" s="582"/>
    </row>
    <row r="55" ht="46.5" customHeight="1" spans="2:6">
      <c r="B55" s="593" t="s">
        <v>105</v>
      </c>
      <c r="C55" s="581" t="s">
        <v>106</v>
      </c>
      <c r="D55" s="580" t="s">
        <v>66</v>
      </c>
      <c r="E55" s="580" t="s">
        <v>62</v>
      </c>
      <c r="F55" s="582">
        <v>200000</v>
      </c>
    </row>
    <row r="56" ht="17.25" customHeight="1" spans="2:6">
      <c r="B56" s="580"/>
      <c r="C56" s="581"/>
      <c r="D56" s="580"/>
      <c r="E56" s="580"/>
      <c r="F56" s="582"/>
    </row>
    <row r="57" ht="21" customHeight="1" spans="2:6">
      <c r="B57" s="583" t="s">
        <v>107</v>
      </c>
      <c r="C57" s="585" t="s">
        <v>108</v>
      </c>
      <c r="D57" s="580"/>
      <c r="E57" s="580"/>
      <c r="F57" s="582"/>
    </row>
    <row r="58" ht="80.25" customHeight="1" spans="2:6">
      <c r="B58" s="595" t="s">
        <v>109</v>
      </c>
      <c r="C58" s="596" t="s">
        <v>110</v>
      </c>
      <c r="D58" s="595" t="s">
        <v>69</v>
      </c>
      <c r="E58" s="595" t="s">
        <v>62</v>
      </c>
      <c r="F58" s="597">
        <v>6350000</v>
      </c>
    </row>
    <row r="59" spans="2:6">
      <c r="B59" s="580"/>
      <c r="C59" s="581"/>
      <c r="D59" s="580"/>
      <c r="E59" s="580"/>
      <c r="F59" s="582"/>
    </row>
    <row r="60" ht="59.25" customHeight="1" spans="2:6">
      <c r="B60" s="580" t="s">
        <v>111</v>
      </c>
      <c r="C60" s="581" t="s">
        <v>112</v>
      </c>
      <c r="D60" s="580" t="s">
        <v>69</v>
      </c>
      <c r="E60" s="580" t="s">
        <v>62</v>
      </c>
      <c r="F60" s="582">
        <v>450000</v>
      </c>
    </row>
    <row r="61" spans="2:6">
      <c r="B61" s="580"/>
      <c r="C61" s="581"/>
      <c r="D61" s="580"/>
      <c r="E61" s="580"/>
      <c r="F61" s="582"/>
    </row>
    <row r="62" ht="50.25" customHeight="1" spans="2:6">
      <c r="B62" s="580" t="s">
        <v>36</v>
      </c>
      <c r="C62" s="581" t="s">
        <v>113</v>
      </c>
      <c r="D62" s="580" t="s">
        <v>114</v>
      </c>
      <c r="E62" s="580" t="s">
        <v>62</v>
      </c>
      <c r="F62" s="582">
        <v>640000</v>
      </c>
    </row>
    <row r="63" spans="2:6">
      <c r="B63" s="580"/>
      <c r="C63" s="581"/>
      <c r="D63" s="580"/>
      <c r="E63" s="580"/>
      <c r="F63" s="582"/>
    </row>
    <row r="64" ht="21" customHeight="1" spans="2:6">
      <c r="B64" s="583" t="s">
        <v>115</v>
      </c>
      <c r="C64" s="585" t="s">
        <v>116</v>
      </c>
      <c r="D64" s="580"/>
      <c r="E64" s="580"/>
      <c r="F64" s="582"/>
    </row>
    <row r="65" ht="64.5" customHeight="1" spans="2:6">
      <c r="B65" s="580" t="s">
        <v>117</v>
      </c>
      <c r="C65" s="581" t="s">
        <v>118</v>
      </c>
      <c r="D65" s="580" t="s">
        <v>69</v>
      </c>
      <c r="E65" s="580" t="s">
        <v>62</v>
      </c>
      <c r="F65" s="582">
        <v>3000000</v>
      </c>
    </row>
    <row r="66" spans="2:6">
      <c r="B66" s="580"/>
      <c r="C66" s="581"/>
      <c r="D66" s="580"/>
      <c r="E66" s="580"/>
      <c r="F66" s="582"/>
    </row>
    <row r="67" ht="49.5" customHeight="1" spans="2:6">
      <c r="B67" s="580" t="s">
        <v>119</v>
      </c>
      <c r="C67" s="581" t="s">
        <v>120</v>
      </c>
      <c r="D67" s="580" t="s">
        <v>69</v>
      </c>
      <c r="E67" s="580" t="s">
        <v>62</v>
      </c>
      <c r="F67" s="582">
        <v>1500000</v>
      </c>
    </row>
    <row r="68" spans="2:6">
      <c r="B68" s="580"/>
      <c r="C68" s="581"/>
      <c r="D68" s="580"/>
      <c r="E68" s="580"/>
      <c r="F68" s="582"/>
    </row>
    <row r="69" ht="24" customHeight="1" spans="2:6">
      <c r="B69" s="583" t="s">
        <v>121</v>
      </c>
      <c r="C69" s="585" t="s">
        <v>122</v>
      </c>
      <c r="D69" s="580"/>
      <c r="E69" s="580"/>
      <c r="F69" s="582"/>
    </row>
    <row r="70" ht="51.75" customHeight="1" spans="2:6">
      <c r="B70" s="580" t="s">
        <v>123</v>
      </c>
      <c r="C70" s="581" t="s">
        <v>124</v>
      </c>
      <c r="D70" s="580"/>
      <c r="E70" s="580" t="s">
        <v>62</v>
      </c>
      <c r="F70" s="587">
        <v>16750000</v>
      </c>
    </row>
    <row r="71" spans="2:6">
      <c r="B71" s="580"/>
      <c r="C71" s="581"/>
      <c r="D71" s="580"/>
      <c r="E71" s="580"/>
      <c r="F71" s="587"/>
    </row>
    <row r="72" spans="2:6">
      <c r="B72" s="580"/>
      <c r="C72" s="584" t="s">
        <v>125</v>
      </c>
      <c r="D72" s="580"/>
      <c r="E72" s="580"/>
      <c r="F72" s="605">
        <f>SUM(F9:F71)</f>
        <v>81569500</v>
      </c>
    </row>
    <row r="73" spans="2:6">
      <c r="B73" s="580"/>
      <c r="C73" s="584" t="s">
        <v>126</v>
      </c>
      <c r="D73" s="580"/>
      <c r="E73" s="580"/>
      <c r="F73" s="605"/>
    </row>
    <row r="74" spans="2:6">
      <c r="B74" s="595"/>
      <c r="C74" s="596"/>
      <c r="D74" s="595"/>
      <c r="E74" s="595"/>
      <c r="F74" s="597"/>
    </row>
  </sheetData>
  <mergeCells count="4">
    <mergeCell ref="B2:F2"/>
    <mergeCell ref="B3:F3"/>
    <mergeCell ref="B4:C4"/>
    <mergeCell ref="F72:F73"/>
  </mergeCells>
  <pageMargins left="0.85" right="0" top="0.35" bottom="0.15" header="0.3" footer="0.05"/>
  <pageSetup paperSize="9" firstPageNumber="3" orientation="portrait" useFirstPageNumber="1"/>
  <headerFooter>
    <oddFooter>&amp;C&amp;P</oddFooter>
  </headerFooter>
  <rowBreaks count="2" manualBreakCount="2">
    <brk id="34" max="5" man="1"/>
    <brk id="58" max="5"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B2:D38"/>
  <sheetViews>
    <sheetView view="pageBreakPreview" zoomScaleNormal="100" workbookViewId="0">
      <selection activeCell="F37" sqref="F37"/>
    </sheetView>
  </sheetViews>
  <sheetFormatPr defaultColWidth="10.287037037037" defaultRowHeight="14.4" outlineLevelCol="3"/>
  <cols>
    <col min="1" max="1" width="9.13888888888889" style="542" customWidth="1"/>
    <col min="2" max="2" width="10.287037037037" style="542" customWidth="1"/>
    <col min="3" max="3" width="44.8518518518519" style="542" customWidth="1"/>
    <col min="4" max="4" width="30.712962962963" style="543" customWidth="1"/>
    <col min="5" max="16384" width="10.287037037037" style="542"/>
  </cols>
  <sheetData>
    <row r="2" ht="25.5" customHeight="1" spans="2:4">
      <c r="B2" s="544" t="s">
        <v>20</v>
      </c>
      <c r="C2" s="544"/>
      <c r="D2" s="544"/>
    </row>
    <row r="3" ht="25.5" customHeight="1" spans="2:4">
      <c r="B3" s="545" t="s">
        <v>37</v>
      </c>
      <c r="C3" s="545"/>
      <c r="D3" s="545"/>
    </row>
    <row r="4" ht="25.5" customHeight="1" spans="2:4">
      <c r="B4" s="544" t="s">
        <v>127</v>
      </c>
      <c r="C4" s="544"/>
      <c r="D4" s="544"/>
    </row>
    <row r="5" s="541" customFormat="1" spans="2:4">
      <c r="B5" s="546"/>
      <c r="C5" s="546"/>
      <c r="D5" s="546"/>
    </row>
    <row r="6" ht="33" customHeight="1" spans="2:4">
      <c r="B6" s="547" t="s">
        <v>128</v>
      </c>
      <c r="C6" s="547" t="s">
        <v>2</v>
      </c>
      <c r="D6" s="548" t="s">
        <v>129</v>
      </c>
    </row>
    <row r="7" spans="2:4">
      <c r="B7" s="549"/>
      <c r="C7" s="550"/>
      <c r="D7" s="551"/>
    </row>
    <row r="8" ht="18.75" customHeight="1" spans="2:4">
      <c r="B8" s="552" t="s">
        <v>66</v>
      </c>
      <c r="C8" s="553" t="s">
        <v>130</v>
      </c>
      <c r="D8" s="554">
        <f>E.wk!G62</f>
        <v>6450101</v>
      </c>
    </row>
    <row r="9" ht="18.75" customHeight="1" spans="2:4">
      <c r="B9" s="552"/>
      <c r="C9" s="553"/>
      <c r="D9" s="555"/>
    </row>
    <row r="10" ht="18.75" customHeight="1" spans="2:4">
      <c r="B10" s="552" t="s">
        <v>96</v>
      </c>
      <c r="C10" s="553" t="s">
        <v>131</v>
      </c>
      <c r="D10" s="554">
        <f>Concrete!G1016</f>
        <v>627880545.816</v>
      </c>
    </row>
    <row r="11" ht="18.75" customHeight="1" spans="2:4">
      <c r="B11" s="552"/>
      <c r="C11" s="553"/>
      <c r="D11" s="555"/>
    </row>
    <row r="12" ht="18.75" customHeight="1" spans="2:4">
      <c r="B12" s="552" t="s">
        <v>114</v>
      </c>
      <c r="C12" s="553" t="s">
        <v>132</v>
      </c>
      <c r="D12" s="554">
        <f>masonry!G44</f>
        <v>65734512</v>
      </c>
    </row>
    <row r="13" ht="18.75" customHeight="1" spans="2:4">
      <c r="B13" s="552"/>
      <c r="C13" s="553"/>
      <c r="D13" s="555"/>
    </row>
    <row r="14" ht="18.75" customHeight="1" spans="2:4">
      <c r="B14" s="552" t="s">
        <v>133</v>
      </c>
      <c r="C14" s="553" t="s">
        <v>134</v>
      </c>
      <c r="D14" s="554">
        <f>W.proof!G103</f>
        <v>51369263</v>
      </c>
    </row>
    <row r="15" ht="18.75" customHeight="1" spans="2:4">
      <c r="B15" s="552"/>
      <c r="C15" s="553"/>
      <c r="D15" s="556"/>
    </row>
    <row r="16" ht="18.75" customHeight="1" spans="2:4">
      <c r="B16" s="552" t="s">
        <v>135</v>
      </c>
      <c r="C16" s="553" t="s">
        <v>136</v>
      </c>
      <c r="D16" s="556">
        <f>'Metal wk'!G511</f>
        <v>138018049</v>
      </c>
    </row>
    <row r="17" ht="18.75" customHeight="1" spans="2:4">
      <c r="B17" s="552"/>
      <c r="C17" s="553"/>
      <c r="D17" s="556"/>
    </row>
    <row r="18" ht="18.75" customHeight="1" spans="2:4">
      <c r="B18" s="552" t="s">
        <v>137</v>
      </c>
      <c r="C18" s="553" t="s">
        <v>138</v>
      </c>
      <c r="D18" s="556">
        <f>roofing!G41</f>
        <v>5578933</v>
      </c>
    </row>
    <row r="19" ht="18.75" customHeight="1" spans="2:4">
      <c r="B19" s="552"/>
      <c r="C19" s="553"/>
      <c r="D19" s="556"/>
    </row>
    <row r="20" ht="18.75" customHeight="1" spans="2:4">
      <c r="B20" s="552" t="s">
        <v>139</v>
      </c>
      <c r="C20" s="553" t="s">
        <v>140</v>
      </c>
      <c r="D20" s="557" t="s">
        <v>141</v>
      </c>
    </row>
    <row r="21" ht="18.75" customHeight="1" spans="2:4">
      <c r="B21" s="552"/>
      <c r="C21" s="553"/>
      <c r="D21" s="558"/>
    </row>
    <row r="22" ht="18.75" customHeight="1" spans="2:4">
      <c r="B22" s="552" t="s">
        <v>142</v>
      </c>
      <c r="C22" s="553" t="s">
        <v>143</v>
      </c>
      <c r="D22" s="558">
        <f>Elec!G878</f>
        <v>172924342</v>
      </c>
    </row>
    <row r="23" ht="18.75" customHeight="1" spans="2:4">
      <c r="B23" s="552"/>
      <c r="C23" s="553"/>
      <c r="D23" s="558"/>
    </row>
    <row r="24" ht="18.75" customHeight="1" spans="2:4">
      <c r="B24" s="552" t="s">
        <v>144</v>
      </c>
      <c r="C24" s="553" t="s">
        <v>145</v>
      </c>
      <c r="D24" s="556">
        <f>Finishes!G285</f>
        <v>267292814.846</v>
      </c>
    </row>
    <row r="25" ht="18.75" customHeight="1" spans="2:4">
      <c r="B25" s="552"/>
      <c r="C25" s="553"/>
      <c r="D25" s="556"/>
    </row>
    <row r="26" ht="18.75" customHeight="1" spans="2:4">
      <c r="B26" s="552" t="s">
        <v>146</v>
      </c>
      <c r="C26" s="553" t="s">
        <v>147</v>
      </c>
      <c r="D26" s="556">
        <f>Painting!G65</f>
        <v>34677025</v>
      </c>
    </row>
    <row r="27" ht="18.75" customHeight="1" spans="2:4">
      <c r="B27" s="552"/>
      <c r="C27" s="553"/>
      <c r="D27" s="558"/>
    </row>
    <row r="28" ht="18.75" customHeight="1" spans="2:4">
      <c r="B28" s="552" t="s">
        <v>148</v>
      </c>
      <c r="C28" s="559" t="s">
        <v>149</v>
      </c>
      <c r="D28" s="557" t="s">
        <v>141</v>
      </c>
    </row>
    <row r="29" ht="18.75" customHeight="1" spans="2:4">
      <c r="B29" s="552"/>
      <c r="C29" s="559"/>
      <c r="D29" s="556"/>
    </row>
    <row r="30" ht="18.75" customHeight="1" spans="2:4">
      <c r="B30" s="552" t="s">
        <v>150</v>
      </c>
      <c r="C30" s="559" t="s">
        <v>151</v>
      </c>
      <c r="D30" s="556">
        <f>miscell!G106</f>
        <v>15462326</v>
      </c>
    </row>
    <row r="31" spans="2:4">
      <c r="B31" s="552"/>
      <c r="C31" s="559"/>
      <c r="D31" s="556"/>
    </row>
    <row r="32" ht="28.5" customHeight="1" spans="2:4">
      <c r="B32" s="552"/>
      <c r="C32" s="560" t="s">
        <v>152</v>
      </c>
      <c r="D32" s="561">
        <f>SUM(D8:D30)</f>
        <v>1385387911.662</v>
      </c>
    </row>
    <row r="33" ht="15.15" spans="2:4">
      <c r="B33" s="562"/>
      <c r="C33" s="563"/>
      <c r="D33" s="564"/>
    </row>
    <row r="35" spans="4:4">
      <c r="D35" s="565"/>
    </row>
    <row r="36" spans="4:4">
      <c r="D36" s="565"/>
    </row>
    <row r="37" spans="4:4">
      <c r="D37" s="565"/>
    </row>
    <row r="38" spans="4:4">
      <c r="D38" s="565"/>
    </row>
  </sheetData>
  <mergeCells count="3">
    <mergeCell ref="B2:D2"/>
    <mergeCell ref="B3:D3"/>
    <mergeCell ref="B4:D4"/>
  </mergeCells>
  <pageMargins left="1.1" right="0.15" top="0.35" bottom="0.3" header="0.3" footer="0.15"/>
  <pageSetup paperSize="9" firstPageNumber="6" orientation="portrait" useFirstPageNumber="1"/>
  <headerFooter>
    <oddFooter>&amp;C&amp;P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B2:I63"/>
  <sheetViews>
    <sheetView view="pageBreakPreview" zoomScaleNormal="100" workbookViewId="0">
      <selection activeCell="A8" sqref="A8"/>
    </sheetView>
  </sheetViews>
  <sheetFormatPr defaultColWidth="10.287037037037" defaultRowHeight="13.8"/>
  <cols>
    <col min="1" max="1" width="9.13888888888889" style="323" customWidth="1"/>
    <col min="2" max="2" width="9.71296296296296" style="348" customWidth="1"/>
    <col min="3" max="3" width="39.5740740740741" style="323" customWidth="1"/>
    <col min="4" max="4" width="7.42592592592593" style="323" customWidth="1"/>
    <col min="5" max="5" width="10.712962962963" style="352" customWidth="1"/>
    <col min="6" max="6" width="12.4259259259259" style="352" customWidth="1"/>
    <col min="7" max="7" width="14.8518518518519" style="352" customWidth="1"/>
    <col min="8" max="16384" width="10.287037037037" style="323"/>
  </cols>
  <sheetData>
    <row r="2" s="1" customFormat="1" ht="21" customHeight="1" spans="2:7">
      <c r="B2" s="5" t="s">
        <v>20</v>
      </c>
      <c r="C2" s="5"/>
      <c r="D2" s="5"/>
      <c r="E2" s="5"/>
      <c r="F2" s="5"/>
      <c r="G2" s="5"/>
    </row>
    <row r="3" s="1" customFormat="1" ht="21" customHeight="1" spans="2:7">
      <c r="B3" s="7" t="s">
        <v>37</v>
      </c>
      <c r="C3" s="7"/>
      <c r="D3" s="7"/>
      <c r="E3" s="7"/>
      <c r="F3" s="7"/>
      <c r="G3" s="7"/>
    </row>
    <row r="4" s="1" customFormat="1" ht="26.25" customHeight="1" spans="2:7">
      <c r="B4" s="132" t="s">
        <v>153</v>
      </c>
      <c r="C4" s="132"/>
      <c r="D4" s="530" t="s">
        <v>154</v>
      </c>
      <c r="E4" s="530"/>
      <c r="F4" s="530"/>
      <c r="G4" s="530"/>
    </row>
    <row r="5" ht="22.5" customHeight="1" spans="2:7">
      <c r="B5" s="531" t="s">
        <v>155</v>
      </c>
      <c r="C5" s="531" t="s">
        <v>2</v>
      </c>
      <c r="D5" s="531" t="s">
        <v>156</v>
      </c>
      <c r="E5" s="532" t="s">
        <v>157</v>
      </c>
      <c r="F5" s="426" t="s">
        <v>158</v>
      </c>
      <c r="G5" s="426" t="s">
        <v>159</v>
      </c>
    </row>
    <row r="6" spans="2:7">
      <c r="B6" s="93"/>
      <c r="C6" s="94"/>
      <c r="D6" s="93"/>
      <c r="E6" s="533"/>
      <c r="F6" s="429"/>
      <c r="G6" s="429"/>
    </row>
    <row r="7" ht="17.25" customHeight="1" spans="2:7">
      <c r="B7" s="534" t="s">
        <v>160</v>
      </c>
      <c r="C7" s="480" t="s">
        <v>154</v>
      </c>
      <c r="D7" s="93"/>
      <c r="E7" s="533"/>
      <c r="F7" s="429"/>
      <c r="G7" s="429"/>
    </row>
    <row r="8" ht="9" customHeight="1" spans="2:7">
      <c r="B8" s="93"/>
      <c r="C8" s="94"/>
      <c r="D8" s="93"/>
      <c r="E8" s="533"/>
      <c r="F8" s="429"/>
      <c r="G8" s="429"/>
    </row>
    <row r="9" ht="18" customHeight="1" spans="2:7">
      <c r="B9" s="359"/>
      <c r="C9" s="150" t="s">
        <v>161</v>
      </c>
      <c r="D9" s="93"/>
      <c r="E9" s="533"/>
      <c r="F9" s="429"/>
      <c r="G9" s="429"/>
    </row>
    <row r="10" ht="18" customHeight="1" spans="2:7">
      <c r="B10" s="59"/>
      <c r="C10" s="20" t="s">
        <v>162</v>
      </c>
      <c r="D10" s="535" t="s">
        <v>163</v>
      </c>
      <c r="E10" s="64"/>
      <c r="F10" s="429"/>
      <c r="G10" s="429"/>
    </row>
    <row r="11" ht="12.75" customHeight="1" spans="2:7">
      <c r="B11" s="59"/>
      <c r="C11" s="20"/>
      <c r="D11" s="536"/>
      <c r="E11" s="64"/>
      <c r="F11" s="429"/>
      <c r="G11" s="429"/>
    </row>
    <row r="12" ht="42" customHeight="1" spans="2:7">
      <c r="B12" s="59"/>
      <c r="C12" s="537" t="s">
        <v>164</v>
      </c>
      <c r="D12" s="535" t="s">
        <v>163</v>
      </c>
      <c r="E12" s="64"/>
      <c r="F12" s="429"/>
      <c r="G12" s="429"/>
    </row>
    <row r="13" ht="6.75" customHeight="1" spans="2:7">
      <c r="B13" s="59"/>
      <c r="C13" s="537"/>
      <c r="D13" s="535"/>
      <c r="E13" s="64"/>
      <c r="F13" s="429"/>
      <c r="G13" s="429"/>
    </row>
    <row r="14" ht="45.75" customHeight="1" spans="2:7">
      <c r="B14" s="59"/>
      <c r="C14" s="537" t="s">
        <v>165</v>
      </c>
      <c r="D14" s="535" t="s">
        <v>163</v>
      </c>
      <c r="E14" s="64"/>
      <c r="F14" s="429"/>
      <c r="G14" s="429"/>
    </row>
    <row r="15" spans="2:7">
      <c r="B15" s="59"/>
      <c r="C15" s="537"/>
      <c r="D15" s="535"/>
      <c r="E15" s="64"/>
      <c r="F15" s="429"/>
      <c r="G15" s="429"/>
    </row>
    <row r="16" ht="18" customHeight="1" spans="2:7">
      <c r="B16" s="59"/>
      <c r="C16" s="537" t="s">
        <v>166</v>
      </c>
      <c r="D16" s="535" t="s">
        <v>163</v>
      </c>
      <c r="E16" s="64"/>
      <c r="F16" s="429"/>
      <c r="G16" s="429"/>
    </row>
    <row r="17" ht="9" customHeight="1" spans="2:7">
      <c r="B17" s="59"/>
      <c r="C17" s="537"/>
      <c r="D17" s="535"/>
      <c r="E17" s="64"/>
      <c r="F17" s="429"/>
      <c r="G17" s="429"/>
    </row>
    <row r="18" ht="44.25" customHeight="1" spans="2:7">
      <c r="B18" s="59"/>
      <c r="C18" s="537" t="s">
        <v>167</v>
      </c>
      <c r="D18" s="535" t="s">
        <v>163</v>
      </c>
      <c r="E18" s="64"/>
      <c r="F18" s="429"/>
      <c r="G18" s="429"/>
    </row>
    <row r="19" spans="2:7">
      <c r="B19" s="59"/>
      <c r="C19" s="537"/>
      <c r="D19" s="535"/>
      <c r="E19" s="64"/>
      <c r="F19" s="429"/>
      <c r="G19" s="429"/>
    </row>
    <row r="20" s="441" customFormat="1" ht="71.25" customHeight="1" spans="2:7">
      <c r="B20" s="59" t="s">
        <v>168</v>
      </c>
      <c r="C20" s="26" t="s">
        <v>169</v>
      </c>
      <c r="D20" s="59"/>
      <c r="E20" s="62"/>
      <c r="F20" s="370"/>
      <c r="G20" s="370"/>
    </row>
    <row r="21" s="441" customFormat="1" ht="18.75" customHeight="1" spans="2:7">
      <c r="B21" s="59" t="s">
        <v>168</v>
      </c>
      <c r="C21" s="538" t="s">
        <v>170</v>
      </c>
      <c r="D21" s="59"/>
      <c r="E21" s="62"/>
      <c r="F21" s="370"/>
      <c r="G21" s="370"/>
    </row>
    <row r="22" s="441" customFormat="1" ht="8.25" customHeight="1" spans="2:7">
      <c r="B22" s="59"/>
      <c r="C22" s="26"/>
      <c r="D22" s="59"/>
      <c r="E22" s="62"/>
      <c r="F22" s="370"/>
      <c r="G22" s="370"/>
    </row>
    <row r="23" s="441" customFormat="1" ht="18.75" customHeight="1" spans="2:8">
      <c r="B23" s="59" t="s">
        <v>171</v>
      </c>
      <c r="C23" s="26" t="s">
        <v>172</v>
      </c>
      <c r="D23" s="59" t="s">
        <v>173</v>
      </c>
      <c r="E23" s="62">
        <v>156</v>
      </c>
      <c r="F23" s="370">
        <v>1536</v>
      </c>
      <c r="G23" s="370">
        <f>E23*F23</f>
        <v>239616</v>
      </c>
      <c r="H23" s="539"/>
    </row>
    <row r="24" s="441" customFormat="1" ht="18.75" customHeight="1" spans="2:7">
      <c r="B24" s="59"/>
      <c r="C24" s="26"/>
      <c r="D24" s="59"/>
      <c r="E24" s="62"/>
      <c r="F24" s="370"/>
      <c r="G24" s="370">
        <f t="shared" ref="G24:G31" si="0">E24*F24</f>
        <v>0</v>
      </c>
    </row>
    <row r="25" s="441" customFormat="1" ht="18.75" customHeight="1" spans="2:7">
      <c r="B25" s="59" t="s">
        <v>174</v>
      </c>
      <c r="C25" s="26" t="s">
        <v>175</v>
      </c>
      <c r="D25" s="59" t="s">
        <v>173</v>
      </c>
      <c r="E25" s="62">
        <v>84</v>
      </c>
      <c r="F25" s="370">
        <v>1233</v>
      </c>
      <c r="G25" s="370">
        <f t="shared" si="0"/>
        <v>103572</v>
      </c>
    </row>
    <row r="26" s="441" customFormat="1" ht="18.75" customHeight="1" spans="2:7">
      <c r="B26" s="59"/>
      <c r="C26" s="26"/>
      <c r="D26" s="59"/>
      <c r="E26" s="62"/>
      <c r="F26" s="370"/>
      <c r="G26" s="370">
        <f t="shared" si="0"/>
        <v>0</v>
      </c>
    </row>
    <row r="27" s="441" customFormat="1" ht="18.75" customHeight="1" spans="2:7">
      <c r="B27" s="59" t="s">
        <v>176</v>
      </c>
      <c r="C27" s="26" t="s">
        <v>177</v>
      </c>
      <c r="D27" s="59" t="s">
        <v>173</v>
      </c>
      <c r="E27" s="62">
        <v>93</v>
      </c>
      <c r="F27" s="370">
        <v>1233</v>
      </c>
      <c r="G27" s="370">
        <f t="shared" si="0"/>
        <v>114669</v>
      </c>
    </row>
    <row r="28" s="441" customFormat="1" ht="18.75" customHeight="1" spans="2:7">
      <c r="B28" s="59"/>
      <c r="C28" s="26"/>
      <c r="D28" s="59"/>
      <c r="E28" s="62"/>
      <c r="F28" s="370"/>
      <c r="G28" s="370">
        <f t="shared" si="0"/>
        <v>0</v>
      </c>
    </row>
    <row r="29" s="441" customFormat="1" ht="18.75" customHeight="1" spans="2:7">
      <c r="B29" s="59" t="s">
        <v>178</v>
      </c>
      <c r="C29" s="26" t="s">
        <v>179</v>
      </c>
      <c r="D29" s="59" t="s">
        <v>173</v>
      </c>
      <c r="E29" s="62">
        <v>84</v>
      </c>
      <c r="F29" s="370">
        <v>1233</v>
      </c>
      <c r="G29" s="370">
        <f t="shared" si="0"/>
        <v>103572</v>
      </c>
    </row>
    <row r="30" s="441" customFormat="1" ht="18.75" customHeight="1" spans="2:7">
      <c r="B30" s="59"/>
      <c r="C30" s="26"/>
      <c r="D30" s="59"/>
      <c r="E30" s="62"/>
      <c r="F30" s="370"/>
      <c r="G30" s="370">
        <f t="shared" si="0"/>
        <v>0</v>
      </c>
    </row>
    <row r="31" s="441" customFormat="1" ht="18.75" customHeight="1" spans="2:7">
      <c r="B31" s="59" t="s">
        <v>180</v>
      </c>
      <c r="C31" s="26" t="s">
        <v>181</v>
      </c>
      <c r="D31" s="59" t="s">
        <v>173</v>
      </c>
      <c r="E31" s="62">
        <v>4</v>
      </c>
      <c r="F31" s="370">
        <v>1233</v>
      </c>
      <c r="G31" s="370">
        <f t="shared" si="0"/>
        <v>4932</v>
      </c>
    </row>
    <row r="32" s="441" customFormat="1" ht="18.75" customHeight="1" spans="2:7">
      <c r="B32" s="59"/>
      <c r="C32" s="26"/>
      <c r="D32" s="59"/>
      <c r="E32" s="62"/>
      <c r="F32" s="370"/>
      <c r="G32" s="370"/>
    </row>
    <row r="33" s="441" customFormat="1" ht="67.5" customHeight="1" spans="2:7">
      <c r="B33" s="59" t="s">
        <v>182</v>
      </c>
      <c r="C33" s="26" t="s">
        <v>183</v>
      </c>
      <c r="D33" s="59"/>
      <c r="E33" s="62"/>
      <c r="F33" s="370"/>
      <c r="G33" s="370"/>
    </row>
    <row r="34" s="441" customFormat="1" spans="2:7">
      <c r="B34" s="59"/>
      <c r="C34" s="26"/>
      <c r="D34" s="59"/>
      <c r="E34" s="62"/>
      <c r="F34" s="370"/>
      <c r="G34" s="370"/>
    </row>
    <row r="35" s="441" customFormat="1" ht="18.75" customHeight="1" spans="2:7">
      <c r="B35" s="59" t="s">
        <v>184</v>
      </c>
      <c r="C35" s="26" t="s">
        <v>185</v>
      </c>
      <c r="D35" s="59" t="s">
        <v>173</v>
      </c>
      <c r="E35" s="62">
        <v>512</v>
      </c>
      <c r="F35" s="484">
        <v>1258</v>
      </c>
      <c r="G35" s="370">
        <f>E35*F35</f>
        <v>644096</v>
      </c>
    </row>
    <row r="36" s="441" customFormat="1" ht="18.75" customHeight="1" spans="2:7">
      <c r="B36" s="59"/>
      <c r="C36" s="26"/>
      <c r="D36" s="59"/>
      <c r="E36" s="62"/>
      <c r="F36" s="370"/>
      <c r="G36" s="370">
        <f t="shared" ref="G36:G44" si="1">E36*F36</f>
        <v>0</v>
      </c>
    </row>
    <row r="37" s="441" customFormat="1" ht="23.25" customHeight="1" spans="2:7">
      <c r="B37" s="59" t="s">
        <v>186</v>
      </c>
      <c r="C37" s="538" t="s">
        <v>187</v>
      </c>
      <c r="D37" s="59"/>
      <c r="E37" s="62"/>
      <c r="F37" s="370"/>
      <c r="G37" s="370">
        <f t="shared" si="1"/>
        <v>0</v>
      </c>
    </row>
    <row r="38" s="441" customFormat="1" ht="30.75" customHeight="1" spans="2:7">
      <c r="B38" s="67" t="s">
        <v>188</v>
      </c>
      <c r="C38" s="31" t="s">
        <v>172</v>
      </c>
      <c r="D38" s="67" t="s">
        <v>173</v>
      </c>
      <c r="E38" s="68">
        <v>84</v>
      </c>
      <c r="F38" s="375">
        <v>1567</v>
      </c>
      <c r="G38" s="375">
        <f t="shared" si="1"/>
        <v>131628</v>
      </c>
    </row>
    <row r="39" s="441" customFormat="1" ht="18.75" customHeight="1" spans="2:7">
      <c r="B39" s="59"/>
      <c r="C39" s="26"/>
      <c r="D39" s="59"/>
      <c r="E39" s="62"/>
      <c r="F39" s="370"/>
      <c r="G39" s="370">
        <f t="shared" si="1"/>
        <v>0</v>
      </c>
    </row>
    <row r="40" s="441" customFormat="1" ht="18.75" customHeight="1" spans="2:7">
      <c r="B40" s="59" t="s">
        <v>189</v>
      </c>
      <c r="C40" s="26" t="s">
        <v>175</v>
      </c>
      <c r="D40" s="59" t="s">
        <v>173</v>
      </c>
      <c r="E40" s="62">
        <v>34</v>
      </c>
      <c r="F40" s="370">
        <v>1258</v>
      </c>
      <c r="G40" s="370">
        <f t="shared" si="1"/>
        <v>42772</v>
      </c>
    </row>
    <row r="41" s="441" customFormat="1" ht="18.75" customHeight="1" spans="2:7">
      <c r="B41" s="59"/>
      <c r="C41" s="26"/>
      <c r="D41" s="59"/>
      <c r="E41" s="62"/>
      <c r="F41" s="370"/>
      <c r="G41" s="370">
        <f t="shared" si="1"/>
        <v>0</v>
      </c>
    </row>
    <row r="42" s="441" customFormat="1" ht="18.75" customHeight="1" spans="2:7">
      <c r="B42" s="59" t="s">
        <v>190</v>
      </c>
      <c r="C42" s="26" t="s">
        <v>191</v>
      </c>
      <c r="D42" s="59" t="s">
        <v>173</v>
      </c>
      <c r="E42" s="62">
        <v>114</v>
      </c>
      <c r="F42" s="370">
        <v>1258</v>
      </c>
      <c r="G42" s="370">
        <f t="shared" si="1"/>
        <v>143412</v>
      </c>
    </row>
    <row r="43" s="441" customFormat="1" ht="18.75" customHeight="1" spans="2:7">
      <c r="B43" s="59"/>
      <c r="C43" s="26"/>
      <c r="D43" s="59"/>
      <c r="E43" s="62"/>
      <c r="F43" s="370"/>
      <c r="G43" s="370">
        <f t="shared" si="1"/>
        <v>0</v>
      </c>
    </row>
    <row r="44" s="441" customFormat="1" ht="18.75" customHeight="1" spans="2:7">
      <c r="B44" s="59" t="s">
        <v>192</v>
      </c>
      <c r="C44" s="26" t="s">
        <v>181</v>
      </c>
      <c r="D44" s="59" t="s">
        <v>173</v>
      </c>
      <c r="E44" s="62">
        <v>4</v>
      </c>
      <c r="F44" s="370">
        <v>1258</v>
      </c>
      <c r="G44" s="370">
        <f t="shared" si="1"/>
        <v>5032</v>
      </c>
    </row>
    <row r="45" s="441" customFormat="1" ht="18.75" customHeight="1" spans="2:7">
      <c r="B45" s="59"/>
      <c r="C45" s="26"/>
      <c r="D45" s="59"/>
      <c r="E45" s="62"/>
      <c r="F45" s="370"/>
      <c r="G45" s="370"/>
    </row>
    <row r="46" s="441" customFormat="1" ht="57.75" customHeight="1" spans="2:7">
      <c r="B46" s="59" t="s">
        <v>193</v>
      </c>
      <c r="C46" s="26" t="s">
        <v>194</v>
      </c>
      <c r="D46" s="59" t="s">
        <v>173</v>
      </c>
      <c r="E46" s="62">
        <v>100</v>
      </c>
      <c r="F46" s="370">
        <v>16380</v>
      </c>
      <c r="G46" s="370">
        <f>E46*F46</f>
        <v>1638000</v>
      </c>
    </row>
    <row r="47" s="441" customFormat="1" spans="2:7">
      <c r="B47" s="59"/>
      <c r="C47" s="26"/>
      <c r="D47" s="59"/>
      <c r="E47" s="62"/>
      <c r="F47" s="370"/>
      <c r="G47" s="370">
        <f>E47*F47</f>
        <v>0</v>
      </c>
    </row>
    <row r="48" s="441" customFormat="1" ht="45" customHeight="1" spans="2:7">
      <c r="B48" s="59" t="s">
        <v>195</v>
      </c>
      <c r="C48" s="26" t="s">
        <v>196</v>
      </c>
      <c r="D48" s="59"/>
      <c r="E48" s="62"/>
      <c r="F48" s="370"/>
      <c r="G48" s="370"/>
    </row>
    <row r="49" s="441" customFormat="1" ht="18.75" customHeight="1" spans="2:7">
      <c r="B49" s="59" t="s">
        <v>197</v>
      </c>
      <c r="C49" s="26" t="s">
        <v>198</v>
      </c>
      <c r="D49" s="59" t="s">
        <v>173</v>
      </c>
      <c r="E49" s="62">
        <v>988</v>
      </c>
      <c r="F49" s="370">
        <v>1010</v>
      </c>
      <c r="G49" s="370">
        <f>E49*F49</f>
        <v>997880</v>
      </c>
    </row>
    <row r="50" s="441" customFormat="1" ht="18.75" customHeight="1" spans="2:7">
      <c r="B50" s="59"/>
      <c r="C50" s="26"/>
      <c r="D50" s="59"/>
      <c r="E50" s="62"/>
      <c r="F50" s="370"/>
      <c r="G50" s="370">
        <f>E50*F50</f>
        <v>0</v>
      </c>
    </row>
    <row r="51" s="441" customFormat="1" ht="18.75" customHeight="1" spans="2:7">
      <c r="B51" s="59" t="s">
        <v>199</v>
      </c>
      <c r="C51" s="26" t="s">
        <v>200</v>
      </c>
      <c r="D51" s="59" t="s">
        <v>173</v>
      </c>
      <c r="E51" s="62">
        <v>492</v>
      </c>
      <c r="F51" s="370">
        <v>1010</v>
      </c>
      <c r="G51" s="370">
        <f>E51*F51</f>
        <v>496920</v>
      </c>
    </row>
    <row r="52" s="441" customFormat="1" ht="18.75" customHeight="1" spans="2:7">
      <c r="B52" s="59"/>
      <c r="C52" s="26"/>
      <c r="D52" s="59"/>
      <c r="E52" s="62"/>
      <c r="F52" s="370"/>
      <c r="G52" s="370"/>
    </row>
    <row r="53" s="441" customFormat="1" ht="70.5" customHeight="1" spans="2:7">
      <c r="B53" s="59" t="s">
        <v>201</v>
      </c>
      <c r="C53" s="192" t="s">
        <v>202</v>
      </c>
      <c r="D53" s="64"/>
      <c r="E53" s="62"/>
      <c r="F53" s="370"/>
      <c r="G53" s="370"/>
    </row>
    <row r="54" s="441" customFormat="1" ht="18.75" customHeight="1" spans="2:7">
      <c r="B54" s="59" t="s">
        <v>203</v>
      </c>
      <c r="C54" s="26" t="s">
        <v>204</v>
      </c>
      <c r="D54" s="64" t="s">
        <v>205</v>
      </c>
      <c r="E54" s="62">
        <v>1000</v>
      </c>
      <c r="F54" s="450">
        <v>692</v>
      </c>
      <c r="G54" s="370">
        <f>E54*F54</f>
        <v>692000</v>
      </c>
    </row>
    <row r="55" s="441" customFormat="1" ht="18.75" customHeight="1" spans="2:7">
      <c r="B55" s="59"/>
      <c r="C55" s="26"/>
      <c r="D55" s="59"/>
      <c r="E55" s="62"/>
      <c r="F55" s="370"/>
      <c r="G55" s="370"/>
    </row>
    <row r="56" s="441" customFormat="1" ht="18.75" customHeight="1" spans="2:9">
      <c r="B56" s="59" t="s">
        <v>206</v>
      </c>
      <c r="C56" s="26" t="s">
        <v>207</v>
      </c>
      <c r="D56" s="64" t="s">
        <v>205</v>
      </c>
      <c r="E56" s="62">
        <v>1000</v>
      </c>
      <c r="F56" s="370">
        <v>692</v>
      </c>
      <c r="G56" s="370">
        <f>E56*F56</f>
        <v>692000</v>
      </c>
      <c r="I56" s="351"/>
    </row>
    <row r="57" s="441" customFormat="1" ht="18.75" customHeight="1" spans="2:7">
      <c r="B57" s="59"/>
      <c r="C57" s="26"/>
      <c r="D57" s="59"/>
      <c r="E57" s="62"/>
      <c r="F57" s="370"/>
      <c r="G57" s="370"/>
    </row>
    <row r="58" s="441" customFormat="1" ht="69" customHeight="1" spans="2:7">
      <c r="B58" s="59" t="s">
        <v>208</v>
      </c>
      <c r="C58" s="26" t="s">
        <v>209</v>
      </c>
      <c r="D58" s="59" t="s">
        <v>210</v>
      </c>
      <c r="E58" s="396" t="s">
        <v>211</v>
      </c>
      <c r="F58" s="370" t="s">
        <v>212</v>
      </c>
      <c r="G58" s="370">
        <v>200000</v>
      </c>
    </row>
    <row r="59" s="441" customFormat="1" spans="2:7">
      <c r="B59" s="59"/>
      <c r="C59" s="26"/>
      <c r="D59" s="59"/>
      <c r="E59" s="62"/>
      <c r="F59" s="370"/>
      <c r="G59" s="370"/>
    </row>
    <row r="60" s="441" customFormat="1" ht="55.5" customHeight="1" spans="2:7">
      <c r="B60" s="59" t="s">
        <v>213</v>
      </c>
      <c r="C60" s="26" t="s">
        <v>214</v>
      </c>
      <c r="D60" s="59" t="s">
        <v>210</v>
      </c>
      <c r="E60" s="396" t="s">
        <v>211</v>
      </c>
      <c r="F60" s="370" t="s">
        <v>212</v>
      </c>
      <c r="G60" s="370">
        <v>200000</v>
      </c>
    </row>
    <row r="61" s="441" customFormat="1" spans="2:7">
      <c r="B61" s="59"/>
      <c r="C61" s="26"/>
      <c r="D61" s="59"/>
      <c r="E61" s="62"/>
      <c r="F61" s="370"/>
      <c r="G61" s="370"/>
    </row>
    <row r="62" s="440" customFormat="1" ht="21.75" customHeight="1" spans="2:7">
      <c r="B62" s="72"/>
      <c r="C62" s="363" t="s">
        <v>215</v>
      </c>
      <c r="D62" s="72"/>
      <c r="E62" s="435"/>
      <c r="F62" s="456" t="s">
        <v>216</v>
      </c>
      <c r="G62" s="457">
        <f>SUM(G23:G61)</f>
        <v>6450101</v>
      </c>
    </row>
    <row r="63" s="441" customFormat="1" ht="14.55" spans="2:7">
      <c r="B63" s="67"/>
      <c r="C63" s="31"/>
      <c r="D63" s="366"/>
      <c r="E63" s="367"/>
      <c r="F63" s="540"/>
      <c r="G63" s="540"/>
    </row>
  </sheetData>
  <mergeCells count="3">
    <mergeCell ref="B2:G2"/>
    <mergeCell ref="B3:G3"/>
    <mergeCell ref="B4:C4"/>
  </mergeCells>
  <pageMargins left="0.85" right="0.15" top="0.35" bottom="0.15" header="0.3" footer="0.3"/>
  <pageSetup paperSize="9" scale="97" firstPageNumber="7" orientation="portrait" useFirstPageNumber="1"/>
  <headerFooter>
    <oddFooter>&amp;C&amp;P</oddFooter>
  </headerFooter>
  <rowBreaks count="1" manualBreakCount="1">
    <brk id="38" max="6"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B2:J1035"/>
  <sheetViews>
    <sheetView view="pageBreakPreview" zoomScaleNormal="100" workbookViewId="0">
      <pane ySplit="5" topLeftCell="A427" activePane="bottomLeft" state="frozen"/>
      <selection/>
      <selection pane="bottomLeft" activeCell="C201" sqref="C201"/>
    </sheetView>
  </sheetViews>
  <sheetFormatPr defaultColWidth="10.287037037037" defaultRowHeight="13.8"/>
  <cols>
    <col min="1" max="1" width="9.13888888888889" style="323" customWidth="1"/>
    <col min="2" max="2" width="14.5740740740741" style="441" customWidth="1"/>
    <col min="3" max="3" width="39.4259259259259" style="440" customWidth="1"/>
    <col min="4" max="4" width="6.85185185185185" style="472" customWidth="1"/>
    <col min="5" max="5" width="11.1388888888889" style="473" customWidth="1"/>
    <col min="6" max="6" width="11.5740740740741" style="424" customWidth="1"/>
    <col min="7" max="7" width="17.1388888888889" style="424" customWidth="1"/>
    <col min="8" max="8" width="14.5740740740741" style="323" customWidth="1"/>
    <col min="9" max="9" width="11.712962962963" style="474" customWidth="1"/>
    <col min="10" max="10" width="36.5740740740741" style="323" customWidth="1"/>
    <col min="11" max="16384" width="10.287037037037" style="323"/>
  </cols>
  <sheetData>
    <row r="2" s="1" customFormat="1" ht="21" customHeight="1" spans="2:9">
      <c r="B2" s="5" t="s">
        <v>20</v>
      </c>
      <c r="C2" s="5"/>
      <c r="D2" s="5"/>
      <c r="E2" s="5"/>
      <c r="F2" s="5"/>
      <c r="G2" s="5"/>
      <c r="I2" s="487"/>
    </row>
    <row r="3" s="1" customFormat="1" ht="21" customHeight="1" spans="2:9">
      <c r="B3" s="7" t="s">
        <v>37</v>
      </c>
      <c r="C3" s="7"/>
      <c r="D3" s="7"/>
      <c r="E3" s="7"/>
      <c r="F3" s="7"/>
      <c r="G3" s="7"/>
      <c r="I3" s="487"/>
    </row>
    <row r="4" s="1" customFormat="1" ht="26.25" customHeight="1" spans="2:9">
      <c r="B4" s="132" t="s">
        <v>153</v>
      </c>
      <c r="C4" s="132"/>
      <c r="D4" s="353" t="s">
        <v>217</v>
      </c>
      <c r="E4" s="353"/>
      <c r="F4" s="353"/>
      <c r="G4" s="353"/>
      <c r="I4" s="487"/>
    </row>
    <row r="5" ht="22.5" customHeight="1" spans="2:10">
      <c r="B5" s="475" t="s">
        <v>155</v>
      </c>
      <c r="C5" s="475" t="s">
        <v>2</v>
      </c>
      <c r="D5" s="475" t="s">
        <v>156</v>
      </c>
      <c r="E5" s="476" t="s">
        <v>218</v>
      </c>
      <c r="F5" s="355" t="s">
        <v>158</v>
      </c>
      <c r="G5" s="355" t="s">
        <v>159</v>
      </c>
      <c r="J5" s="488"/>
    </row>
    <row r="6" spans="2:7">
      <c r="B6" s="477"/>
      <c r="C6" s="478"/>
      <c r="D6" s="477"/>
      <c r="E6" s="479"/>
      <c r="F6" s="444"/>
      <c r="G6" s="444"/>
    </row>
    <row r="7" ht="18.75" customHeight="1" spans="2:7">
      <c r="B7" s="359" t="s">
        <v>96</v>
      </c>
      <c r="C7" s="480" t="s">
        <v>217</v>
      </c>
      <c r="D7" s="360"/>
      <c r="E7" s="481"/>
      <c r="F7" s="362"/>
      <c r="G7" s="362"/>
    </row>
    <row r="8" ht="18.75" customHeight="1" spans="2:7">
      <c r="B8" s="359"/>
      <c r="C8" s="480"/>
      <c r="D8" s="360"/>
      <c r="E8" s="481"/>
      <c r="F8" s="362"/>
      <c r="G8" s="362"/>
    </row>
    <row r="9" s="322" customFormat="1" ht="18.75" customHeight="1" spans="2:9">
      <c r="B9" s="59"/>
      <c r="C9" s="482" t="s">
        <v>219</v>
      </c>
      <c r="D9" s="59"/>
      <c r="E9" s="483"/>
      <c r="F9" s="371"/>
      <c r="G9" s="371"/>
      <c r="I9" s="489"/>
    </row>
    <row r="10" s="322" customFormat="1" ht="18.75" customHeight="1" spans="2:9">
      <c r="B10" s="59" t="s">
        <v>220</v>
      </c>
      <c r="C10" s="71" t="s">
        <v>221</v>
      </c>
      <c r="D10" s="59"/>
      <c r="E10" s="483"/>
      <c r="F10" s="371"/>
      <c r="G10" s="371"/>
      <c r="I10" s="489"/>
    </row>
    <row r="11" s="322" customFormat="1" ht="18.75" customHeight="1" spans="2:10">
      <c r="B11" s="59"/>
      <c r="C11" s="71" t="s">
        <v>222</v>
      </c>
      <c r="D11" s="59"/>
      <c r="E11" s="483"/>
      <c r="F11" s="371"/>
      <c r="G11" s="371"/>
      <c r="I11" s="489"/>
      <c r="J11" s="401">
        <f>SUM(G12:G462)</f>
        <v>309395500.816</v>
      </c>
    </row>
    <row r="12" s="322" customFormat="1" ht="18.75" customHeight="1" spans="2:9">
      <c r="B12" s="59" t="s">
        <v>223</v>
      </c>
      <c r="C12" s="192" t="s">
        <v>224</v>
      </c>
      <c r="D12" s="59" t="s">
        <v>225</v>
      </c>
      <c r="E12" s="483">
        <v>117</v>
      </c>
      <c r="F12" s="484">
        <v>645</v>
      </c>
      <c r="G12" s="371">
        <f>F12*E12</f>
        <v>75465</v>
      </c>
      <c r="I12" s="489"/>
    </row>
    <row r="13" s="322" customFormat="1" ht="18.75" customHeight="1" spans="2:9">
      <c r="B13" s="59"/>
      <c r="C13" s="71"/>
      <c r="D13" s="59"/>
      <c r="E13" s="483"/>
      <c r="F13" s="371">
        <v>0</v>
      </c>
      <c r="G13" s="371"/>
      <c r="I13" s="489"/>
    </row>
    <row r="14" s="322" customFormat="1" ht="18.75" customHeight="1" spans="2:9">
      <c r="B14" s="59" t="s">
        <v>226</v>
      </c>
      <c r="C14" s="192" t="s">
        <v>227</v>
      </c>
      <c r="D14" s="59" t="s">
        <v>225</v>
      </c>
      <c r="E14" s="483">
        <v>104</v>
      </c>
      <c r="F14" s="370">
        <v>645</v>
      </c>
      <c r="G14" s="371">
        <f>F14*E14</f>
        <v>67080</v>
      </c>
      <c r="I14" s="489"/>
    </row>
    <row r="15" s="322" customFormat="1" ht="18.75" customHeight="1" spans="2:9">
      <c r="B15" s="59"/>
      <c r="C15" s="192"/>
      <c r="D15" s="59"/>
      <c r="E15" s="483"/>
      <c r="F15" s="370">
        <v>0</v>
      </c>
      <c r="G15" s="371"/>
      <c r="I15" s="489"/>
    </row>
    <row r="16" s="322" customFormat="1" ht="18.75" customHeight="1" spans="2:9">
      <c r="B16" s="59" t="s">
        <v>228</v>
      </c>
      <c r="C16" s="192" t="s">
        <v>229</v>
      </c>
      <c r="D16" s="59" t="s">
        <v>225</v>
      </c>
      <c r="E16" s="483">
        <v>312</v>
      </c>
      <c r="F16" s="370">
        <v>645</v>
      </c>
      <c r="G16" s="371">
        <f>F16*E16</f>
        <v>201240</v>
      </c>
      <c r="I16" s="489"/>
    </row>
    <row r="17" s="322" customFormat="1" ht="18.75" customHeight="1" spans="2:9">
      <c r="B17" s="59"/>
      <c r="C17" s="192"/>
      <c r="D17" s="59"/>
      <c r="E17" s="483"/>
      <c r="F17" s="370">
        <v>0</v>
      </c>
      <c r="G17" s="371"/>
      <c r="I17" s="489"/>
    </row>
    <row r="18" s="322" customFormat="1" ht="18.75" customHeight="1" spans="2:9">
      <c r="B18" s="59" t="s">
        <v>230</v>
      </c>
      <c r="C18" s="192" t="s">
        <v>231</v>
      </c>
      <c r="D18" s="59" t="s">
        <v>225</v>
      </c>
      <c r="E18" s="483">
        <v>56</v>
      </c>
      <c r="F18" s="370">
        <v>645</v>
      </c>
      <c r="G18" s="371">
        <f>F18*E18</f>
        <v>36120</v>
      </c>
      <c r="I18" s="489"/>
    </row>
    <row r="19" s="322" customFormat="1" ht="18.75" customHeight="1" spans="2:9">
      <c r="B19" s="59"/>
      <c r="C19" s="192"/>
      <c r="D19" s="59"/>
      <c r="E19" s="483"/>
      <c r="F19" s="370">
        <v>0</v>
      </c>
      <c r="G19" s="371"/>
      <c r="I19" s="489"/>
    </row>
    <row r="20" s="322" customFormat="1" ht="18.75" customHeight="1" spans="2:9">
      <c r="B20" s="59" t="s">
        <v>232</v>
      </c>
      <c r="C20" s="192" t="s">
        <v>233</v>
      </c>
      <c r="D20" s="59" t="s">
        <v>225</v>
      </c>
      <c r="E20" s="483">
        <v>6</v>
      </c>
      <c r="F20" s="370">
        <v>645</v>
      </c>
      <c r="G20" s="371">
        <f>F20*E20</f>
        <v>3870</v>
      </c>
      <c r="I20" s="489"/>
    </row>
    <row r="21" s="322" customFormat="1" ht="18.75" customHeight="1" spans="2:9">
      <c r="B21" s="59"/>
      <c r="C21" s="192"/>
      <c r="D21" s="59"/>
      <c r="E21" s="483"/>
      <c r="F21" s="370">
        <v>0</v>
      </c>
      <c r="G21" s="371"/>
      <c r="I21" s="489"/>
    </row>
    <row r="22" s="322" customFormat="1" ht="18.75" customHeight="1" spans="2:9">
      <c r="B22" s="59" t="s">
        <v>234</v>
      </c>
      <c r="C22" s="192" t="s">
        <v>235</v>
      </c>
      <c r="D22" s="485" t="s">
        <v>225</v>
      </c>
      <c r="E22" s="483">
        <v>187</v>
      </c>
      <c r="F22" s="370">
        <v>645</v>
      </c>
      <c r="G22" s="371">
        <f>F22*E22</f>
        <v>120615</v>
      </c>
      <c r="H22" s="167" t="s">
        <v>236</v>
      </c>
      <c r="I22" s="489"/>
    </row>
    <row r="23" s="322" customFormat="1" ht="18.75" customHeight="1" spans="2:9">
      <c r="B23" s="59"/>
      <c r="C23" s="192"/>
      <c r="D23" s="59"/>
      <c r="E23" s="483"/>
      <c r="F23" s="370">
        <v>0</v>
      </c>
      <c r="G23" s="371"/>
      <c r="I23" s="489"/>
    </row>
    <row r="24" s="322" customFormat="1" ht="18.75" customHeight="1" spans="2:9">
      <c r="B24" s="59"/>
      <c r="C24" s="71" t="s">
        <v>237</v>
      </c>
      <c r="D24" s="59"/>
      <c r="E24" s="483"/>
      <c r="F24" s="370">
        <v>0</v>
      </c>
      <c r="G24" s="371"/>
      <c r="I24" s="489"/>
    </row>
    <row r="25" s="322" customFormat="1" ht="18.75" customHeight="1" spans="2:9">
      <c r="B25" s="59" t="s">
        <v>238</v>
      </c>
      <c r="C25" s="192" t="s">
        <v>224</v>
      </c>
      <c r="D25" s="59" t="s">
        <v>225</v>
      </c>
      <c r="E25" s="483">
        <v>48</v>
      </c>
      <c r="F25" s="370">
        <v>645</v>
      </c>
      <c r="G25" s="371">
        <f>F25*E25</f>
        <v>30960</v>
      </c>
      <c r="I25" s="489"/>
    </row>
    <row r="26" s="322" customFormat="1" ht="18.75" customHeight="1" spans="2:9">
      <c r="B26" s="59"/>
      <c r="C26" s="71"/>
      <c r="D26" s="59"/>
      <c r="E26" s="483"/>
      <c r="F26" s="370">
        <v>0</v>
      </c>
      <c r="G26" s="371"/>
      <c r="I26" s="489"/>
    </row>
    <row r="27" s="322" customFormat="1" ht="18.75" customHeight="1" spans="2:9">
      <c r="B27" s="59" t="s">
        <v>239</v>
      </c>
      <c r="C27" s="192" t="s">
        <v>240</v>
      </c>
      <c r="D27" s="59" t="s">
        <v>225</v>
      </c>
      <c r="E27" s="483">
        <v>56</v>
      </c>
      <c r="F27" s="370">
        <v>645</v>
      </c>
      <c r="G27" s="371">
        <f>F27*E27</f>
        <v>36120</v>
      </c>
      <c r="I27" s="489"/>
    </row>
    <row r="28" s="322" customFormat="1" ht="18.75" customHeight="1" spans="2:9">
      <c r="B28" s="59"/>
      <c r="C28" s="192"/>
      <c r="D28" s="59"/>
      <c r="E28" s="483"/>
      <c r="F28" s="370">
        <v>0</v>
      </c>
      <c r="G28" s="371"/>
      <c r="I28" s="489"/>
    </row>
    <row r="29" s="322" customFormat="1" ht="18.75" customHeight="1" spans="2:9">
      <c r="B29" s="59" t="s">
        <v>241</v>
      </c>
      <c r="C29" s="192" t="s">
        <v>242</v>
      </c>
      <c r="D29" s="59" t="s">
        <v>225</v>
      </c>
      <c r="E29" s="483">
        <v>226</v>
      </c>
      <c r="F29" s="370">
        <v>645</v>
      </c>
      <c r="G29" s="371">
        <f>F29*E29</f>
        <v>145770</v>
      </c>
      <c r="I29" s="489"/>
    </row>
    <row r="30" s="322" customFormat="1" ht="18.75" customHeight="1" spans="2:9">
      <c r="B30" s="59"/>
      <c r="C30" s="192"/>
      <c r="D30" s="59"/>
      <c r="E30" s="483"/>
      <c r="F30" s="370">
        <v>0</v>
      </c>
      <c r="G30" s="371"/>
      <c r="I30" s="489"/>
    </row>
    <row r="31" s="322" customFormat="1" ht="18.75" customHeight="1" spans="2:9">
      <c r="B31" s="59" t="s">
        <v>243</v>
      </c>
      <c r="C31" s="192" t="s">
        <v>233</v>
      </c>
      <c r="D31" s="59" t="s">
        <v>225</v>
      </c>
      <c r="E31" s="483">
        <v>2</v>
      </c>
      <c r="F31" s="370">
        <v>645</v>
      </c>
      <c r="G31" s="371">
        <f>F31*E31</f>
        <v>1290</v>
      </c>
      <c r="I31" s="489"/>
    </row>
    <row r="32" s="322" customFormat="1" ht="18.75" customHeight="1" spans="2:9">
      <c r="B32" s="59"/>
      <c r="C32" s="26"/>
      <c r="D32" s="59"/>
      <c r="E32" s="483"/>
      <c r="F32" s="371">
        <v>0</v>
      </c>
      <c r="G32" s="371"/>
      <c r="I32" s="489"/>
    </row>
    <row r="33" s="322" customFormat="1" ht="34.5" customHeight="1" spans="2:9">
      <c r="B33" s="359" t="s">
        <v>244</v>
      </c>
      <c r="C33" s="77" t="s">
        <v>245</v>
      </c>
      <c r="D33" s="59"/>
      <c r="E33" s="483"/>
      <c r="F33" s="370">
        <v>0</v>
      </c>
      <c r="G33" s="371"/>
      <c r="I33" s="489"/>
    </row>
    <row r="34" s="322" customFormat="1" ht="22.5" customHeight="1" spans="2:9">
      <c r="B34" s="59" t="s">
        <v>246</v>
      </c>
      <c r="C34" s="26" t="s">
        <v>247</v>
      </c>
      <c r="D34" s="59" t="s">
        <v>225</v>
      </c>
      <c r="E34" s="483">
        <v>1</v>
      </c>
      <c r="F34" s="370">
        <v>645</v>
      </c>
      <c r="G34" s="371">
        <f t="shared" ref="G34:G42" si="0">F34*E34</f>
        <v>645</v>
      </c>
      <c r="H34" s="401"/>
      <c r="I34" s="489"/>
    </row>
    <row r="35" s="322" customFormat="1" ht="22.5" customHeight="1" spans="2:9">
      <c r="B35" s="59" t="s">
        <v>248</v>
      </c>
      <c r="C35" s="26" t="s">
        <v>249</v>
      </c>
      <c r="D35" s="59" t="s">
        <v>225</v>
      </c>
      <c r="E35" s="483">
        <v>32</v>
      </c>
      <c r="F35" s="370">
        <v>665</v>
      </c>
      <c r="G35" s="371">
        <f t="shared" si="0"/>
        <v>21280</v>
      </c>
      <c r="H35" s="401"/>
      <c r="I35" s="489"/>
    </row>
    <row r="36" s="322" customFormat="1" ht="22.5" customHeight="1" spans="2:9">
      <c r="B36" s="59" t="s">
        <v>250</v>
      </c>
      <c r="C36" s="26" t="s">
        <v>251</v>
      </c>
      <c r="D36" s="59" t="s">
        <v>225</v>
      </c>
      <c r="E36" s="483">
        <v>28</v>
      </c>
      <c r="F36" s="370">
        <v>686</v>
      </c>
      <c r="G36" s="371">
        <f t="shared" si="0"/>
        <v>19208</v>
      </c>
      <c r="I36" s="489"/>
    </row>
    <row r="37" s="322" customFormat="1" ht="22.5" customHeight="1" spans="2:9">
      <c r="B37" s="59" t="s">
        <v>252</v>
      </c>
      <c r="C37" s="26" t="s">
        <v>253</v>
      </c>
      <c r="D37" s="59" t="s">
        <v>225</v>
      </c>
      <c r="E37" s="483">
        <v>34</v>
      </c>
      <c r="F37" s="370">
        <v>707</v>
      </c>
      <c r="G37" s="371">
        <f t="shared" si="0"/>
        <v>24038</v>
      </c>
      <c r="I37" s="489"/>
    </row>
    <row r="38" s="322" customFormat="1" ht="22.5" customHeight="1" spans="2:9">
      <c r="B38" s="59" t="s">
        <v>254</v>
      </c>
      <c r="C38" s="26" t="s">
        <v>255</v>
      </c>
      <c r="D38" s="59" t="s">
        <v>225</v>
      </c>
      <c r="E38" s="483">
        <v>19</v>
      </c>
      <c r="F38" s="370">
        <v>728</v>
      </c>
      <c r="G38" s="371">
        <f t="shared" si="0"/>
        <v>13832</v>
      </c>
      <c r="I38" s="489"/>
    </row>
    <row r="39" s="322" customFormat="1" ht="22.5" customHeight="1" spans="2:9">
      <c r="B39" s="59" t="s">
        <v>256</v>
      </c>
      <c r="C39" s="26" t="s">
        <v>257</v>
      </c>
      <c r="D39" s="59" t="s">
        <v>225</v>
      </c>
      <c r="E39" s="483">
        <v>14</v>
      </c>
      <c r="F39" s="370">
        <v>751</v>
      </c>
      <c r="G39" s="371">
        <f t="shared" si="0"/>
        <v>10514</v>
      </c>
      <c r="I39" s="489"/>
    </row>
    <row r="40" s="322" customFormat="1" ht="22.5" customHeight="1" spans="2:9">
      <c r="B40" s="59" t="s">
        <v>258</v>
      </c>
      <c r="C40" s="26" t="s">
        <v>259</v>
      </c>
      <c r="D40" s="59" t="s">
        <v>225</v>
      </c>
      <c r="E40" s="483">
        <v>12</v>
      </c>
      <c r="F40" s="370">
        <v>774</v>
      </c>
      <c r="G40" s="371">
        <f t="shared" si="0"/>
        <v>9288</v>
      </c>
      <c r="I40" s="489"/>
    </row>
    <row r="41" s="322" customFormat="1" ht="22.5" customHeight="1" spans="2:9">
      <c r="B41" s="59" t="s">
        <v>260</v>
      </c>
      <c r="C41" s="26" t="s">
        <v>261</v>
      </c>
      <c r="D41" s="59" t="s">
        <v>225</v>
      </c>
      <c r="E41" s="483">
        <v>12</v>
      </c>
      <c r="F41" s="370">
        <v>798</v>
      </c>
      <c r="G41" s="371">
        <f t="shared" si="0"/>
        <v>9576</v>
      </c>
      <c r="I41" s="489"/>
    </row>
    <row r="42" s="322" customFormat="1" ht="30.75" customHeight="1" spans="2:9">
      <c r="B42" s="67" t="s">
        <v>262</v>
      </c>
      <c r="C42" s="31" t="s">
        <v>263</v>
      </c>
      <c r="D42" s="67" t="s">
        <v>225</v>
      </c>
      <c r="E42" s="486">
        <v>20</v>
      </c>
      <c r="F42" s="375">
        <v>822</v>
      </c>
      <c r="G42" s="376">
        <f t="shared" si="0"/>
        <v>16440</v>
      </c>
      <c r="I42" s="489"/>
    </row>
    <row r="43" s="322" customFormat="1" spans="2:9">
      <c r="B43" s="59"/>
      <c r="C43" s="26"/>
      <c r="D43" s="59"/>
      <c r="E43" s="483"/>
      <c r="F43" s="371">
        <v>0</v>
      </c>
      <c r="G43" s="371"/>
      <c r="I43" s="489"/>
    </row>
    <row r="44" s="322" customFormat="1" ht="32.25" customHeight="1" spans="2:9">
      <c r="B44" s="359" t="s">
        <v>264</v>
      </c>
      <c r="C44" s="77" t="s">
        <v>265</v>
      </c>
      <c r="D44" s="59"/>
      <c r="E44" s="483"/>
      <c r="F44" s="371">
        <v>0</v>
      </c>
      <c r="G44" s="371"/>
      <c r="I44" s="489"/>
    </row>
    <row r="45" s="322" customFormat="1" ht="18" customHeight="1" spans="2:9">
      <c r="B45" s="59"/>
      <c r="C45" s="71" t="s">
        <v>222</v>
      </c>
      <c r="D45" s="59"/>
      <c r="E45" s="483"/>
      <c r="F45" s="371">
        <v>0</v>
      </c>
      <c r="G45" s="371"/>
      <c r="I45" s="489"/>
    </row>
    <row r="46" s="322" customFormat="1" ht="18.75" customHeight="1" spans="2:9">
      <c r="B46" s="59" t="s">
        <v>266</v>
      </c>
      <c r="C46" s="192" t="s">
        <v>224</v>
      </c>
      <c r="D46" s="59" t="s">
        <v>173</v>
      </c>
      <c r="E46" s="483">
        <v>183</v>
      </c>
      <c r="F46" s="370">
        <v>19392</v>
      </c>
      <c r="G46" s="371">
        <f>E46*F46</f>
        <v>3548736</v>
      </c>
      <c r="I46" s="489"/>
    </row>
    <row r="47" s="322" customFormat="1" ht="18.75" customHeight="1" spans="2:9">
      <c r="B47" s="59"/>
      <c r="C47" s="71"/>
      <c r="D47" s="59"/>
      <c r="E47" s="483"/>
      <c r="F47" s="370">
        <v>0</v>
      </c>
      <c r="G47" s="371"/>
      <c r="I47" s="489"/>
    </row>
    <row r="48" s="322" customFormat="1" ht="18.75" customHeight="1" spans="2:9">
      <c r="B48" s="59" t="s">
        <v>267</v>
      </c>
      <c r="C48" s="192" t="s">
        <v>227</v>
      </c>
      <c r="D48" s="59" t="s">
        <v>173</v>
      </c>
      <c r="E48" s="483">
        <v>42</v>
      </c>
      <c r="F48" s="370">
        <v>19392</v>
      </c>
      <c r="G48" s="371">
        <f>E48*F48</f>
        <v>814464</v>
      </c>
      <c r="I48" s="489"/>
    </row>
    <row r="49" s="322" customFormat="1" ht="18.75" customHeight="1" spans="2:9">
      <c r="B49" s="59"/>
      <c r="C49" s="192"/>
      <c r="D49" s="59"/>
      <c r="E49" s="483"/>
      <c r="F49" s="370">
        <v>0</v>
      </c>
      <c r="G49" s="371"/>
      <c r="I49" s="489"/>
    </row>
    <row r="50" s="322" customFormat="1" ht="30.75" customHeight="1" spans="2:9">
      <c r="B50" s="59" t="s">
        <v>268</v>
      </c>
      <c r="C50" s="192" t="s">
        <v>269</v>
      </c>
      <c r="D50" s="59" t="s">
        <v>173</v>
      </c>
      <c r="E50" s="483">
        <v>192</v>
      </c>
      <c r="F50" s="370">
        <v>19392</v>
      </c>
      <c r="G50" s="371">
        <f>E50*F50</f>
        <v>3723264</v>
      </c>
      <c r="I50" s="489"/>
    </row>
    <row r="51" s="322" customFormat="1" ht="18.75" customHeight="1" spans="2:9">
      <c r="B51" s="59"/>
      <c r="C51" s="192"/>
      <c r="D51" s="59"/>
      <c r="E51" s="483"/>
      <c r="F51" s="370">
        <v>0</v>
      </c>
      <c r="G51" s="371"/>
      <c r="I51" s="489"/>
    </row>
    <row r="52" s="322" customFormat="1" ht="18.75" customHeight="1" spans="2:9">
      <c r="B52" s="59" t="s">
        <v>270</v>
      </c>
      <c r="C52" s="192" t="s">
        <v>271</v>
      </c>
      <c r="D52" s="59" t="s">
        <v>173</v>
      </c>
      <c r="E52" s="483">
        <v>206</v>
      </c>
      <c r="F52" s="370">
        <v>19392</v>
      </c>
      <c r="G52" s="371">
        <f>E52*F52</f>
        <v>3994752</v>
      </c>
      <c r="I52" s="489"/>
    </row>
    <row r="53" s="322" customFormat="1" ht="18.75" customHeight="1" spans="2:9">
      <c r="B53" s="59"/>
      <c r="C53" s="192"/>
      <c r="D53" s="59"/>
      <c r="E53" s="483"/>
      <c r="F53" s="370">
        <v>0</v>
      </c>
      <c r="G53" s="371"/>
      <c r="I53" s="489"/>
    </row>
    <row r="54" s="322" customFormat="1" ht="18.75" customHeight="1" spans="2:9">
      <c r="B54" s="59" t="s">
        <v>272</v>
      </c>
      <c r="C54" s="192" t="s">
        <v>273</v>
      </c>
      <c r="D54" s="59" t="s">
        <v>173</v>
      </c>
      <c r="E54" s="483">
        <v>25</v>
      </c>
      <c r="F54" s="370">
        <v>19392</v>
      </c>
      <c r="G54" s="371">
        <f>E54*F54</f>
        <v>484800</v>
      </c>
      <c r="I54" s="489"/>
    </row>
    <row r="55" s="322" customFormat="1" ht="18.75" customHeight="1" spans="2:9">
      <c r="B55" s="59"/>
      <c r="C55" s="192"/>
      <c r="D55" s="59"/>
      <c r="E55" s="483"/>
      <c r="F55" s="370">
        <v>0</v>
      </c>
      <c r="G55" s="371"/>
      <c r="I55" s="489"/>
    </row>
    <row r="56" s="322" customFormat="1" ht="18.75" customHeight="1" spans="2:9">
      <c r="B56" s="59" t="s">
        <v>274</v>
      </c>
      <c r="C56" s="192" t="s">
        <v>275</v>
      </c>
      <c r="D56" s="59" t="s">
        <v>173</v>
      </c>
      <c r="E56" s="483">
        <v>19</v>
      </c>
      <c r="F56" s="370">
        <v>19392</v>
      </c>
      <c r="G56" s="371">
        <f>E56*F56</f>
        <v>368448</v>
      </c>
      <c r="I56" s="489"/>
    </row>
    <row r="57" s="322" customFormat="1" ht="18.75" customHeight="1" spans="2:9">
      <c r="B57" s="59"/>
      <c r="C57" s="192"/>
      <c r="D57" s="59"/>
      <c r="E57" s="483"/>
      <c r="F57" s="370">
        <v>0</v>
      </c>
      <c r="G57" s="371"/>
      <c r="I57" s="489"/>
    </row>
    <row r="58" s="322" customFormat="1" ht="18.75" customHeight="1" spans="2:9">
      <c r="B58" s="59" t="s">
        <v>276</v>
      </c>
      <c r="C58" s="192" t="s">
        <v>277</v>
      </c>
      <c r="D58" s="59" t="s">
        <v>173</v>
      </c>
      <c r="E58" s="483">
        <v>2</v>
      </c>
      <c r="F58" s="370">
        <v>19392</v>
      </c>
      <c r="G58" s="371">
        <f>E58*F58</f>
        <v>38784</v>
      </c>
      <c r="I58" s="489"/>
    </row>
    <row r="59" s="322" customFormat="1" ht="18.75" customHeight="1" spans="2:9">
      <c r="B59" s="59"/>
      <c r="C59" s="26"/>
      <c r="D59" s="59"/>
      <c r="E59" s="483"/>
      <c r="F59" s="370">
        <v>0</v>
      </c>
      <c r="G59" s="371"/>
      <c r="I59" s="489"/>
    </row>
    <row r="60" s="322" customFormat="1" ht="18.75" customHeight="1" spans="2:9">
      <c r="B60" s="59" t="s">
        <v>278</v>
      </c>
      <c r="C60" s="192" t="s">
        <v>279</v>
      </c>
      <c r="D60" s="59" t="s">
        <v>173</v>
      </c>
      <c r="E60" s="483">
        <v>25</v>
      </c>
      <c r="F60" s="370">
        <v>19392</v>
      </c>
      <c r="G60" s="371">
        <f>E60*F60</f>
        <v>484800</v>
      </c>
      <c r="I60" s="489"/>
    </row>
    <row r="61" s="322" customFormat="1" ht="18.75" customHeight="1" spans="2:9">
      <c r="B61" s="59"/>
      <c r="C61" s="192"/>
      <c r="D61" s="59"/>
      <c r="E61" s="483"/>
      <c r="F61" s="370">
        <v>0</v>
      </c>
      <c r="G61" s="371"/>
      <c r="I61" s="489"/>
    </row>
    <row r="62" s="322" customFormat="1" ht="18.75" customHeight="1" spans="2:9">
      <c r="B62" s="59" t="s">
        <v>280</v>
      </c>
      <c r="C62" s="192" t="s">
        <v>281</v>
      </c>
      <c r="D62" s="59" t="s">
        <v>173</v>
      </c>
      <c r="E62" s="483">
        <v>4</v>
      </c>
      <c r="F62" s="370">
        <v>19392</v>
      </c>
      <c r="G62" s="371">
        <f>E62*F62</f>
        <v>77568</v>
      </c>
      <c r="I62" s="489"/>
    </row>
    <row r="63" s="322" customFormat="1" ht="18.75" customHeight="1" spans="2:9">
      <c r="B63" s="59"/>
      <c r="C63" s="71"/>
      <c r="D63" s="59"/>
      <c r="E63" s="483"/>
      <c r="F63" s="370">
        <v>0</v>
      </c>
      <c r="G63" s="371"/>
      <c r="I63" s="489"/>
    </row>
    <row r="64" s="322" customFormat="1" ht="34.5" customHeight="1" spans="2:9">
      <c r="B64" s="59" t="s">
        <v>282</v>
      </c>
      <c r="C64" s="77" t="s">
        <v>283</v>
      </c>
      <c r="D64" s="59"/>
      <c r="E64" s="483"/>
      <c r="F64" s="371">
        <v>0</v>
      </c>
      <c r="G64" s="371"/>
      <c r="I64" s="489"/>
    </row>
    <row r="65" s="322" customFormat="1" ht="18.75" customHeight="1" spans="2:9">
      <c r="B65" s="59"/>
      <c r="C65" s="71" t="s">
        <v>284</v>
      </c>
      <c r="D65" s="59"/>
      <c r="E65" s="483"/>
      <c r="F65" s="371">
        <v>0</v>
      </c>
      <c r="G65" s="371"/>
      <c r="I65" s="489"/>
    </row>
    <row r="66" s="322" customFormat="1" ht="17.25" customHeight="1" spans="2:9">
      <c r="B66" s="59"/>
      <c r="C66" s="71" t="s">
        <v>285</v>
      </c>
      <c r="D66" s="59"/>
      <c r="E66" s="483"/>
      <c r="F66" s="371">
        <v>0</v>
      </c>
      <c r="G66" s="371"/>
      <c r="I66" s="489"/>
    </row>
    <row r="67" s="322" customFormat="1" ht="18.75" customHeight="1" spans="2:9">
      <c r="B67" s="59" t="s">
        <v>286</v>
      </c>
      <c r="C67" s="192" t="s">
        <v>287</v>
      </c>
      <c r="D67" s="59" t="s">
        <v>173</v>
      </c>
      <c r="E67" s="483">
        <v>66</v>
      </c>
      <c r="F67" s="484">
        <v>21003</v>
      </c>
      <c r="G67" s="371">
        <f>E67*F67</f>
        <v>1386198</v>
      </c>
      <c r="I67" s="489"/>
    </row>
    <row r="68" s="322" customFormat="1" ht="18.75" customHeight="1" spans="2:9">
      <c r="B68" s="59"/>
      <c r="C68" s="192"/>
      <c r="D68" s="59"/>
      <c r="E68" s="483"/>
      <c r="F68" s="370">
        <v>0</v>
      </c>
      <c r="G68" s="371"/>
      <c r="I68" s="489"/>
    </row>
    <row r="69" s="322" customFormat="1" ht="18.75" customHeight="1" spans="2:9">
      <c r="B69" s="59" t="s">
        <v>288</v>
      </c>
      <c r="C69" s="192" t="s">
        <v>289</v>
      </c>
      <c r="D69" s="59" t="s">
        <v>173</v>
      </c>
      <c r="E69" s="483">
        <v>40</v>
      </c>
      <c r="F69" s="370">
        <v>21003</v>
      </c>
      <c r="G69" s="371">
        <f>E69*F69</f>
        <v>840120</v>
      </c>
      <c r="I69" s="489"/>
    </row>
    <row r="70" s="322" customFormat="1" ht="18.75" customHeight="1" spans="2:9">
      <c r="B70" s="59"/>
      <c r="C70" s="192"/>
      <c r="D70" s="59"/>
      <c r="E70" s="483"/>
      <c r="F70" s="370">
        <v>0</v>
      </c>
      <c r="G70" s="371"/>
      <c r="I70" s="489"/>
    </row>
    <row r="71" s="322" customFormat="1" ht="18.75" customHeight="1" spans="2:9">
      <c r="B71" s="59" t="s">
        <v>290</v>
      </c>
      <c r="C71" s="192" t="s">
        <v>291</v>
      </c>
      <c r="D71" s="59" t="s">
        <v>173</v>
      </c>
      <c r="E71" s="483">
        <v>26</v>
      </c>
      <c r="F71" s="370">
        <v>21003</v>
      </c>
      <c r="G71" s="371">
        <f>E71*F71</f>
        <v>546078</v>
      </c>
      <c r="I71" s="489"/>
    </row>
    <row r="72" s="322" customFormat="1" ht="18.75" customHeight="1" spans="2:9">
      <c r="B72" s="59"/>
      <c r="C72" s="192"/>
      <c r="D72" s="59"/>
      <c r="E72" s="483"/>
      <c r="F72" s="370">
        <v>0</v>
      </c>
      <c r="G72" s="371"/>
      <c r="I72" s="489"/>
    </row>
    <row r="73" s="322" customFormat="1" ht="18.75" customHeight="1" spans="2:9">
      <c r="B73" s="59" t="s">
        <v>292</v>
      </c>
      <c r="C73" s="192" t="s">
        <v>293</v>
      </c>
      <c r="D73" s="59" t="s">
        <v>173</v>
      </c>
      <c r="E73" s="483">
        <v>5</v>
      </c>
      <c r="F73" s="370">
        <v>21003</v>
      </c>
      <c r="G73" s="371">
        <f>E73*F73</f>
        <v>105015</v>
      </c>
      <c r="I73" s="489"/>
    </row>
    <row r="74" s="322" customFormat="1" ht="18.75" customHeight="1" spans="2:9">
      <c r="B74" s="59"/>
      <c r="C74" s="192"/>
      <c r="D74" s="59"/>
      <c r="E74" s="483"/>
      <c r="F74" s="370">
        <v>0</v>
      </c>
      <c r="G74" s="371"/>
      <c r="I74" s="489"/>
    </row>
    <row r="75" s="322" customFormat="1" ht="31.5" customHeight="1" spans="2:9">
      <c r="B75" s="59" t="s">
        <v>294</v>
      </c>
      <c r="C75" s="192" t="s">
        <v>295</v>
      </c>
      <c r="D75" s="59" t="s">
        <v>163</v>
      </c>
      <c r="E75" s="483"/>
      <c r="F75" s="370">
        <v>0</v>
      </c>
      <c r="G75" s="371"/>
      <c r="I75" s="489"/>
    </row>
    <row r="76" s="322" customFormat="1" ht="18.75" customHeight="1" spans="2:9">
      <c r="B76" s="59"/>
      <c r="C76" s="192"/>
      <c r="D76" s="59"/>
      <c r="E76" s="483"/>
      <c r="F76" s="370">
        <v>0</v>
      </c>
      <c r="G76" s="371"/>
      <c r="I76" s="489"/>
    </row>
    <row r="77" s="322" customFormat="1" ht="18.75" customHeight="1" spans="2:9">
      <c r="B77" s="59"/>
      <c r="C77" s="490" t="s">
        <v>237</v>
      </c>
      <c r="D77" s="59"/>
      <c r="E77" s="483"/>
      <c r="F77" s="371">
        <v>0</v>
      </c>
      <c r="G77" s="371"/>
      <c r="I77" s="489"/>
    </row>
    <row r="78" s="322" customFormat="1" ht="18.75" customHeight="1" spans="2:9">
      <c r="B78" s="59" t="s">
        <v>296</v>
      </c>
      <c r="C78" s="192" t="s">
        <v>224</v>
      </c>
      <c r="D78" s="59" t="s">
        <v>173</v>
      </c>
      <c r="E78" s="483">
        <v>54</v>
      </c>
      <c r="F78" s="370">
        <v>21003</v>
      </c>
      <c r="G78" s="371">
        <f>E78*F78</f>
        <v>1134162</v>
      </c>
      <c r="I78" s="489"/>
    </row>
    <row r="79" s="322" customFormat="1" ht="18.75" customHeight="1" spans="2:9">
      <c r="B79" s="59"/>
      <c r="C79" s="71"/>
      <c r="D79" s="59"/>
      <c r="E79" s="483"/>
      <c r="F79" s="370">
        <v>0</v>
      </c>
      <c r="G79" s="371"/>
      <c r="I79" s="489"/>
    </row>
    <row r="80" s="322" customFormat="1" ht="18.75" customHeight="1" spans="2:9">
      <c r="B80" s="59" t="s">
        <v>297</v>
      </c>
      <c r="C80" s="192" t="s">
        <v>298</v>
      </c>
      <c r="D80" s="59" t="s">
        <v>173</v>
      </c>
      <c r="E80" s="483">
        <v>117</v>
      </c>
      <c r="F80" s="370">
        <v>21003</v>
      </c>
      <c r="G80" s="371">
        <f>E80*F80</f>
        <v>2457351</v>
      </c>
      <c r="I80" s="489"/>
    </row>
    <row r="81" s="322" customFormat="1" ht="18.75" customHeight="1" spans="2:9">
      <c r="B81" s="59"/>
      <c r="C81" s="192"/>
      <c r="D81" s="59"/>
      <c r="E81" s="483"/>
      <c r="F81" s="370">
        <v>0</v>
      </c>
      <c r="G81" s="371"/>
      <c r="I81" s="489"/>
    </row>
    <row r="82" s="322" customFormat="1" ht="18.75" customHeight="1" spans="2:9">
      <c r="B82" s="59" t="s">
        <v>299</v>
      </c>
      <c r="C82" s="192" t="s">
        <v>300</v>
      </c>
      <c r="D82" s="59" t="s">
        <v>173</v>
      </c>
      <c r="E82" s="483">
        <v>178</v>
      </c>
      <c r="F82" s="370">
        <v>21003</v>
      </c>
      <c r="G82" s="371">
        <f>E82*F82</f>
        <v>3738534</v>
      </c>
      <c r="I82" s="489"/>
    </row>
    <row r="83" s="322" customFormat="1" ht="18.75" customHeight="1" spans="2:9">
      <c r="B83" s="59"/>
      <c r="C83" s="192"/>
      <c r="D83" s="59"/>
      <c r="E83" s="483"/>
      <c r="F83" s="370">
        <v>0</v>
      </c>
      <c r="G83" s="371"/>
      <c r="I83" s="489"/>
    </row>
    <row r="84" s="322" customFormat="1" ht="18.75" customHeight="1" spans="2:9">
      <c r="B84" s="59" t="s">
        <v>301</v>
      </c>
      <c r="C84" s="192" t="s">
        <v>277</v>
      </c>
      <c r="D84" s="59" t="s">
        <v>173</v>
      </c>
      <c r="E84" s="483">
        <v>7</v>
      </c>
      <c r="F84" s="370">
        <v>21003</v>
      </c>
      <c r="G84" s="371">
        <f>E84*F84</f>
        <v>147021</v>
      </c>
      <c r="I84" s="489"/>
    </row>
    <row r="85" s="322" customFormat="1" ht="18.75" customHeight="1" spans="2:9">
      <c r="B85" s="59"/>
      <c r="C85" s="26"/>
      <c r="D85" s="59"/>
      <c r="E85" s="483"/>
      <c r="F85" s="370">
        <v>0</v>
      </c>
      <c r="G85" s="371"/>
      <c r="I85" s="489"/>
    </row>
    <row r="86" s="322" customFormat="1" ht="25.5" customHeight="1" spans="2:9">
      <c r="B86" s="67" t="s">
        <v>302</v>
      </c>
      <c r="C86" s="263" t="s">
        <v>303</v>
      </c>
      <c r="D86" s="67" t="s">
        <v>173</v>
      </c>
      <c r="E86" s="486">
        <v>6</v>
      </c>
      <c r="F86" s="375">
        <v>21003</v>
      </c>
      <c r="G86" s="376">
        <f>E86*F86</f>
        <v>126018</v>
      </c>
      <c r="I86" s="489"/>
    </row>
    <row r="87" s="322" customFormat="1" ht="18.75" customHeight="1" spans="2:9">
      <c r="B87" s="59"/>
      <c r="C87" s="26"/>
      <c r="D87" s="59"/>
      <c r="E87" s="483"/>
      <c r="F87" s="370">
        <v>0</v>
      </c>
      <c r="G87" s="371"/>
      <c r="I87" s="489"/>
    </row>
    <row r="88" s="322" customFormat="1" ht="18.75" customHeight="1" spans="2:9">
      <c r="B88" s="59" t="s">
        <v>304</v>
      </c>
      <c r="C88" s="192" t="s">
        <v>279</v>
      </c>
      <c r="D88" s="59" t="s">
        <v>173</v>
      </c>
      <c r="E88" s="483">
        <v>24</v>
      </c>
      <c r="F88" s="370">
        <v>21003</v>
      </c>
      <c r="G88" s="371">
        <f>E88*F88</f>
        <v>504072</v>
      </c>
      <c r="I88" s="489"/>
    </row>
    <row r="89" s="322" customFormat="1" ht="18.75" customHeight="1" spans="2:9">
      <c r="B89" s="59"/>
      <c r="C89" s="192"/>
      <c r="D89" s="59"/>
      <c r="E89" s="483"/>
      <c r="F89" s="370">
        <v>0</v>
      </c>
      <c r="G89" s="371"/>
      <c r="I89" s="489"/>
    </row>
    <row r="90" s="322" customFormat="1" ht="18.75" customHeight="1" spans="2:9">
      <c r="B90" s="59" t="s">
        <v>305</v>
      </c>
      <c r="C90" s="192" t="s">
        <v>306</v>
      </c>
      <c r="D90" s="59" t="s">
        <v>173</v>
      </c>
      <c r="E90" s="483">
        <v>3</v>
      </c>
      <c r="F90" s="370">
        <v>21003</v>
      </c>
      <c r="G90" s="371">
        <f>E90*F90</f>
        <v>63009</v>
      </c>
      <c r="I90" s="489"/>
    </row>
    <row r="91" s="322" customFormat="1" ht="18.75" customHeight="1" spans="2:9">
      <c r="B91" s="59"/>
      <c r="C91" s="192"/>
      <c r="D91" s="59"/>
      <c r="E91" s="483"/>
      <c r="F91" s="370">
        <v>0</v>
      </c>
      <c r="G91" s="371"/>
      <c r="I91" s="489"/>
    </row>
    <row r="92" s="322" customFormat="1" ht="30.75" customHeight="1" spans="2:9">
      <c r="B92" s="59" t="s">
        <v>307</v>
      </c>
      <c r="C92" s="77" t="s">
        <v>308</v>
      </c>
      <c r="D92" s="59"/>
      <c r="E92" s="483"/>
      <c r="F92" s="370">
        <v>0</v>
      </c>
      <c r="G92" s="371"/>
      <c r="I92" s="489"/>
    </row>
    <row r="93" s="322" customFormat="1" ht="9" customHeight="1" spans="2:9">
      <c r="B93" s="59"/>
      <c r="C93" s="71"/>
      <c r="D93" s="59"/>
      <c r="E93" s="483"/>
      <c r="F93" s="370">
        <v>0</v>
      </c>
      <c r="G93" s="371"/>
      <c r="I93" s="489"/>
    </row>
    <row r="94" s="322" customFormat="1" ht="80.25" customHeight="1" spans="2:9">
      <c r="B94" s="59" t="s">
        <v>309</v>
      </c>
      <c r="C94" s="252" t="s">
        <v>310</v>
      </c>
      <c r="D94" s="59" t="s">
        <v>173</v>
      </c>
      <c r="E94" s="483">
        <v>174</v>
      </c>
      <c r="F94" s="370">
        <v>28732</v>
      </c>
      <c r="G94" s="371">
        <f>E94*F94</f>
        <v>4999368</v>
      </c>
      <c r="I94" s="489"/>
    </row>
    <row r="95" s="322" customFormat="1" spans="2:9">
      <c r="B95" s="59"/>
      <c r="C95" s="71"/>
      <c r="D95" s="59"/>
      <c r="E95" s="483"/>
      <c r="F95" s="370">
        <v>0</v>
      </c>
      <c r="G95" s="371"/>
      <c r="I95" s="489"/>
    </row>
    <row r="96" s="322" customFormat="1" ht="28.5" customHeight="1" spans="2:9">
      <c r="B96" s="59" t="s">
        <v>311</v>
      </c>
      <c r="C96" s="252" t="s">
        <v>312</v>
      </c>
      <c r="D96" s="59" t="s">
        <v>173</v>
      </c>
      <c r="E96" s="483">
        <v>152</v>
      </c>
      <c r="F96" s="370">
        <v>28732</v>
      </c>
      <c r="G96" s="371">
        <f>E96*F96</f>
        <v>4367264</v>
      </c>
      <c r="I96" s="489"/>
    </row>
    <row r="97" s="322" customFormat="1" ht="9.75" customHeight="1" spans="2:9">
      <c r="B97" s="59"/>
      <c r="C97" s="71"/>
      <c r="D97" s="59"/>
      <c r="E97" s="483"/>
      <c r="F97" s="370"/>
      <c r="G97" s="371"/>
      <c r="I97" s="489"/>
    </row>
    <row r="98" s="322" customFormat="1" ht="18" customHeight="1" spans="2:9">
      <c r="B98" s="59" t="s">
        <v>313</v>
      </c>
      <c r="C98" s="490" t="s">
        <v>314</v>
      </c>
      <c r="D98" s="59"/>
      <c r="E98" s="483"/>
      <c r="F98" s="370"/>
      <c r="G98" s="371"/>
      <c r="I98" s="489"/>
    </row>
    <row r="99" s="322" customFormat="1" spans="2:9">
      <c r="B99" s="59"/>
      <c r="C99" s="71"/>
      <c r="D99" s="59"/>
      <c r="E99" s="483"/>
      <c r="F99" s="370"/>
      <c r="G99" s="371"/>
      <c r="I99" s="489"/>
    </row>
    <row r="100" s="322" customFormat="1" ht="32.25" customHeight="1" spans="2:9">
      <c r="B100" s="59" t="s">
        <v>313</v>
      </c>
      <c r="C100" s="71" t="s">
        <v>315</v>
      </c>
      <c r="D100" s="59"/>
      <c r="E100" s="483"/>
      <c r="F100" s="370"/>
      <c r="G100" s="371"/>
      <c r="I100" s="489"/>
    </row>
    <row r="101" s="322" customFormat="1" ht="69" customHeight="1" spans="2:9">
      <c r="B101" s="59"/>
      <c r="C101" s="71" t="s">
        <v>316</v>
      </c>
      <c r="D101" s="59"/>
      <c r="E101" s="483"/>
      <c r="F101" s="370"/>
      <c r="G101" s="371"/>
      <c r="I101" s="489"/>
    </row>
    <row r="102" s="322" customFormat="1" ht="18.75" customHeight="1" spans="2:9">
      <c r="B102" s="59" t="s">
        <v>317</v>
      </c>
      <c r="C102" s="71" t="s">
        <v>318</v>
      </c>
      <c r="D102" s="59"/>
      <c r="E102" s="483"/>
      <c r="F102" s="370"/>
      <c r="G102" s="371"/>
      <c r="I102" s="489"/>
    </row>
    <row r="103" s="322" customFormat="1" ht="18.75" customHeight="1" spans="2:9">
      <c r="B103" s="59"/>
      <c r="C103" s="71" t="s">
        <v>319</v>
      </c>
      <c r="D103" s="59"/>
      <c r="E103" s="483"/>
      <c r="F103" s="370"/>
      <c r="G103" s="371"/>
      <c r="I103" s="489"/>
    </row>
    <row r="104" s="322" customFormat="1" ht="22.5" customHeight="1" spans="2:9">
      <c r="B104" s="491" t="s">
        <v>320</v>
      </c>
      <c r="C104" s="192" t="s">
        <v>321</v>
      </c>
      <c r="D104" s="59" t="s">
        <v>322</v>
      </c>
      <c r="E104" s="483">
        <v>278</v>
      </c>
      <c r="F104" s="370">
        <v>41774.4</v>
      </c>
      <c r="G104" s="371">
        <f t="shared" ref="G104:G109" si="1">E104*F104</f>
        <v>11613283.2</v>
      </c>
      <c r="I104" s="489"/>
    </row>
    <row r="105" s="322" customFormat="1" ht="22.5" customHeight="1" spans="2:9">
      <c r="B105" s="491" t="s">
        <v>323</v>
      </c>
      <c r="C105" s="192" t="s">
        <v>324</v>
      </c>
      <c r="D105" s="59" t="s">
        <v>322</v>
      </c>
      <c r="E105" s="483">
        <v>3</v>
      </c>
      <c r="F105" s="370">
        <v>40557.552</v>
      </c>
      <c r="G105" s="371">
        <f t="shared" si="1"/>
        <v>121672.656</v>
      </c>
      <c r="I105" s="489"/>
    </row>
    <row r="106" s="322" customFormat="1" ht="22.5" customHeight="1" spans="2:9">
      <c r="B106" s="491" t="s">
        <v>323</v>
      </c>
      <c r="C106" s="192" t="s">
        <v>325</v>
      </c>
      <c r="D106" s="59" t="s">
        <v>322</v>
      </c>
      <c r="E106" s="483">
        <v>4</v>
      </c>
      <c r="F106" s="370">
        <v>39351.648</v>
      </c>
      <c r="G106" s="371">
        <f t="shared" si="1"/>
        <v>157406.592</v>
      </c>
      <c r="I106" s="489"/>
    </row>
    <row r="107" s="322" customFormat="1" ht="22.5" customHeight="1" spans="2:9">
      <c r="B107" s="491" t="s">
        <v>326</v>
      </c>
      <c r="C107" s="192" t="s">
        <v>327</v>
      </c>
      <c r="D107" s="59" t="s">
        <v>322</v>
      </c>
      <c r="E107" s="483">
        <v>11</v>
      </c>
      <c r="F107" s="370">
        <v>35554.272</v>
      </c>
      <c r="G107" s="371">
        <f t="shared" si="1"/>
        <v>391096.992</v>
      </c>
      <c r="I107" s="489"/>
    </row>
    <row r="108" s="322" customFormat="1" ht="22.5" customHeight="1" spans="2:9">
      <c r="B108" s="491" t="s">
        <v>328</v>
      </c>
      <c r="C108" s="192" t="s">
        <v>329</v>
      </c>
      <c r="D108" s="59" t="s">
        <v>322</v>
      </c>
      <c r="E108" s="483">
        <v>2</v>
      </c>
      <c r="F108" s="370">
        <v>32107.728</v>
      </c>
      <c r="G108" s="371">
        <f t="shared" si="1"/>
        <v>64215.456</v>
      </c>
      <c r="I108" s="489"/>
    </row>
    <row r="109" s="322" customFormat="1" ht="22.5" customHeight="1" spans="2:9">
      <c r="B109" s="491" t="s">
        <v>330</v>
      </c>
      <c r="C109" s="192" t="s">
        <v>331</v>
      </c>
      <c r="D109" s="59" t="s">
        <v>322</v>
      </c>
      <c r="E109" s="483">
        <v>2</v>
      </c>
      <c r="F109" s="370">
        <v>30702.96</v>
      </c>
      <c r="G109" s="371">
        <f t="shared" si="1"/>
        <v>61405.92</v>
      </c>
      <c r="I109" s="489"/>
    </row>
    <row r="110" s="322" customFormat="1" ht="18.75" customHeight="1" spans="2:9">
      <c r="B110" s="491"/>
      <c r="C110" s="192"/>
      <c r="D110" s="59"/>
      <c r="E110" s="483"/>
      <c r="F110" s="370"/>
      <c r="G110" s="371"/>
      <c r="I110" s="489"/>
    </row>
    <row r="111" s="322" customFormat="1" ht="22.5" customHeight="1" spans="2:9">
      <c r="B111" s="491" t="s">
        <v>332</v>
      </c>
      <c r="C111" s="71" t="s">
        <v>333</v>
      </c>
      <c r="D111" s="59"/>
      <c r="E111" s="483"/>
      <c r="F111" s="370"/>
      <c r="G111" s="371"/>
      <c r="I111" s="489"/>
    </row>
    <row r="112" s="322" customFormat="1" ht="22.5" customHeight="1" spans="2:9">
      <c r="B112" s="491"/>
      <c r="C112" s="71" t="s">
        <v>319</v>
      </c>
      <c r="D112" s="59"/>
      <c r="E112" s="483"/>
      <c r="F112" s="370"/>
      <c r="G112" s="371"/>
      <c r="I112" s="489"/>
    </row>
    <row r="113" s="322" customFormat="1" ht="22.5" customHeight="1" spans="2:9">
      <c r="B113" s="491" t="s">
        <v>334</v>
      </c>
      <c r="C113" s="192" t="s">
        <v>321</v>
      </c>
      <c r="D113" s="59" t="s">
        <v>322</v>
      </c>
      <c r="E113" s="483">
        <v>472</v>
      </c>
      <c r="F113" s="370">
        <v>42193</v>
      </c>
      <c r="G113" s="371">
        <f t="shared" ref="G113:G118" si="2">E113*F113</f>
        <v>19915096</v>
      </c>
      <c r="I113" s="489"/>
    </row>
    <row r="114" s="322" customFormat="1" ht="22.5" customHeight="1" spans="2:9">
      <c r="B114" s="491" t="s">
        <v>335</v>
      </c>
      <c r="C114" s="192" t="s">
        <v>324</v>
      </c>
      <c r="D114" s="59" t="s">
        <v>322</v>
      </c>
      <c r="E114" s="483"/>
      <c r="F114" s="370">
        <v>40964</v>
      </c>
      <c r="G114" s="371">
        <f t="shared" si="2"/>
        <v>0</v>
      </c>
      <c r="I114" s="489"/>
    </row>
    <row r="115" s="322" customFormat="1" ht="22.5" customHeight="1" spans="2:9">
      <c r="B115" s="491" t="s">
        <v>336</v>
      </c>
      <c r="C115" s="192" t="s">
        <v>325</v>
      </c>
      <c r="D115" s="59" t="s">
        <v>322</v>
      </c>
      <c r="E115" s="483">
        <v>1</v>
      </c>
      <c r="F115" s="370">
        <v>39746</v>
      </c>
      <c r="G115" s="371">
        <f t="shared" si="2"/>
        <v>39746</v>
      </c>
      <c r="I115" s="489"/>
    </row>
    <row r="116" s="322" customFormat="1" ht="22.5" customHeight="1" spans="2:9">
      <c r="B116" s="491" t="s">
        <v>337</v>
      </c>
      <c r="C116" s="192" t="s">
        <v>327</v>
      </c>
      <c r="D116" s="59" t="s">
        <v>322</v>
      </c>
      <c r="E116" s="483">
        <v>17</v>
      </c>
      <c r="F116" s="370">
        <v>35910</v>
      </c>
      <c r="G116" s="371">
        <f t="shared" si="2"/>
        <v>610470</v>
      </c>
      <c r="I116" s="489"/>
    </row>
    <row r="117" s="322" customFormat="1" ht="22.5" customHeight="1" spans="2:9">
      <c r="B117" s="491" t="s">
        <v>338</v>
      </c>
      <c r="C117" s="192" t="s">
        <v>329</v>
      </c>
      <c r="D117" s="59" t="s">
        <v>322</v>
      </c>
      <c r="E117" s="483">
        <v>7</v>
      </c>
      <c r="F117" s="370">
        <v>32429</v>
      </c>
      <c r="G117" s="371">
        <f t="shared" si="2"/>
        <v>227003</v>
      </c>
      <c r="I117" s="489"/>
    </row>
    <row r="118" s="322" customFormat="1" ht="22.5" customHeight="1" spans="2:9">
      <c r="B118" s="491" t="s">
        <v>339</v>
      </c>
      <c r="C118" s="192" t="s">
        <v>331</v>
      </c>
      <c r="D118" s="59" t="s">
        <v>322</v>
      </c>
      <c r="E118" s="483">
        <v>2</v>
      </c>
      <c r="F118" s="370">
        <v>31010</v>
      </c>
      <c r="G118" s="371">
        <f t="shared" si="2"/>
        <v>62020</v>
      </c>
      <c r="I118" s="489"/>
    </row>
    <row r="119" s="322" customFormat="1" ht="18.75" customHeight="1" spans="2:9">
      <c r="B119" s="491"/>
      <c r="C119" s="192"/>
      <c r="D119" s="59"/>
      <c r="E119" s="483"/>
      <c r="F119" s="370"/>
      <c r="G119" s="371"/>
      <c r="I119" s="489"/>
    </row>
    <row r="120" s="322" customFormat="1" ht="23.25" customHeight="1" spans="2:9">
      <c r="B120" s="491" t="s">
        <v>340</v>
      </c>
      <c r="C120" s="71" t="s">
        <v>341</v>
      </c>
      <c r="D120" s="59"/>
      <c r="E120" s="483"/>
      <c r="F120" s="370"/>
      <c r="G120" s="371"/>
      <c r="I120" s="489"/>
    </row>
    <row r="121" s="322" customFormat="1" ht="23.25" customHeight="1" spans="2:9">
      <c r="B121" s="491"/>
      <c r="C121" s="71" t="s">
        <v>319</v>
      </c>
      <c r="D121" s="59"/>
      <c r="E121" s="483"/>
      <c r="F121" s="370"/>
      <c r="G121" s="371"/>
      <c r="I121" s="489"/>
    </row>
    <row r="122" s="322" customFormat="1" ht="23.25" customHeight="1" spans="2:9">
      <c r="B122" s="491" t="s">
        <v>342</v>
      </c>
      <c r="C122" s="192" t="s">
        <v>321</v>
      </c>
      <c r="D122" s="59" t="s">
        <v>322</v>
      </c>
      <c r="E122" s="483">
        <v>397</v>
      </c>
      <c r="F122" s="370">
        <v>42615</v>
      </c>
      <c r="G122" s="371">
        <f t="shared" ref="G122:G127" si="3">E122*F122</f>
        <v>16918155</v>
      </c>
      <c r="I122" s="489"/>
    </row>
    <row r="123" s="322" customFormat="1" ht="23.25" customHeight="1" spans="2:9">
      <c r="B123" s="492" t="s">
        <v>343</v>
      </c>
      <c r="C123" s="263" t="s">
        <v>324</v>
      </c>
      <c r="D123" s="67" t="s">
        <v>322</v>
      </c>
      <c r="E123" s="486">
        <v>2</v>
      </c>
      <c r="F123" s="375">
        <v>41374</v>
      </c>
      <c r="G123" s="376">
        <f t="shared" si="3"/>
        <v>82748</v>
      </c>
      <c r="I123" s="489"/>
    </row>
    <row r="124" s="321" customFormat="1" ht="23.25" customHeight="1" spans="2:9">
      <c r="B124" s="493" t="s">
        <v>344</v>
      </c>
      <c r="C124" s="271" t="s">
        <v>325</v>
      </c>
      <c r="D124" s="72" t="s">
        <v>322</v>
      </c>
      <c r="E124" s="494">
        <v>1</v>
      </c>
      <c r="F124" s="495">
        <v>40144</v>
      </c>
      <c r="G124" s="496">
        <f t="shared" si="3"/>
        <v>40144</v>
      </c>
      <c r="I124" s="497"/>
    </row>
    <row r="125" s="321" customFormat="1" ht="23.25" customHeight="1" spans="2:9">
      <c r="B125" s="493" t="s">
        <v>345</v>
      </c>
      <c r="C125" s="271" t="s">
        <v>327</v>
      </c>
      <c r="D125" s="72" t="s">
        <v>322</v>
      </c>
      <c r="E125" s="494">
        <v>13</v>
      </c>
      <c r="F125" s="495">
        <v>36270</v>
      </c>
      <c r="G125" s="496">
        <f t="shared" si="3"/>
        <v>471510</v>
      </c>
      <c r="I125" s="497"/>
    </row>
    <row r="126" s="321" customFormat="1" ht="23.25" customHeight="1" spans="2:9">
      <c r="B126" s="493" t="s">
        <v>346</v>
      </c>
      <c r="C126" s="271" t="s">
        <v>329</v>
      </c>
      <c r="D126" s="72" t="s">
        <v>322</v>
      </c>
      <c r="E126" s="494">
        <v>1</v>
      </c>
      <c r="F126" s="495">
        <v>32754</v>
      </c>
      <c r="G126" s="496">
        <f t="shared" si="3"/>
        <v>32754</v>
      </c>
      <c r="I126" s="497"/>
    </row>
    <row r="127" s="321" customFormat="1" ht="23.25" customHeight="1" spans="2:9">
      <c r="B127" s="493" t="s">
        <v>347</v>
      </c>
      <c r="C127" s="271" t="s">
        <v>331</v>
      </c>
      <c r="D127" s="72" t="s">
        <v>322</v>
      </c>
      <c r="E127" s="494">
        <v>1</v>
      </c>
      <c r="F127" s="495">
        <v>31321</v>
      </c>
      <c r="G127" s="496">
        <f t="shared" si="3"/>
        <v>31321</v>
      </c>
      <c r="I127" s="497"/>
    </row>
    <row r="128" s="322" customFormat="1" ht="18.75" customHeight="1" spans="2:9">
      <c r="B128" s="491"/>
      <c r="C128" s="192"/>
      <c r="D128" s="59"/>
      <c r="E128" s="483"/>
      <c r="F128" s="370"/>
      <c r="G128" s="371"/>
      <c r="I128" s="489"/>
    </row>
    <row r="129" s="322" customFormat="1" ht="22.5" customHeight="1" spans="2:9">
      <c r="B129" s="491" t="s">
        <v>348</v>
      </c>
      <c r="C129" s="71" t="s">
        <v>349</v>
      </c>
      <c r="D129" s="59"/>
      <c r="E129" s="483"/>
      <c r="F129" s="370"/>
      <c r="G129" s="371"/>
      <c r="I129" s="489"/>
    </row>
    <row r="130" s="322" customFormat="1" ht="22.5" customHeight="1" spans="2:9">
      <c r="B130" s="491"/>
      <c r="C130" s="71" t="s">
        <v>319</v>
      </c>
      <c r="D130" s="59"/>
      <c r="E130" s="483"/>
      <c r="F130" s="370"/>
      <c r="G130" s="371"/>
      <c r="I130" s="489"/>
    </row>
    <row r="131" s="322" customFormat="1" ht="22.5" customHeight="1" spans="2:9">
      <c r="B131" s="491" t="s">
        <v>350</v>
      </c>
      <c r="C131" s="192" t="s">
        <v>321</v>
      </c>
      <c r="D131" s="59" t="s">
        <v>322</v>
      </c>
      <c r="E131" s="483">
        <v>248</v>
      </c>
      <c r="F131" s="370">
        <v>43042</v>
      </c>
      <c r="G131" s="371">
        <f t="shared" ref="G131:G136" si="4">E131*F131</f>
        <v>10674416</v>
      </c>
      <c r="I131" s="489"/>
    </row>
    <row r="132" s="322" customFormat="1" ht="22.5" customHeight="1" spans="2:9">
      <c r="B132" s="491" t="s">
        <v>351</v>
      </c>
      <c r="C132" s="192" t="s">
        <v>324</v>
      </c>
      <c r="D132" s="59" t="s">
        <v>322</v>
      </c>
      <c r="E132" s="483">
        <v>2</v>
      </c>
      <c r="F132" s="370">
        <v>41788</v>
      </c>
      <c r="G132" s="371">
        <f t="shared" si="4"/>
        <v>83576</v>
      </c>
      <c r="I132" s="489"/>
    </row>
    <row r="133" s="322" customFormat="1" ht="22.5" customHeight="1" spans="2:9">
      <c r="B133" s="491" t="s">
        <v>352</v>
      </c>
      <c r="C133" s="192" t="s">
        <v>325</v>
      </c>
      <c r="D133" s="59" t="s">
        <v>322</v>
      </c>
      <c r="E133" s="483">
        <v>1</v>
      </c>
      <c r="F133" s="370">
        <v>40546</v>
      </c>
      <c r="G133" s="371">
        <f t="shared" si="4"/>
        <v>40546</v>
      </c>
      <c r="I133" s="489"/>
    </row>
    <row r="134" s="322" customFormat="1" ht="22.5" customHeight="1" spans="2:9">
      <c r="B134" s="491" t="s">
        <v>353</v>
      </c>
      <c r="C134" s="192" t="s">
        <v>327</v>
      </c>
      <c r="D134" s="59" t="s">
        <v>322</v>
      </c>
      <c r="E134" s="483">
        <v>10</v>
      </c>
      <c r="F134" s="370">
        <v>36633</v>
      </c>
      <c r="G134" s="371">
        <f t="shared" si="4"/>
        <v>366330</v>
      </c>
      <c r="I134" s="489"/>
    </row>
    <row r="135" s="322" customFormat="1" ht="22.5" customHeight="1" spans="2:9">
      <c r="B135" s="491" t="s">
        <v>354</v>
      </c>
      <c r="C135" s="192" t="s">
        <v>329</v>
      </c>
      <c r="D135" s="59" t="s">
        <v>322</v>
      </c>
      <c r="E135" s="483">
        <v>2</v>
      </c>
      <c r="F135" s="370">
        <v>33082</v>
      </c>
      <c r="G135" s="371">
        <f t="shared" si="4"/>
        <v>66164</v>
      </c>
      <c r="I135" s="489"/>
    </row>
    <row r="136" s="322" customFormat="1" ht="22.5" customHeight="1" spans="2:9">
      <c r="B136" s="491" t="s">
        <v>355</v>
      </c>
      <c r="C136" s="192" t="s">
        <v>331</v>
      </c>
      <c r="D136" s="59" t="s">
        <v>322</v>
      </c>
      <c r="E136" s="483">
        <v>2</v>
      </c>
      <c r="F136" s="370">
        <v>31635</v>
      </c>
      <c r="G136" s="371">
        <f t="shared" si="4"/>
        <v>63270</v>
      </c>
      <c r="I136" s="489"/>
    </row>
    <row r="137" s="322" customFormat="1" ht="18.75" customHeight="1" spans="2:9">
      <c r="B137" s="491"/>
      <c r="C137" s="192"/>
      <c r="D137" s="59"/>
      <c r="E137" s="483"/>
      <c r="F137" s="370"/>
      <c r="G137" s="371"/>
      <c r="I137" s="489"/>
    </row>
    <row r="138" s="322" customFormat="1" ht="22.5" customHeight="1" spans="2:9">
      <c r="B138" s="491" t="s">
        <v>356</v>
      </c>
      <c r="C138" s="71" t="s">
        <v>357</v>
      </c>
      <c r="D138" s="59"/>
      <c r="E138" s="483"/>
      <c r="F138" s="370"/>
      <c r="G138" s="371"/>
      <c r="I138" s="489"/>
    </row>
    <row r="139" s="322" customFormat="1" ht="22.5" customHeight="1" spans="2:9">
      <c r="B139" s="491"/>
      <c r="C139" s="71" t="s">
        <v>319</v>
      </c>
      <c r="D139" s="59"/>
      <c r="E139" s="483"/>
      <c r="F139" s="370"/>
      <c r="G139" s="371"/>
      <c r="I139" s="489"/>
    </row>
    <row r="140" s="322" customFormat="1" ht="22.5" customHeight="1" spans="2:9">
      <c r="B140" s="491" t="s">
        <v>358</v>
      </c>
      <c r="C140" s="192" t="s">
        <v>321</v>
      </c>
      <c r="D140" s="59" t="s">
        <v>322</v>
      </c>
      <c r="E140" s="483">
        <v>261</v>
      </c>
      <c r="F140" s="370">
        <v>43473</v>
      </c>
      <c r="G140" s="371">
        <f t="shared" ref="G140:G145" si="5">E140*F140</f>
        <v>11346453</v>
      </c>
      <c r="I140" s="489"/>
    </row>
    <row r="141" s="322" customFormat="1" ht="22.5" customHeight="1" spans="2:9">
      <c r="B141" s="491" t="s">
        <v>359</v>
      </c>
      <c r="C141" s="192" t="s">
        <v>324</v>
      </c>
      <c r="D141" s="59" t="s">
        <v>322</v>
      </c>
      <c r="E141" s="483">
        <v>1</v>
      </c>
      <c r="F141" s="370">
        <v>42206</v>
      </c>
      <c r="G141" s="371">
        <f t="shared" si="5"/>
        <v>42206</v>
      </c>
      <c r="I141" s="489"/>
    </row>
    <row r="142" s="322" customFormat="1" ht="22.5" customHeight="1" spans="2:9">
      <c r="B142" s="491" t="s">
        <v>360</v>
      </c>
      <c r="C142" s="192" t="s">
        <v>325</v>
      </c>
      <c r="D142" s="59" t="s">
        <v>322</v>
      </c>
      <c r="E142" s="483">
        <v>1</v>
      </c>
      <c r="F142" s="370">
        <v>40952</v>
      </c>
      <c r="G142" s="371">
        <f t="shared" si="5"/>
        <v>40952</v>
      </c>
      <c r="I142" s="489"/>
    </row>
    <row r="143" s="322" customFormat="1" ht="22.5" customHeight="1" spans="2:9">
      <c r="B143" s="491" t="s">
        <v>361</v>
      </c>
      <c r="C143" s="192" t="s">
        <v>327</v>
      </c>
      <c r="D143" s="59" t="s">
        <v>322</v>
      </c>
      <c r="E143" s="483">
        <v>11</v>
      </c>
      <c r="F143" s="370">
        <v>37000</v>
      </c>
      <c r="G143" s="371">
        <f t="shared" si="5"/>
        <v>407000</v>
      </c>
      <c r="I143" s="489"/>
    </row>
    <row r="144" s="322" customFormat="1" ht="22.5" customHeight="1" spans="2:9">
      <c r="B144" s="491" t="s">
        <v>362</v>
      </c>
      <c r="C144" s="192" t="s">
        <v>329</v>
      </c>
      <c r="D144" s="59" t="s">
        <v>322</v>
      </c>
      <c r="E144" s="483">
        <v>4</v>
      </c>
      <c r="F144" s="370">
        <v>33413</v>
      </c>
      <c r="G144" s="371">
        <f t="shared" si="5"/>
        <v>133652</v>
      </c>
      <c r="I144" s="489"/>
    </row>
    <row r="145" s="322" customFormat="1" ht="22.5" customHeight="1" spans="2:9">
      <c r="B145" s="491" t="s">
        <v>363</v>
      </c>
      <c r="C145" s="192" t="s">
        <v>331</v>
      </c>
      <c r="D145" s="59" t="s">
        <v>322</v>
      </c>
      <c r="E145" s="483">
        <v>2</v>
      </c>
      <c r="F145" s="370">
        <v>31952</v>
      </c>
      <c r="G145" s="371">
        <f t="shared" si="5"/>
        <v>63904</v>
      </c>
      <c r="I145" s="489"/>
    </row>
    <row r="146" s="322" customFormat="1" ht="18.75" customHeight="1" spans="2:9">
      <c r="B146" s="491"/>
      <c r="C146" s="192"/>
      <c r="D146" s="59"/>
      <c r="E146" s="483"/>
      <c r="F146" s="370"/>
      <c r="G146" s="371"/>
      <c r="I146" s="489"/>
    </row>
    <row r="147" s="322" customFormat="1" ht="23.25" customHeight="1" spans="2:9">
      <c r="B147" s="491" t="s">
        <v>364</v>
      </c>
      <c r="C147" s="71" t="s">
        <v>365</v>
      </c>
      <c r="D147" s="59"/>
      <c r="E147" s="483"/>
      <c r="F147" s="370"/>
      <c r="G147" s="371"/>
      <c r="I147" s="489"/>
    </row>
    <row r="148" s="322" customFormat="1" ht="23.25" customHeight="1" spans="2:9">
      <c r="B148" s="491"/>
      <c r="C148" s="71" t="s">
        <v>319</v>
      </c>
      <c r="D148" s="59"/>
      <c r="E148" s="483"/>
      <c r="F148" s="370"/>
      <c r="G148" s="371"/>
      <c r="I148" s="489"/>
    </row>
    <row r="149" s="322" customFormat="1" ht="23.25" customHeight="1" spans="2:9">
      <c r="B149" s="491" t="s">
        <v>366</v>
      </c>
      <c r="C149" s="192" t="s">
        <v>321</v>
      </c>
      <c r="D149" s="59" t="s">
        <v>322</v>
      </c>
      <c r="E149" s="483">
        <v>261</v>
      </c>
      <c r="F149" s="370">
        <v>43865</v>
      </c>
      <c r="G149" s="371">
        <f t="shared" ref="G149:G154" si="6">E149*F149</f>
        <v>11448765</v>
      </c>
      <c r="I149" s="489"/>
    </row>
    <row r="150" s="322" customFormat="1" ht="23.25" customHeight="1" spans="2:9">
      <c r="B150" s="491" t="s">
        <v>367</v>
      </c>
      <c r="C150" s="192" t="s">
        <v>324</v>
      </c>
      <c r="D150" s="59" t="s">
        <v>322</v>
      </c>
      <c r="E150" s="483">
        <v>1</v>
      </c>
      <c r="F150" s="370">
        <v>42629</v>
      </c>
      <c r="G150" s="371">
        <f t="shared" si="6"/>
        <v>42629</v>
      </c>
      <c r="I150" s="489"/>
    </row>
    <row r="151" s="322" customFormat="1" ht="23.25" customHeight="1" spans="2:9">
      <c r="B151" s="491" t="s">
        <v>368</v>
      </c>
      <c r="C151" s="192" t="s">
        <v>325</v>
      </c>
      <c r="D151" s="59" t="s">
        <v>322</v>
      </c>
      <c r="E151" s="483">
        <v>1</v>
      </c>
      <c r="F151" s="370">
        <v>41362</v>
      </c>
      <c r="G151" s="371">
        <f t="shared" si="6"/>
        <v>41362</v>
      </c>
      <c r="I151" s="489"/>
    </row>
    <row r="152" s="322" customFormat="1" ht="23.25" customHeight="1" spans="2:9">
      <c r="B152" s="491" t="s">
        <v>369</v>
      </c>
      <c r="C152" s="192" t="s">
        <v>327</v>
      </c>
      <c r="D152" s="59" t="s">
        <v>322</v>
      </c>
      <c r="E152" s="483">
        <v>11</v>
      </c>
      <c r="F152" s="370">
        <v>37370</v>
      </c>
      <c r="G152" s="371">
        <f t="shared" si="6"/>
        <v>411070</v>
      </c>
      <c r="I152" s="489"/>
    </row>
    <row r="153" s="322" customFormat="1" ht="23.25" customHeight="1" spans="2:9">
      <c r="B153" s="491" t="s">
        <v>370</v>
      </c>
      <c r="C153" s="192" t="s">
        <v>329</v>
      </c>
      <c r="D153" s="59" t="s">
        <v>322</v>
      </c>
      <c r="E153" s="483">
        <v>4</v>
      </c>
      <c r="F153" s="370">
        <v>33748</v>
      </c>
      <c r="G153" s="371">
        <f t="shared" si="6"/>
        <v>134992</v>
      </c>
      <c r="I153" s="489"/>
    </row>
    <row r="154" s="322" customFormat="1" ht="23.25" customHeight="1" spans="2:9">
      <c r="B154" s="491" t="s">
        <v>371</v>
      </c>
      <c r="C154" s="192" t="s">
        <v>331</v>
      </c>
      <c r="D154" s="59" t="s">
        <v>322</v>
      </c>
      <c r="E154" s="483">
        <v>3</v>
      </c>
      <c r="F154" s="370">
        <v>32272</v>
      </c>
      <c r="G154" s="371">
        <f t="shared" si="6"/>
        <v>96816</v>
      </c>
      <c r="I154" s="489"/>
    </row>
    <row r="155" s="322" customFormat="1" ht="18.75" customHeight="1" spans="2:9">
      <c r="B155" s="491"/>
      <c r="C155" s="192"/>
      <c r="D155" s="59"/>
      <c r="E155" s="483"/>
      <c r="F155" s="370"/>
      <c r="G155" s="371"/>
      <c r="I155" s="489"/>
    </row>
    <row r="156" s="322" customFormat="1" ht="22.5" customHeight="1" spans="2:9">
      <c r="B156" s="491" t="s">
        <v>372</v>
      </c>
      <c r="C156" s="71" t="s">
        <v>373</v>
      </c>
      <c r="D156" s="59"/>
      <c r="E156" s="483"/>
      <c r="F156" s="370"/>
      <c r="G156" s="371"/>
      <c r="I156" s="489"/>
    </row>
    <row r="157" s="322" customFormat="1" ht="22.5" customHeight="1" spans="2:9">
      <c r="B157" s="491"/>
      <c r="C157" s="71" t="s">
        <v>319</v>
      </c>
      <c r="D157" s="59"/>
      <c r="E157" s="483"/>
      <c r="F157" s="370"/>
      <c r="G157" s="371"/>
      <c r="I157" s="489"/>
    </row>
    <row r="158" s="322" customFormat="1" ht="22.5" customHeight="1" spans="2:9">
      <c r="B158" s="491" t="s">
        <v>374</v>
      </c>
      <c r="C158" s="192" t="s">
        <v>321</v>
      </c>
      <c r="D158" s="59" t="s">
        <v>322</v>
      </c>
      <c r="E158" s="483">
        <v>106</v>
      </c>
      <c r="F158" s="370">
        <v>44304</v>
      </c>
      <c r="G158" s="371">
        <f t="shared" ref="G158:G163" si="7">E158*F158</f>
        <v>4696224</v>
      </c>
      <c r="I158" s="489"/>
    </row>
    <row r="159" s="322" customFormat="1" ht="22.5" customHeight="1" spans="2:9">
      <c r="B159" s="491" t="s">
        <v>375</v>
      </c>
      <c r="C159" s="192" t="s">
        <v>324</v>
      </c>
      <c r="D159" s="59" t="s">
        <v>322</v>
      </c>
      <c r="E159" s="483">
        <v>2</v>
      </c>
      <c r="F159" s="370">
        <v>43056</v>
      </c>
      <c r="G159" s="371">
        <f t="shared" si="7"/>
        <v>86112</v>
      </c>
      <c r="I159" s="489"/>
    </row>
    <row r="160" s="322" customFormat="1" ht="22.5" customHeight="1" spans="2:9">
      <c r="B160" s="491" t="s">
        <v>376</v>
      </c>
      <c r="C160" s="192" t="s">
        <v>325</v>
      </c>
      <c r="D160" s="59" t="s">
        <v>322</v>
      </c>
      <c r="E160" s="483">
        <v>1</v>
      </c>
      <c r="F160" s="370">
        <v>41776</v>
      </c>
      <c r="G160" s="371">
        <f t="shared" si="7"/>
        <v>41776</v>
      </c>
      <c r="I160" s="489"/>
    </row>
    <row r="161" s="322" customFormat="1" ht="22.5" customHeight="1" spans="2:9">
      <c r="B161" s="491" t="s">
        <v>377</v>
      </c>
      <c r="C161" s="192" t="s">
        <v>327</v>
      </c>
      <c r="D161" s="59" t="s">
        <v>322</v>
      </c>
      <c r="E161" s="483">
        <v>6</v>
      </c>
      <c r="F161" s="370">
        <v>37744</v>
      </c>
      <c r="G161" s="371">
        <f t="shared" si="7"/>
        <v>226464</v>
      </c>
      <c r="I161" s="489"/>
    </row>
    <row r="162" s="322" customFormat="1" ht="29.25" customHeight="1" spans="2:9">
      <c r="B162" s="492" t="s">
        <v>378</v>
      </c>
      <c r="C162" s="263" t="s">
        <v>329</v>
      </c>
      <c r="D162" s="67" t="s">
        <v>322</v>
      </c>
      <c r="E162" s="486">
        <v>2</v>
      </c>
      <c r="F162" s="375">
        <v>34086</v>
      </c>
      <c r="G162" s="376">
        <f t="shared" si="7"/>
        <v>68172</v>
      </c>
      <c r="I162" s="489"/>
    </row>
    <row r="163" s="321" customFormat="1" ht="22.5" customHeight="1" spans="2:9">
      <c r="B163" s="493" t="s">
        <v>379</v>
      </c>
      <c r="C163" s="271" t="s">
        <v>331</v>
      </c>
      <c r="D163" s="72" t="s">
        <v>322</v>
      </c>
      <c r="E163" s="494">
        <v>2</v>
      </c>
      <c r="F163" s="495">
        <v>32595</v>
      </c>
      <c r="G163" s="496">
        <f t="shared" si="7"/>
        <v>65190</v>
      </c>
      <c r="I163" s="497"/>
    </row>
    <row r="164" s="322" customFormat="1" ht="22.5" customHeight="1" spans="2:9">
      <c r="B164" s="491"/>
      <c r="C164" s="192"/>
      <c r="D164" s="59"/>
      <c r="E164" s="483"/>
      <c r="F164" s="370"/>
      <c r="G164" s="371"/>
      <c r="I164" s="489"/>
    </row>
    <row r="165" s="322" customFormat="1" ht="22.5" customHeight="1" spans="2:9">
      <c r="B165" s="491" t="s">
        <v>380</v>
      </c>
      <c r="C165" s="71" t="s">
        <v>381</v>
      </c>
      <c r="D165" s="59"/>
      <c r="E165" s="483"/>
      <c r="F165" s="370"/>
      <c r="G165" s="371"/>
      <c r="I165" s="489"/>
    </row>
    <row r="166" s="322" customFormat="1" ht="22.5" customHeight="1" spans="2:9">
      <c r="B166" s="491"/>
      <c r="C166" s="71" t="s">
        <v>319</v>
      </c>
      <c r="D166" s="59"/>
      <c r="E166" s="483"/>
      <c r="F166" s="370"/>
      <c r="G166" s="371"/>
      <c r="I166" s="489"/>
    </row>
    <row r="167" s="322" customFormat="1" ht="22.5" customHeight="1" spans="2:9">
      <c r="B167" s="491" t="s">
        <v>382</v>
      </c>
      <c r="C167" s="192" t="s">
        <v>321</v>
      </c>
      <c r="D167" s="59" t="s">
        <v>322</v>
      </c>
      <c r="E167" s="483">
        <v>106</v>
      </c>
      <c r="F167" s="370">
        <v>44748</v>
      </c>
      <c r="G167" s="371">
        <f t="shared" ref="G167:G172" si="8">E167*F167</f>
        <v>4743288</v>
      </c>
      <c r="I167" s="489"/>
    </row>
    <row r="168" s="322" customFormat="1" ht="22.5" customHeight="1" spans="2:9">
      <c r="B168" s="491" t="s">
        <v>383</v>
      </c>
      <c r="C168" s="192" t="s">
        <v>324</v>
      </c>
      <c r="D168" s="59" t="s">
        <v>322</v>
      </c>
      <c r="E168" s="483">
        <v>1</v>
      </c>
      <c r="F168" s="370">
        <v>43487</v>
      </c>
      <c r="G168" s="371">
        <f t="shared" si="8"/>
        <v>43487</v>
      </c>
      <c r="I168" s="489"/>
    </row>
    <row r="169" s="322" customFormat="1" ht="22.5" customHeight="1" spans="2:9">
      <c r="B169" s="491" t="s">
        <v>384</v>
      </c>
      <c r="C169" s="192" t="s">
        <v>325</v>
      </c>
      <c r="D169" s="59" t="s">
        <v>322</v>
      </c>
      <c r="E169" s="483">
        <v>1</v>
      </c>
      <c r="F169" s="370">
        <v>42194</v>
      </c>
      <c r="G169" s="371">
        <f t="shared" si="8"/>
        <v>42194</v>
      </c>
      <c r="I169" s="489"/>
    </row>
    <row r="170" s="322" customFormat="1" ht="22.5" customHeight="1" spans="2:9">
      <c r="B170" s="491" t="s">
        <v>385</v>
      </c>
      <c r="C170" s="192" t="s">
        <v>327</v>
      </c>
      <c r="D170" s="59" t="s">
        <v>322</v>
      </c>
      <c r="E170" s="483">
        <v>6</v>
      </c>
      <c r="F170" s="370">
        <v>38122</v>
      </c>
      <c r="G170" s="371">
        <f t="shared" si="8"/>
        <v>228732</v>
      </c>
      <c r="I170" s="489"/>
    </row>
    <row r="171" s="322" customFormat="1" ht="22.5" customHeight="1" spans="2:9">
      <c r="B171" s="491" t="s">
        <v>386</v>
      </c>
      <c r="C171" s="192" t="s">
        <v>329</v>
      </c>
      <c r="D171" s="59" t="s">
        <v>322</v>
      </c>
      <c r="E171" s="483">
        <v>2</v>
      </c>
      <c r="F171" s="370">
        <v>34427</v>
      </c>
      <c r="G171" s="371">
        <f t="shared" si="8"/>
        <v>68854</v>
      </c>
      <c r="I171" s="489"/>
    </row>
    <row r="172" s="322" customFormat="1" ht="22.5" customHeight="1" spans="2:9">
      <c r="B172" s="491" t="s">
        <v>387</v>
      </c>
      <c r="C172" s="192" t="s">
        <v>331</v>
      </c>
      <c r="D172" s="59" t="s">
        <v>322</v>
      </c>
      <c r="E172" s="483">
        <v>2</v>
      </c>
      <c r="F172" s="370">
        <v>32921</v>
      </c>
      <c r="G172" s="371">
        <f t="shared" si="8"/>
        <v>65842</v>
      </c>
      <c r="I172" s="489"/>
    </row>
    <row r="173" s="322" customFormat="1" ht="22.5" customHeight="1" spans="2:9">
      <c r="B173" s="491"/>
      <c r="C173" s="192"/>
      <c r="D173" s="59"/>
      <c r="E173" s="483"/>
      <c r="F173" s="370"/>
      <c r="G173" s="371"/>
      <c r="I173" s="489"/>
    </row>
    <row r="174" s="322" customFormat="1" ht="22.5" customHeight="1" spans="2:9">
      <c r="B174" s="491" t="s">
        <v>388</v>
      </c>
      <c r="C174" s="71" t="s">
        <v>389</v>
      </c>
      <c r="D174" s="59"/>
      <c r="E174" s="483"/>
      <c r="F174" s="370"/>
      <c r="G174" s="371"/>
      <c r="I174" s="489"/>
    </row>
    <row r="175" s="322" customFormat="1" ht="22.5" customHeight="1" spans="2:9">
      <c r="B175" s="491"/>
      <c r="C175" s="71" t="s">
        <v>319</v>
      </c>
      <c r="D175" s="59"/>
      <c r="E175" s="483"/>
      <c r="F175" s="370"/>
      <c r="G175" s="371"/>
      <c r="I175" s="489"/>
    </row>
    <row r="176" s="322" customFormat="1" ht="22.5" customHeight="1" spans="2:9">
      <c r="B176" s="491" t="s">
        <v>390</v>
      </c>
      <c r="C176" s="192" t="s">
        <v>321</v>
      </c>
      <c r="D176" s="59" t="s">
        <v>322</v>
      </c>
      <c r="E176" s="483">
        <v>104</v>
      </c>
      <c r="F176" s="370">
        <v>45196</v>
      </c>
      <c r="G176" s="371">
        <f t="shared" ref="G176:G181" si="9">E176*F176</f>
        <v>4700384</v>
      </c>
      <c r="I176" s="489"/>
    </row>
    <row r="177" s="322" customFormat="1" ht="22.5" customHeight="1" spans="2:9">
      <c r="B177" s="491" t="s">
        <v>391</v>
      </c>
      <c r="C177" s="192" t="s">
        <v>324</v>
      </c>
      <c r="D177" s="59" t="s">
        <v>322</v>
      </c>
      <c r="E177" s="483">
        <v>1</v>
      </c>
      <c r="F177" s="370">
        <v>43922</v>
      </c>
      <c r="G177" s="371">
        <f t="shared" si="9"/>
        <v>43922</v>
      </c>
      <c r="I177" s="489"/>
    </row>
    <row r="178" s="322" customFormat="1" ht="22.5" customHeight="1" spans="2:9">
      <c r="B178" s="491" t="s">
        <v>392</v>
      </c>
      <c r="C178" s="192" t="s">
        <v>325</v>
      </c>
      <c r="D178" s="59" t="s">
        <v>322</v>
      </c>
      <c r="E178" s="483">
        <v>1</v>
      </c>
      <c r="F178" s="370">
        <v>42616</v>
      </c>
      <c r="G178" s="371">
        <f t="shared" si="9"/>
        <v>42616</v>
      </c>
      <c r="I178" s="489"/>
    </row>
    <row r="179" s="322" customFormat="1" ht="22.5" customHeight="1" spans="2:9">
      <c r="B179" s="491" t="s">
        <v>393</v>
      </c>
      <c r="C179" s="192" t="s">
        <v>327</v>
      </c>
      <c r="D179" s="59" t="s">
        <v>322</v>
      </c>
      <c r="E179" s="483">
        <v>4</v>
      </c>
      <c r="F179" s="370">
        <v>38504</v>
      </c>
      <c r="G179" s="371">
        <f t="shared" si="9"/>
        <v>154016</v>
      </c>
      <c r="I179" s="489"/>
    </row>
    <row r="180" s="322" customFormat="1" ht="22.5" customHeight="1" spans="2:9">
      <c r="B180" s="491" t="s">
        <v>394</v>
      </c>
      <c r="C180" s="192" t="s">
        <v>329</v>
      </c>
      <c r="D180" s="59" t="s">
        <v>322</v>
      </c>
      <c r="E180" s="483">
        <v>1</v>
      </c>
      <c r="F180" s="370">
        <v>34772</v>
      </c>
      <c r="G180" s="371">
        <f t="shared" si="9"/>
        <v>34772</v>
      </c>
      <c r="I180" s="489"/>
    </row>
    <row r="181" s="322" customFormat="1" ht="22.5" customHeight="1" spans="2:9">
      <c r="B181" s="491" t="s">
        <v>395</v>
      </c>
      <c r="C181" s="192" t="s">
        <v>331</v>
      </c>
      <c r="D181" s="59" t="s">
        <v>322</v>
      </c>
      <c r="E181" s="483">
        <v>1</v>
      </c>
      <c r="F181" s="370">
        <v>33251</v>
      </c>
      <c r="G181" s="371">
        <f t="shared" si="9"/>
        <v>33251</v>
      </c>
      <c r="I181" s="489"/>
    </row>
    <row r="182" s="322" customFormat="1" ht="18.75" customHeight="1" spans="2:9">
      <c r="B182" s="59"/>
      <c r="C182" s="71"/>
      <c r="D182" s="59"/>
      <c r="E182" s="483"/>
      <c r="F182" s="370"/>
      <c r="G182" s="371"/>
      <c r="I182" s="489"/>
    </row>
    <row r="183" s="322" customFormat="1" ht="31.5" customHeight="1" spans="2:9">
      <c r="B183" s="59" t="s">
        <v>396</v>
      </c>
      <c r="C183" s="77" t="s">
        <v>265</v>
      </c>
      <c r="D183" s="59"/>
      <c r="E183" s="483"/>
      <c r="F183" s="371"/>
      <c r="G183" s="371"/>
      <c r="I183" s="489"/>
    </row>
    <row r="184" s="322" customFormat="1" spans="2:9">
      <c r="B184" s="226"/>
      <c r="C184" s="80"/>
      <c r="D184" s="59"/>
      <c r="E184" s="483"/>
      <c r="F184" s="371"/>
      <c r="G184" s="371"/>
      <c r="I184" s="489"/>
    </row>
    <row r="185" s="322" customFormat="1" ht="18.75" customHeight="1" spans="2:9">
      <c r="B185" s="59" t="s">
        <v>397</v>
      </c>
      <c r="C185" s="77" t="s">
        <v>398</v>
      </c>
      <c r="D185" s="59"/>
      <c r="E185" s="483"/>
      <c r="F185" s="371"/>
      <c r="G185" s="371"/>
      <c r="I185" s="489"/>
    </row>
    <row r="186" s="322" customFormat="1" ht="12" customHeight="1" spans="2:9">
      <c r="B186" s="226"/>
      <c r="C186" s="26"/>
      <c r="D186" s="59"/>
      <c r="E186" s="483"/>
      <c r="F186" s="371"/>
      <c r="G186" s="371"/>
      <c r="I186" s="489"/>
    </row>
    <row r="187" s="322" customFormat="1" ht="19.5" customHeight="1" spans="2:9">
      <c r="B187" s="59" t="s">
        <v>399</v>
      </c>
      <c r="C187" s="192" t="s">
        <v>400</v>
      </c>
      <c r="D187" s="59" t="s">
        <v>173</v>
      </c>
      <c r="E187" s="483">
        <v>10</v>
      </c>
      <c r="F187" s="370">
        <v>19392</v>
      </c>
      <c r="G187" s="371">
        <f>E187*F187</f>
        <v>193920</v>
      </c>
      <c r="I187" s="489"/>
    </row>
    <row r="188" s="322" customFormat="1" ht="19.5" customHeight="1" spans="2:9">
      <c r="B188" s="226"/>
      <c r="C188" s="26"/>
      <c r="D188" s="59"/>
      <c r="E188" s="483"/>
      <c r="F188" s="370">
        <v>0</v>
      </c>
      <c r="G188" s="371"/>
      <c r="I188" s="489"/>
    </row>
    <row r="189" s="322" customFormat="1" ht="19.5" customHeight="1" spans="2:9">
      <c r="B189" s="59" t="s">
        <v>401</v>
      </c>
      <c r="C189" s="192" t="s">
        <v>402</v>
      </c>
      <c r="D189" s="59" t="s">
        <v>173</v>
      </c>
      <c r="E189" s="483">
        <v>106</v>
      </c>
      <c r="F189" s="370">
        <v>19392</v>
      </c>
      <c r="G189" s="371">
        <f>E189*F189</f>
        <v>2055552</v>
      </c>
      <c r="I189" s="489"/>
    </row>
    <row r="190" s="322" customFormat="1" ht="19.5" customHeight="1" spans="2:9">
      <c r="B190" s="226"/>
      <c r="C190" s="26"/>
      <c r="D190" s="59"/>
      <c r="E190" s="483"/>
      <c r="F190" s="370">
        <v>0</v>
      </c>
      <c r="G190" s="371"/>
      <c r="I190" s="489"/>
    </row>
    <row r="191" s="322" customFormat="1" ht="19.5" customHeight="1" spans="2:9">
      <c r="B191" s="59" t="s">
        <v>403</v>
      </c>
      <c r="C191" s="192" t="s">
        <v>404</v>
      </c>
      <c r="D191" s="59" t="s">
        <v>173</v>
      </c>
      <c r="E191" s="483">
        <v>33</v>
      </c>
      <c r="F191" s="370">
        <v>19392</v>
      </c>
      <c r="G191" s="371">
        <f>E191*F191</f>
        <v>639936</v>
      </c>
      <c r="I191" s="489"/>
    </row>
    <row r="192" s="322" customFormat="1" ht="19.5" customHeight="1" spans="2:9">
      <c r="B192" s="226"/>
      <c r="C192" s="26"/>
      <c r="D192" s="59"/>
      <c r="E192" s="483"/>
      <c r="F192" s="370">
        <v>0</v>
      </c>
      <c r="G192" s="371"/>
      <c r="I192" s="489"/>
    </row>
    <row r="193" s="322" customFormat="1" ht="19.5" customHeight="1" spans="2:9">
      <c r="B193" s="59" t="s">
        <v>405</v>
      </c>
      <c r="C193" s="26" t="s">
        <v>406</v>
      </c>
      <c r="D193" s="59" t="s">
        <v>173</v>
      </c>
      <c r="E193" s="483">
        <v>179</v>
      </c>
      <c r="F193" s="370">
        <v>19392</v>
      </c>
      <c r="G193" s="371">
        <f>E193*F193</f>
        <v>3471168</v>
      </c>
      <c r="I193" s="489"/>
    </row>
    <row r="194" s="322" customFormat="1" ht="19.5" customHeight="1" spans="2:9">
      <c r="B194" s="226"/>
      <c r="C194" s="26"/>
      <c r="D194" s="59"/>
      <c r="E194" s="483"/>
      <c r="F194" s="370">
        <v>0</v>
      </c>
      <c r="G194" s="371"/>
      <c r="I194" s="489"/>
    </row>
    <row r="195" s="322" customFormat="1" ht="19.5" customHeight="1" spans="2:9">
      <c r="B195" s="59" t="s">
        <v>407</v>
      </c>
      <c r="C195" s="26" t="s">
        <v>408</v>
      </c>
      <c r="D195" s="59" t="s">
        <v>173</v>
      </c>
      <c r="E195" s="483">
        <v>77</v>
      </c>
      <c r="F195" s="370">
        <v>19392</v>
      </c>
      <c r="G195" s="371">
        <f>E195*F195</f>
        <v>1493184</v>
      </c>
      <c r="I195" s="489"/>
    </row>
    <row r="196" s="322" customFormat="1" ht="19.5" customHeight="1" spans="2:9">
      <c r="B196" s="226"/>
      <c r="C196" s="26"/>
      <c r="D196" s="59"/>
      <c r="E196" s="483"/>
      <c r="F196" s="370">
        <v>0</v>
      </c>
      <c r="G196" s="371"/>
      <c r="I196" s="489"/>
    </row>
    <row r="197" s="322" customFormat="1" ht="18.75" customHeight="1" spans="2:9">
      <c r="B197" s="59" t="s">
        <v>409</v>
      </c>
      <c r="C197" s="26" t="s">
        <v>410</v>
      </c>
      <c r="D197" s="59" t="s">
        <v>173</v>
      </c>
      <c r="E197" s="483">
        <v>63</v>
      </c>
      <c r="F197" s="370">
        <v>19392</v>
      </c>
      <c r="G197" s="371">
        <f>E197*F197</f>
        <v>1221696</v>
      </c>
      <c r="I197" s="489"/>
    </row>
    <row r="198" s="322" customFormat="1" ht="18.75" customHeight="1" spans="2:9">
      <c r="B198" s="226"/>
      <c r="C198" s="26"/>
      <c r="D198" s="59"/>
      <c r="E198" s="483"/>
      <c r="F198" s="370">
        <v>0</v>
      </c>
      <c r="G198" s="371"/>
      <c r="I198" s="489"/>
    </row>
    <row r="199" s="322" customFormat="1" ht="18.75" customHeight="1" spans="2:9">
      <c r="B199" s="59" t="s">
        <v>411</v>
      </c>
      <c r="C199" s="26" t="s">
        <v>412</v>
      </c>
      <c r="D199" s="59" t="s">
        <v>173</v>
      </c>
      <c r="E199" s="483">
        <v>9</v>
      </c>
      <c r="F199" s="370">
        <v>19392</v>
      </c>
      <c r="G199" s="371">
        <f>E199*F199</f>
        <v>174528</v>
      </c>
      <c r="I199" s="489"/>
    </row>
    <row r="200" s="322" customFormat="1" ht="18.75" customHeight="1" spans="2:9">
      <c r="B200" s="226"/>
      <c r="C200" s="26"/>
      <c r="D200" s="59"/>
      <c r="E200" s="483"/>
      <c r="F200" s="370">
        <v>0</v>
      </c>
      <c r="G200" s="371"/>
      <c r="I200" s="489"/>
    </row>
    <row r="201" s="322" customFormat="1" ht="30" customHeight="1" spans="2:9">
      <c r="B201" s="59" t="s">
        <v>413</v>
      </c>
      <c r="C201" s="26" t="s">
        <v>414</v>
      </c>
      <c r="D201" s="59" t="s">
        <v>173</v>
      </c>
      <c r="E201" s="483">
        <v>30</v>
      </c>
      <c r="F201" s="370">
        <v>19392</v>
      </c>
      <c r="G201" s="371">
        <f>E201*F201</f>
        <v>581760</v>
      </c>
      <c r="I201" s="489"/>
    </row>
    <row r="202" s="322" customFormat="1" ht="18.75" customHeight="1" spans="2:9">
      <c r="B202" s="226"/>
      <c r="C202" s="26"/>
      <c r="D202" s="59"/>
      <c r="E202" s="483"/>
      <c r="F202" s="370">
        <v>0</v>
      </c>
      <c r="G202" s="371"/>
      <c r="I202" s="489"/>
    </row>
    <row r="203" s="322" customFormat="1" ht="25.5" customHeight="1" spans="2:9">
      <c r="B203" s="67" t="s">
        <v>415</v>
      </c>
      <c r="C203" s="265" t="s">
        <v>416</v>
      </c>
      <c r="D203" s="67" t="s">
        <v>173</v>
      </c>
      <c r="E203" s="486">
        <v>108</v>
      </c>
      <c r="F203" s="375">
        <v>19392</v>
      </c>
      <c r="G203" s="376">
        <f>E203*F203</f>
        <v>2094336</v>
      </c>
      <c r="I203" s="489"/>
    </row>
    <row r="204" s="322" customFormat="1" ht="18.75" customHeight="1" spans="2:9">
      <c r="B204" s="226"/>
      <c r="C204" s="26"/>
      <c r="D204" s="59"/>
      <c r="E204" s="483"/>
      <c r="F204" s="370">
        <v>0</v>
      </c>
      <c r="G204" s="371"/>
      <c r="I204" s="489"/>
    </row>
    <row r="205" s="322" customFormat="1" ht="30" customHeight="1" spans="2:9">
      <c r="B205" s="59" t="s">
        <v>417</v>
      </c>
      <c r="C205" s="252" t="s">
        <v>418</v>
      </c>
      <c r="D205" s="59" t="s">
        <v>173</v>
      </c>
      <c r="E205" s="483">
        <v>10</v>
      </c>
      <c r="F205" s="370">
        <v>19392</v>
      </c>
      <c r="G205" s="371">
        <f>E205*F205</f>
        <v>193920</v>
      </c>
      <c r="I205" s="489"/>
    </row>
    <row r="206" s="322" customFormat="1" ht="18.75" customHeight="1" spans="2:9">
      <c r="B206" s="226"/>
      <c r="C206" s="26"/>
      <c r="D206" s="59"/>
      <c r="E206" s="483"/>
      <c r="F206" s="370">
        <v>0</v>
      </c>
      <c r="G206" s="371"/>
      <c r="I206" s="489"/>
    </row>
    <row r="207" s="322" customFormat="1" ht="18.75" customHeight="1" spans="2:9">
      <c r="B207" s="59" t="s">
        <v>419</v>
      </c>
      <c r="C207" s="252" t="s">
        <v>420</v>
      </c>
      <c r="D207" s="59" t="s">
        <v>173</v>
      </c>
      <c r="E207" s="483">
        <v>69</v>
      </c>
      <c r="F207" s="370">
        <v>19392</v>
      </c>
      <c r="G207" s="371">
        <f>E207*F207</f>
        <v>1338048</v>
      </c>
      <c r="I207" s="489"/>
    </row>
    <row r="208" s="322" customFormat="1" ht="18.75" customHeight="1" spans="2:9">
      <c r="B208" s="226"/>
      <c r="C208" s="26"/>
      <c r="D208" s="59"/>
      <c r="E208" s="483"/>
      <c r="F208" s="370">
        <v>0</v>
      </c>
      <c r="G208" s="371"/>
      <c r="I208" s="489"/>
    </row>
    <row r="209" s="322" customFormat="1" ht="18.75" customHeight="1" spans="2:9">
      <c r="B209" s="59" t="s">
        <v>421</v>
      </c>
      <c r="C209" s="252" t="s">
        <v>422</v>
      </c>
      <c r="D209" s="59" t="s">
        <v>173</v>
      </c>
      <c r="E209" s="483">
        <v>9</v>
      </c>
      <c r="F209" s="370">
        <v>19392</v>
      </c>
      <c r="G209" s="371">
        <f>E209*F209</f>
        <v>174528</v>
      </c>
      <c r="I209" s="489"/>
    </row>
    <row r="210" s="322" customFormat="1" ht="18.75" customHeight="1" spans="2:9">
      <c r="B210" s="226"/>
      <c r="C210" s="26"/>
      <c r="D210" s="59"/>
      <c r="E210" s="483"/>
      <c r="F210" s="370">
        <v>0</v>
      </c>
      <c r="G210" s="371"/>
      <c r="I210" s="489"/>
    </row>
    <row r="211" s="322" customFormat="1" ht="18.75" customHeight="1" spans="2:9">
      <c r="B211" s="59" t="s">
        <v>423</v>
      </c>
      <c r="C211" s="26" t="s">
        <v>424</v>
      </c>
      <c r="D211" s="59" t="s">
        <v>173</v>
      </c>
      <c r="E211" s="483">
        <v>9</v>
      </c>
      <c r="F211" s="370">
        <v>19392</v>
      </c>
      <c r="G211" s="371">
        <f>E211*F211</f>
        <v>174528</v>
      </c>
      <c r="I211" s="489"/>
    </row>
    <row r="212" s="322" customFormat="1" ht="18.75" customHeight="1" spans="2:9">
      <c r="B212" s="226"/>
      <c r="C212" s="26"/>
      <c r="D212" s="59"/>
      <c r="E212" s="483"/>
      <c r="F212" s="370">
        <v>0</v>
      </c>
      <c r="G212" s="371"/>
      <c r="I212" s="489"/>
    </row>
    <row r="213" s="322" customFormat="1" ht="18.75" customHeight="1" spans="2:9">
      <c r="B213" s="59" t="s">
        <v>425</v>
      </c>
      <c r="C213" s="26" t="s">
        <v>426</v>
      </c>
      <c r="D213" s="59" t="s">
        <v>225</v>
      </c>
      <c r="E213" s="483">
        <v>1884</v>
      </c>
      <c r="F213" s="370">
        <v>1164</v>
      </c>
      <c r="G213" s="371">
        <f>E213*F213</f>
        <v>2192976</v>
      </c>
      <c r="I213" s="489"/>
    </row>
    <row r="214" s="322" customFormat="1" spans="2:9">
      <c r="B214" s="226"/>
      <c r="C214" s="26"/>
      <c r="D214" s="59"/>
      <c r="E214" s="483"/>
      <c r="F214" s="370">
        <v>0</v>
      </c>
      <c r="G214" s="371"/>
      <c r="I214" s="489"/>
    </row>
    <row r="215" s="322" customFormat="1" ht="43.5" customHeight="1" spans="2:9">
      <c r="B215" s="59" t="s">
        <v>427</v>
      </c>
      <c r="C215" s="252" t="s">
        <v>428</v>
      </c>
      <c r="D215" s="59" t="s">
        <v>173</v>
      </c>
      <c r="E215" s="483">
        <v>31</v>
      </c>
      <c r="F215" s="370">
        <v>19392</v>
      </c>
      <c r="G215" s="371">
        <f>E215*F215</f>
        <v>601152</v>
      </c>
      <c r="I215" s="489"/>
    </row>
    <row r="216" s="322" customFormat="1" ht="18.75" customHeight="1" spans="2:9">
      <c r="B216" s="226"/>
      <c r="C216" s="26"/>
      <c r="D216" s="59"/>
      <c r="E216" s="483"/>
      <c r="F216" s="370">
        <v>0</v>
      </c>
      <c r="G216" s="371"/>
      <c r="I216" s="489"/>
    </row>
    <row r="217" s="322" customFormat="1" ht="18.75" customHeight="1" spans="2:9">
      <c r="B217" s="59" t="s">
        <v>429</v>
      </c>
      <c r="C217" s="77" t="s">
        <v>430</v>
      </c>
      <c r="D217" s="59"/>
      <c r="E217" s="483"/>
      <c r="F217" s="371">
        <v>0</v>
      </c>
      <c r="G217" s="371"/>
      <c r="I217" s="489"/>
    </row>
    <row r="218" s="322" customFormat="1" ht="18.75" customHeight="1" spans="2:9">
      <c r="B218" s="226"/>
      <c r="C218" s="26"/>
      <c r="D218" s="59"/>
      <c r="E218" s="483"/>
      <c r="F218" s="371">
        <v>0</v>
      </c>
      <c r="G218" s="371"/>
      <c r="I218" s="489"/>
    </row>
    <row r="219" s="322" customFormat="1" ht="18.75" customHeight="1" spans="2:9">
      <c r="B219" s="59" t="s">
        <v>431</v>
      </c>
      <c r="C219" s="192" t="s">
        <v>432</v>
      </c>
      <c r="D219" s="59" t="s">
        <v>173</v>
      </c>
      <c r="E219" s="483">
        <v>224</v>
      </c>
      <c r="F219" s="370">
        <v>19974</v>
      </c>
      <c r="G219" s="371">
        <f>E219*F219</f>
        <v>4474176</v>
      </c>
      <c r="I219" s="489"/>
    </row>
    <row r="220" s="322" customFormat="1" ht="18.75" customHeight="1" spans="2:9">
      <c r="B220" s="59"/>
      <c r="C220" s="26"/>
      <c r="D220" s="59"/>
      <c r="E220" s="483"/>
      <c r="F220" s="370">
        <v>0</v>
      </c>
      <c r="G220" s="371"/>
      <c r="I220" s="489"/>
    </row>
    <row r="221" s="322" customFormat="1" ht="18.75" customHeight="1" spans="2:9">
      <c r="B221" s="59" t="s">
        <v>433</v>
      </c>
      <c r="C221" s="192" t="s">
        <v>404</v>
      </c>
      <c r="D221" s="59" t="s">
        <v>173</v>
      </c>
      <c r="E221" s="483">
        <v>40</v>
      </c>
      <c r="F221" s="370">
        <v>19974</v>
      </c>
      <c r="G221" s="371">
        <f>E221*F221</f>
        <v>798960</v>
      </c>
      <c r="I221" s="489"/>
    </row>
    <row r="222" s="322" customFormat="1" ht="18.75" customHeight="1" spans="2:9">
      <c r="B222" s="59"/>
      <c r="C222" s="26"/>
      <c r="D222" s="59"/>
      <c r="E222" s="483"/>
      <c r="F222" s="370">
        <v>0</v>
      </c>
      <c r="G222" s="371"/>
      <c r="I222" s="489"/>
    </row>
    <row r="223" s="322" customFormat="1" ht="18.75" customHeight="1" spans="2:9">
      <c r="B223" s="59" t="s">
        <v>434</v>
      </c>
      <c r="C223" s="26" t="s">
        <v>406</v>
      </c>
      <c r="D223" s="59" t="s">
        <v>173</v>
      </c>
      <c r="E223" s="483">
        <v>179</v>
      </c>
      <c r="F223" s="370">
        <v>19974</v>
      </c>
      <c r="G223" s="371">
        <f>E223*F223</f>
        <v>3575346</v>
      </c>
      <c r="I223" s="489"/>
    </row>
    <row r="224" s="322" customFormat="1" ht="18.75" customHeight="1" spans="2:9">
      <c r="B224" s="59"/>
      <c r="C224" s="26"/>
      <c r="D224" s="59"/>
      <c r="E224" s="483"/>
      <c r="F224" s="370">
        <v>0</v>
      </c>
      <c r="G224" s="371"/>
      <c r="I224" s="489"/>
    </row>
    <row r="225" s="322" customFormat="1" ht="18.75" customHeight="1" spans="2:9">
      <c r="B225" s="59" t="s">
        <v>435</v>
      </c>
      <c r="C225" s="26" t="s">
        <v>436</v>
      </c>
      <c r="D225" s="59" t="s">
        <v>173</v>
      </c>
      <c r="E225" s="483">
        <v>81</v>
      </c>
      <c r="F225" s="370">
        <v>19974</v>
      </c>
      <c r="G225" s="371">
        <f>E225*F225</f>
        <v>1617894</v>
      </c>
      <c r="I225" s="489"/>
    </row>
    <row r="226" s="322" customFormat="1" ht="18.75" customHeight="1" spans="2:9">
      <c r="B226" s="59"/>
      <c r="C226" s="26"/>
      <c r="D226" s="59"/>
      <c r="E226" s="483"/>
      <c r="F226" s="370">
        <v>0</v>
      </c>
      <c r="G226" s="371"/>
      <c r="I226" s="489"/>
    </row>
    <row r="227" s="322" customFormat="1" ht="18.75" customHeight="1" spans="2:9">
      <c r="B227" s="59" t="s">
        <v>437</v>
      </c>
      <c r="C227" s="26" t="s">
        <v>410</v>
      </c>
      <c r="D227" s="59" t="s">
        <v>173</v>
      </c>
      <c r="E227" s="483">
        <v>46</v>
      </c>
      <c r="F227" s="370">
        <v>19974</v>
      </c>
      <c r="G227" s="371">
        <f>E227*F227</f>
        <v>918804</v>
      </c>
      <c r="I227" s="489"/>
    </row>
    <row r="228" s="322" customFormat="1" ht="18.75" customHeight="1" spans="2:9">
      <c r="B228" s="59"/>
      <c r="C228" s="26"/>
      <c r="D228" s="59"/>
      <c r="E228" s="483"/>
      <c r="F228" s="370">
        <v>0</v>
      </c>
      <c r="G228" s="371"/>
      <c r="I228" s="489"/>
    </row>
    <row r="229" s="322" customFormat="1" ht="18.75" customHeight="1" spans="2:9">
      <c r="B229" s="59" t="s">
        <v>438</v>
      </c>
      <c r="C229" s="26" t="s">
        <v>439</v>
      </c>
      <c r="D229" s="59" t="s">
        <v>173</v>
      </c>
      <c r="E229" s="483">
        <v>71</v>
      </c>
      <c r="F229" s="370">
        <v>19974</v>
      </c>
      <c r="G229" s="371">
        <f>E229*F229</f>
        <v>1418154</v>
      </c>
      <c r="I229" s="489"/>
    </row>
    <row r="230" s="322" customFormat="1" ht="18.75" customHeight="1" spans="2:9">
      <c r="B230" s="59"/>
      <c r="C230" s="26"/>
      <c r="D230" s="59"/>
      <c r="E230" s="483"/>
      <c r="F230" s="370">
        <v>0</v>
      </c>
      <c r="G230" s="371"/>
      <c r="I230" s="489"/>
    </row>
    <row r="231" s="322" customFormat="1" ht="18.75" customHeight="1" spans="2:9">
      <c r="B231" s="59" t="s">
        <v>440</v>
      </c>
      <c r="C231" s="26" t="s">
        <v>412</v>
      </c>
      <c r="D231" s="59" t="s">
        <v>173</v>
      </c>
      <c r="E231" s="483">
        <v>9</v>
      </c>
      <c r="F231" s="370">
        <v>19974</v>
      </c>
      <c r="G231" s="371">
        <f>E231*F231</f>
        <v>179766</v>
      </c>
      <c r="I231" s="489"/>
    </row>
    <row r="232" s="322" customFormat="1" ht="18.75" customHeight="1" spans="2:9">
      <c r="B232" s="59"/>
      <c r="C232" s="26"/>
      <c r="D232" s="59"/>
      <c r="E232" s="483"/>
      <c r="F232" s="370">
        <v>0</v>
      </c>
      <c r="G232" s="371"/>
      <c r="I232" s="489"/>
    </row>
    <row r="233" s="322" customFormat="1" ht="30.75" customHeight="1" spans="2:9">
      <c r="B233" s="59" t="s">
        <v>441</v>
      </c>
      <c r="C233" s="26" t="s">
        <v>414</v>
      </c>
      <c r="D233" s="59" t="s">
        <v>173</v>
      </c>
      <c r="E233" s="483">
        <v>30</v>
      </c>
      <c r="F233" s="370">
        <v>19974</v>
      </c>
      <c r="G233" s="371">
        <f>E233*F233</f>
        <v>599220</v>
      </c>
      <c r="I233" s="489"/>
    </row>
    <row r="234" s="322" customFormat="1" ht="18.75" customHeight="1" spans="2:9">
      <c r="B234" s="59"/>
      <c r="C234" s="26"/>
      <c r="D234" s="59"/>
      <c r="E234" s="483"/>
      <c r="F234" s="370">
        <v>0</v>
      </c>
      <c r="G234" s="371"/>
      <c r="I234" s="489"/>
    </row>
    <row r="235" s="322" customFormat="1" ht="18.75" customHeight="1" spans="2:9">
      <c r="B235" s="59" t="s">
        <v>442</v>
      </c>
      <c r="C235" s="26" t="s">
        <v>443</v>
      </c>
      <c r="D235" s="59" t="s">
        <v>173</v>
      </c>
      <c r="E235" s="483">
        <v>8</v>
      </c>
      <c r="F235" s="370">
        <v>19974</v>
      </c>
      <c r="G235" s="371">
        <f>E235*F235</f>
        <v>159792</v>
      </c>
      <c r="I235" s="489"/>
    </row>
    <row r="236" s="322" customFormat="1" ht="18.75" customHeight="1" spans="2:9">
      <c r="B236" s="59"/>
      <c r="C236" s="26"/>
      <c r="D236" s="59"/>
      <c r="E236" s="483"/>
      <c r="F236" s="370">
        <v>0</v>
      </c>
      <c r="G236" s="371"/>
      <c r="I236" s="489"/>
    </row>
    <row r="237" s="322" customFormat="1" ht="18.75" customHeight="1" spans="2:9">
      <c r="B237" s="59" t="s">
        <v>444</v>
      </c>
      <c r="C237" s="26" t="s">
        <v>445</v>
      </c>
      <c r="D237" s="59" t="s">
        <v>173</v>
      </c>
      <c r="E237" s="483">
        <v>9</v>
      </c>
      <c r="F237" s="370">
        <v>19974</v>
      </c>
      <c r="G237" s="371">
        <f>E237*F237</f>
        <v>179766</v>
      </c>
      <c r="I237" s="489"/>
    </row>
    <row r="238" s="322" customFormat="1" ht="18.75" customHeight="1" spans="2:9">
      <c r="B238" s="59"/>
      <c r="C238" s="26"/>
      <c r="D238" s="59"/>
      <c r="E238" s="483"/>
      <c r="F238" s="370">
        <v>0</v>
      </c>
      <c r="G238" s="371"/>
      <c r="I238" s="489"/>
    </row>
    <row r="239" s="322" customFormat="1" ht="18.75" customHeight="1" spans="2:9">
      <c r="B239" s="59" t="s">
        <v>446</v>
      </c>
      <c r="C239" s="26" t="s">
        <v>424</v>
      </c>
      <c r="D239" s="59" t="s">
        <v>173</v>
      </c>
      <c r="E239" s="483">
        <v>12</v>
      </c>
      <c r="F239" s="370">
        <v>19974</v>
      </c>
      <c r="G239" s="371">
        <f>E239*F239</f>
        <v>239688</v>
      </c>
      <c r="I239" s="489"/>
    </row>
    <row r="240" s="322" customFormat="1" ht="18.75" customHeight="1" spans="2:9">
      <c r="B240" s="59"/>
      <c r="C240" s="26"/>
      <c r="D240" s="59"/>
      <c r="E240" s="483"/>
      <c r="F240" s="370">
        <v>0</v>
      </c>
      <c r="G240" s="371"/>
      <c r="I240" s="489"/>
    </row>
    <row r="241" s="322" customFormat="1" ht="18.75" customHeight="1" spans="2:9">
      <c r="B241" s="59" t="s">
        <v>447</v>
      </c>
      <c r="C241" s="26" t="s">
        <v>448</v>
      </c>
      <c r="D241" s="59" t="s">
        <v>173</v>
      </c>
      <c r="E241" s="483">
        <v>27</v>
      </c>
      <c r="F241" s="370">
        <v>19974</v>
      </c>
      <c r="G241" s="371">
        <f>E241*F241</f>
        <v>539298</v>
      </c>
      <c r="I241" s="489"/>
    </row>
    <row r="242" s="322" customFormat="1" ht="18.75" customHeight="1" spans="2:9">
      <c r="B242" s="59"/>
      <c r="C242" s="26"/>
      <c r="D242" s="59"/>
      <c r="E242" s="483"/>
      <c r="F242" s="370">
        <v>0</v>
      </c>
      <c r="G242" s="371"/>
      <c r="I242" s="489"/>
    </row>
    <row r="243" s="322" customFormat="1" ht="18.75" customHeight="1" spans="2:9">
      <c r="B243" s="59" t="s">
        <v>449</v>
      </c>
      <c r="C243" s="26" t="s">
        <v>450</v>
      </c>
      <c r="D243" s="59" t="s">
        <v>173</v>
      </c>
      <c r="E243" s="483">
        <v>67</v>
      </c>
      <c r="F243" s="370">
        <v>19974</v>
      </c>
      <c r="G243" s="371">
        <f>E243*F243</f>
        <v>1338258</v>
      </c>
      <c r="I243" s="489"/>
    </row>
    <row r="244" s="322" customFormat="1" ht="18.75" customHeight="1" spans="2:9">
      <c r="B244" s="59"/>
      <c r="C244" s="26"/>
      <c r="D244" s="59"/>
      <c r="E244" s="483"/>
      <c r="F244" s="370">
        <v>0</v>
      </c>
      <c r="G244" s="371"/>
      <c r="I244" s="489"/>
    </row>
    <row r="245" s="322" customFormat="1" ht="49.5" customHeight="1" spans="2:9">
      <c r="B245" s="67" t="s">
        <v>451</v>
      </c>
      <c r="C245" s="31" t="s">
        <v>426</v>
      </c>
      <c r="D245" s="67" t="s">
        <v>225</v>
      </c>
      <c r="E245" s="486">
        <v>1884</v>
      </c>
      <c r="F245" s="375">
        <v>1200</v>
      </c>
      <c r="G245" s="376">
        <f>E245*F245</f>
        <v>2260800</v>
      </c>
      <c r="I245" s="489"/>
    </row>
    <row r="246" s="322" customFormat="1" ht="21.75" customHeight="1" spans="2:9">
      <c r="B246" s="59"/>
      <c r="C246" s="26"/>
      <c r="D246" s="59"/>
      <c r="E246" s="483"/>
      <c r="F246" s="370">
        <v>0</v>
      </c>
      <c r="G246" s="371"/>
      <c r="I246" s="489"/>
    </row>
    <row r="247" s="322" customFormat="1" ht="43.5" customHeight="1" spans="2:9">
      <c r="B247" s="59" t="s">
        <v>452</v>
      </c>
      <c r="C247" s="252" t="s">
        <v>453</v>
      </c>
      <c r="D247" s="59" t="s">
        <v>173</v>
      </c>
      <c r="E247" s="483">
        <v>32</v>
      </c>
      <c r="F247" s="370">
        <v>19974</v>
      </c>
      <c r="G247" s="371">
        <f>E247*F247</f>
        <v>639168</v>
      </c>
      <c r="I247" s="489"/>
    </row>
    <row r="248" s="322" customFormat="1" ht="18.75" customHeight="1" spans="2:9">
      <c r="B248" s="59"/>
      <c r="C248" s="26"/>
      <c r="D248" s="59"/>
      <c r="E248" s="483"/>
      <c r="F248" s="370">
        <v>0</v>
      </c>
      <c r="G248" s="371"/>
      <c r="I248" s="489"/>
    </row>
    <row r="249" s="322" customFormat="1" ht="18.75" customHeight="1" spans="2:9">
      <c r="B249" s="59" t="s">
        <v>454</v>
      </c>
      <c r="C249" s="77" t="s">
        <v>455</v>
      </c>
      <c r="D249" s="59"/>
      <c r="E249" s="483"/>
      <c r="F249" s="371">
        <v>0</v>
      </c>
      <c r="G249" s="371"/>
      <c r="I249" s="489"/>
    </row>
    <row r="250" s="322" customFormat="1" ht="18.75" customHeight="1" spans="2:9">
      <c r="B250" s="226"/>
      <c r="C250" s="80"/>
      <c r="D250" s="59"/>
      <c r="E250" s="483"/>
      <c r="F250" s="371">
        <v>0</v>
      </c>
      <c r="G250" s="371"/>
      <c r="I250" s="489"/>
    </row>
    <row r="251" s="322" customFormat="1" ht="18.75" customHeight="1" spans="2:9">
      <c r="B251" s="59" t="s">
        <v>456</v>
      </c>
      <c r="C251" s="192" t="s">
        <v>457</v>
      </c>
      <c r="D251" s="59" t="s">
        <v>173</v>
      </c>
      <c r="E251" s="483">
        <v>207</v>
      </c>
      <c r="F251" s="370">
        <v>20175</v>
      </c>
      <c r="G251" s="371">
        <f>E251*F251</f>
        <v>4176225</v>
      </c>
      <c r="I251" s="489"/>
    </row>
    <row r="252" s="322" customFormat="1" ht="18.75" customHeight="1" spans="2:9">
      <c r="B252" s="226"/>
      <c r="C252" s="26"/>
      <c r="D252" s="59"/>
      <c r="E252" s="483"/>
      <c r="F252" s="370">
        <v>0</v>
      </c>
      <c r="G252" s="371"/>
      <c r="I252" s="489"/>
    </row>
    <row r="253" s="322" customFormat="1" ht="18.75" customHeight="1" spans="2:9">
      <c r="B253" s="59" t="s">
        <v>458</v>
      </c>
      <c r="C253" s="192" t="s">
        <v>404</v>
      </c>
      <c r="D253" s="59" t="s">
        <v>173</v>
      </c>
      <c r="E253" s="483">
        <v>34</v>
      </c>
      <c r="F253" s="370">
        <v>20175</v>
      </c>
      <c r="G253" s="371">
        <f>E253*F253</f>
        <v>685950</v>
      </c>
      <c r="I253" s="489"/>
    </row>
    <row r="254" s="322" customFormat="1" ht="18.75" customHeight="1" spans="2:9">
      <c r="B254" s="226"/>
      <c r="C254" s="26"/>
      <c r="D254" s="59"/>
      <c r="E254" s="483"/>
      <c r="F254" s="370">
        <v>0</v>
      </c>
      <c r="G254" s="371"/>
      <c r="I254" s="489"/>
    </row>
    <row r="255" s="322" customFormat="1" ht="18.75" customHeight="1" spans="2:9">
      <c r="B255" s="59" t="s">
        <v>459</v>
      </c>
      <c r="C255" s="26" t="s">
        <v>406</v>
      </c>
      <c r="D255" s="59" t="s">
        <v>173</v>
      </c>
      <c r="E255" s="483">
        <v>400</v>
      </c>
      <c r="F255" s="370">
        <v>20175</v>
      </c>
      <c r="G255" s="371">
        <f>E255*F255</f>
        <v>8070000</v>
      </c>
      <c r="I255" s="489"/>
    </row>
    <row r="256" s="322" customFormat="1" ht="18.75" customHeight="1" spans="2:9">
      <c r="B256" s="226"/>
      <c r="C256" s="26"/>
      <c r="D256" s="59"/>
      <c r="E256" s="483"/>
      <c r="F256" s="370">
        <v>0</v>
      </c>
      <c r="G256" s="371"/>
      <c r="I256" s="489"/>
    </row>
    <row r="257" s="322" customFormat="1" ht="18.75" customHeight="1" spans="2:9">
      <c r="B257" s="59" t="s">
        <v>460</v>
      </c>
      <c r="C257" s="26" t="s">
        <v>436</v>
      </c>
      <c r="D257" s="59" t="s">
        <v>173</v>
      </c>
      <c r="E257" s="483">
        <v>157</v>
      </c>
      <c r="F257" s="370">
        <v>20175</v>
      </c>
      <c r="G257" s="371">
        <f>E257*F257</f>
        <v>3167475</v>
      </c>
      <c r="I257" s="489"/>
    </row>
    <row r="258" s="322" customFormat="1" ht="18.75" customHeight="1" spans="2:9">
      <c r="B258" s="226"/>
      <c r="C258" s="26"/>
      <c r="D258" s="59"/>
      <c r="E258" s="483"/>
      <c r="F258" s="370">
        <v>0</v>
      </c>
      <c r="G258" s="371"/>
      <c r="I258" s="489"/>
    </row>
    <row r="259" s="322" customFormat="1" ht="18.75" customHeight="1" spans="2:9">
      <c r="B259" s="59" t="s">
        <v>461</v>
      </c>
      <c r="C259" s="26" t="s">
        <v>410</v>
      </c>
      <c r="D259" s="59" t="s">
        <v>173</v>
      </c>
      <c r="E259" s="483">
        <v>46</v>
      </c>
      <c r="F259" s="370">
        <v>20175</v>
      </c>
      <c r="G259" s="371">
        <f>E259*F259</f>
        <v>928050</v>
      </c>
      <c r="I259" s="489"/>
    </row>
    <row r="260" s="322" customFormat="1" ht="18.75" customHeight="1" spans="2:9">
      <c r="B260" s="226"/>
      <c r="C260" s="26"/>
      <c r="D260" s="59"/>
      <c r="E260" s="483"/>
      <c r="F260" s="370">
        <v>0</v>
      </c>
      <c r="G260" s="371"/>
      <c r="I260" s="489"/>
    </row>
    <row r="261" s="322" customFormat="1" ht="18.75" customHeight="1" spans="2:9">
      <c r="B261" s="59" t="s">
        <v>462</v>
      </c>
      <c r="C261" s="26" t="s">
        <v>412</v>
      </c>
      <c r="D261" s="59" t="s">
        <v>173</v>
      </c>
      <c r="E261" s="483">
        <v>80</v>
      </c>
      <c r="F261" s="370">
        <v>20175</v>
      </c>
      <c r="G261" s="371">
        <f>E261*F261</f>
        <v>1614000</v>
      </c>
      <c r="I261" s="489"/>
    </row>
    <row r="262" s="322" customFormat="1" ht="18.75" customHeight="1" spans="2:9">
      <c r="B262" s="226"/>
      <c r="C262" s="26"/>
      <c r="D262" s="59"/>
      <c r="E262" s="483"/>
      <c r="F262" s="370">
        <v>0</v>
      </c>
      <c r="G262" s="371"/>
      <c r="I262" s="489"/>
    </row>
    <row r="263" s="322" customFormat="1" ht="29.25" customHeight="1" spans="2:9">
      <c r="B263" s="59" t="s">
        <v>463</v>
      </c>
      <c r="C263" s="26" t="s">
        <v>414</v>
      </c>
      <c r="D263" s="59" t="s">
        <v>173</v>
      </c>
      <c r="E263" s="483">
        <v>30</v>
      </c>
      <c r="F263" s="370">
        <v>20175</v>
      </c>
      <c r="G263" s="371">
        <f>E263*F263</f>
        <v>605250</v>
      </c>
      <c r="I263" s="489"/>
    </row>
    <row r="264" s="322" customFormat="1" ht="18.75" customHeight="1" spans="2:9">
      <c r="B264" s="226"/>
      <c r="C264" s="26"/>
      <c r="D264" s="59"/>
      <c r="E264" s="483"/>
      <c r="F264" s="370">
        <v>0</v>
      </c>
      <c r="G264" s="371"/>
      <c r="I264" s="489"/>
    </row>
    <row r="265" s="322" customFormat="1" ht="18.75" customHeight="1" spans="2:9">
      <c r="B265" s="59" t="s">
        <v>464</v>
      </c>
      <c r="C265" s="252" t="s">
        <v>465</v>
      </c>
      <c r="D265" s="59" t="s">
        <v>173</v>
      </c>
      <c r="E265" s="483">
        <v>7</v>
      </c>
      <c r="F265" s="370">
        <v>20175</v>
      </c>
      <c r="G265" s="371">
        <f>E265*F265</f>
        <v>141225</v>
      </c>
      <c r="I265" s="489"/>
    </row>
    <row r="266" s="322" customFormat="1" ht="18.75" customHeight="1" spans="2:9">
      <c r="B266" s="226"/>
      <c r="C266" s="26"/>
      <c r="D266" s="59"/>
      <c r="E266" s="483"/>
      <c r="F266" s="370">
        <v>0</v>
      </c>
      <c r="G266" s="371"/>
      <c r="I266" s="489"/>
    </row>
    <row r="267" s="322" customFormat="1" ht="18.75" customHeight="1" spans="2:9">
      <c r="B267" s="59" t="s">
        <v>466</v>
      </c>
      <c r="C267" s="26" t="s">
        <v>424</v>
      </c>
      <c r="D267" s="59" t="s">
        <v>173</v>
      </c>
      <c r="E267" s="483">
        <v>12</v>
      </c>
      <c r="F267" s="370">
        <v>20175</v>
      </c>
      <c r="G267" s="371">
        <f>E267*F267</f>
        <v>242100</v>
      </c>
      <c r="I267" s="489"/>
    </row>
    <row r="268" s="322" customFormat="1" ht="18.75" customHeight="1" spans="2:9">
      <c r="B268" s="226"/>
      <c r="C268" s="26"/>
      <c r="D268" s="59"/>
      <c r="E268" s="483"/>
      <c r="F268" s="370">
        <v>0</v>
      </c>
      <c r="G268" s="371"/>
      <c r="I268" s="489"/>
    </row>
    <row r="269" s="322" customFormat="1" ht="18.75" customHeight="1" spans="2:9">
      <c r="B269" s="59" t="s">
        <v>467</v>
      </c>
      <c r="C269" s="26" t="s">
        <v>426</v>
      </c>
      <c r="D269" s="59" t="s">
        <v>225</v>
      </c>
      <c r="E269" s="483">
        <v>2834</v>
      </c>
      <c r="F269" s="370">
        <v>1212</v>
      </c>
      <c r="G269" s="371">
        <f>E269*F269</f>
        <v>3434808</v>
      </c>
      <c r="I269" s="489"/>
    </row>
    <row r="270" s="322" customFormat="1" ht="18.75" customHeight="1" spans="2:9">
      <c r="B270" s="226"/>
      <c r="C270" s="26"/>
      <c r="D270" s="59"/>
      <c r="E270" s="483"/>
      <c r="F270" s="370">
        <v>0</v>
      </c>
      <c r="G270" s="371"/>
      <c r="I270" s="489"/>
    </row>
    <row r="271" s="322" customFormat="1" ht="44.25" customHeight="1" spans="2:9">
      <c r="B271" s="59" t="s">
        <v>468</v>
      </c>
      <c r="C271" s="252" t="s">
        <v>428</v>
      </c>
      <c r="D271" s="59" t="s">
        <v>173</v>
      </c>
      <c r="E271" s="483">
        <v>54</v>
      </c>
      <c r="F271" s="370">
        <v>20175</v>
      </c>
      <c r="G271" s="371">
        <f>E271*F271</f>
        <v>1089450</v>
      </c>
      <c r="I271" s="489"/>
    </row>
    <row r="272" s="322" customFormat="1" ht="18.75" customHeight="1" spans="2:9">
      <c r="B272" s="59"/>
      <c r="C272" s="26"/>
      <c r="D272" s="59"/>
      <c r="E272" s="483"/>
      <c r="F272" s="370">
        <v>0</v>
      </c>
      <c r="G272" s="371"/>
      <c r="I272" s="489"/>
    </row>
    <row r="273" s="322" customFormat="1" ht="18.75" customHeight="1" spans="2:9">
      <c r="B273" s="59" t="s">
        <v>469</v>
      </c>
      <c r="C273" s="77" t="s">
        <v>470</v>
      </c>
      <c r="D273" s="59"/>
      <c r="E273" s="483"/>
      <c r="F273" s="371">
        <v>0</v>
      </c>
      <c r="G273" s="371"/>
      <c r="I273" s="489"/>
    </row>
    <row r="274" s="322" customFormat="1" ht="18.75" customHeight="1" spans="2:9">
      <c r="B274" s="59"/>
      <c r="C274" s="80"/>
      <c r="D274" s="59"/>
      <c r="E274" s="483"/>
      <c r="F274" s="371">
        <v>0</v>
      </c>
      <c r="G274" s="371"/>
      <c r="I274" s="489"/>
    </row>
    <row r="275" s="322" customFormat="1" ht="18.75" customHeight="1" spans="2:9">
      <c r="B275" s="59" t="s">
        <v>471</v>
      </c>
      <c r="C275" s="192" t="s">
        <v>457</v>
      </c>
      <c r="D275" s="59" t="s">
        <v>173</v>
      </c>
      <c r="E275" s="483">
        <v>152</v>
      </c>
      <c r="F275" s="370">
        <v>20374</v>
      </c>
      <c r="G275" s="371">
        <f>E275*F275</f>
        <v>3096848</v>
      </c>
      <c r="I275" s="489"/>
    </row>
    <row r="276" s="322" customFormat="1" ht="18.75" customHeight="1" spans="2:9">
      <c r="B276" s="59"/>
      <c r="C276" s="26"/>
      <c r="D276" s="59"/>
      <c r="E276" s="483"/>
      <c r="F276" s="370">
        <v>0</v>
      </c>
      <c r="G276" s="371"/>
      <c r="I276" s="489"/>
    </row>
    <row r="277" s="322" customFormat="1" ht="18.75" customHeight="1" spans="2:9">
      <c r="B277" s="59" t="s">
        <v>472</v>
      </c>
      <c r="C277" s="192" t="s">
        <v>473</v>
      </c>
      <c r="D277" s="59" t="s">
        <v>173</v>
      </c>
      <c r="E277" s="483">
        <v>34</v>
      </c>
      <c r="F277" s="370">
        <v>20374</v>
      </c>
      <c r="G277" s="371">
        <f>E277*F277</f>
        <v>692716</v>
      </c>
      <c r="I277" s="489"/>
    </row>
    <row r="278" s="322" customFormat="1" ht="18.75" customHeight="1" spans="2:9">
      <c r="B278" s="59"/>
      <c r="C278" s="26"/>
      <c r="D278" s="59"/>
      <c r="E278" s="483"/>
      <c r="F278" s="370">
        <v>0</v>
      </c>
      <c r="G278" s="371"/>
      <c r="I278" s="489"/>
    </row>
    <row r="279" s="322" customFormat="1" ht="18.75" customHeight="1" spans="2:9">
      <c r="B279" s="59" t="s">
        <v>474</v>
      </c>
      <c r="C279" s="26" t="s">
        <v>406</v>
      </c>
      <c r="D279" s="59" t="s">
        <v>173</v>
      </c>
      <c r="E279" s="483">
        <v>336</v>
      </c>
      <c r="F279" s="370">
        <v>20374</v>
      </c>
      <c r="G279" s="371">
        <f>E279*F279</f>
        <v>6845664</v>
      </c>
      <c r="I279" s="489"/>
    </row>
    <row r="280" s="322" customFormat="1" ht="18.75" customHeight="1" spans="2:9">
      <c r="B280" s="59"/>
      <c r="C280" s="26"/>
      <c r="D280" s="59"/>
      <c r="E280" s="483"/>
      <c r="F280" s="370">
        <v>0</v>
      </c>
      <c r="G280" s="371"/>
      <c r="I280" s="489"/>
    </row>
    <row r="281" s="322" customFormat="1" ht="18.75" customHeight="1" spans="2:9">
      <c r="B281" s="59" t="s">
        <v>475</v>
      </c>
      <c r="C281" s="26" t="s">
        <v>436</v>
      </c>
      <c r="D281" s="59" t="s">
        <v>173</v>
      </c>
      <c r="E281" s="483">
        <v>160</v>
      </c>
      <c r="F281" s="370">
        <v>20374</v>
      </c>
      <c r="G281" s="371">
        <f>E281*F281</f>
        <v>3259840</v>
      </c>
      <c r="I281" s="489"/>
    </row>
    <row r="282" s="322" customFormat="1" ht="18.75" customHeight="1" spans="2:9">
      <c r="B282" s="59"/>
      <c r="C282" s="26"/>
      <c r="D282" s="59"/>
      <c r="E282" s="483"/>
      <c r="F282" s="370">
        <v>0</v>
      </c>
      <c r="G282" s="371"/>
      <c r="I282" s="489"/>
    </row>
    <row r="283" s="322" customFormat="1" ht="18.75" customHeight="1" spans="2:9">
      <c r="B283" s="59" t="s">
        <v>476</v>
      </c>
      <c r="C283" s="26" t="s">
        <v>410</v>
      </c>
      <c r="D283" s="59" t="s">
        <v>173</v>
      </c>
      <c r="E283" s="483">
        <v>46</v>
      </c>
      <c r="F283" s="370">
        <v>20374</v>
      </c>
      <c r="G283" s="371">
        <f>E283*F283</f>
        <v>937204</v>
      </c>
      <c r="I283" s="489"/>
    </row>
    <row r="284" s="322" customFormat="1" ht="18.75" customHeight="1" spans="2:9">
      <c r="B284" s="59"/>
      <c r="C284" s="26"/>
      <c r="D284" s="59"/>
      <c r="E284" s="483"/>
      <c r="F284" s="370">
        <v>0</v>
      </c>
      <c r="G284" s="371"/>
      <c r="I284" s="489"/>
    </row>
    <row r="285" s="322" customFormat="1" ht="18.75" customHeight="1" spans="2:9">
      <c r="B285" s="59" t="s">
        <v>477</v>
      </c>
      <c r="C285" s="26" t="s">
        <v>412</v>
      </c>
      <c r="D285" s="59" t="s">
        <v>173</v>
      </c>
      <c r="E285" s="483">
        <v>126</v>
      </c>
      <c r="F285" s="370">
        <v>20374</v>
      </c>
      <c r="G285" s="371">
        <f>E285*F285</f>
        <v>2567124</v>
      </c>
      <c r="I285" s="489"/>
    </row>
    <row r="286" s="322" customFormat="1" ht="18.75" customHeight="1" spans="2:9">
      <c r="B286" s="59"/>
      <c r="C286" s="26"/>
      <c r="D286" s="59"/>
      <c r="E286" s="483"/>
      <c r="F286" s="370">
        <v>0</v>
      </c>
      <c r="G286" s="371"/>
      <c r="I286" s="489"/>
    </row>
    <row r="287" s="322" customFormat="1" ht="35.25" customHeight="1" spans="2:9">
      <c r="B287" s="67" t="s">
        <v>478</v>
      </c>
      <c r="C287" s="265" t="s">
        <v>465</v>
      </c>
      <c r="D287" s="67" t="s">
        <v>173</v>
      </c>
      <c r="E287" s="486">
        <v>15.4</v>
      </c>
      <c r="F287" s="375">
        <v>20374</v>
      </c>
      <c r="G287" s="376">
        <f>E287*F287</f>
        <v>313759.6</v>
      </c>
      <c r="I287" s="489"/>
    </row>
    <row r="288" s="322" customFormat="1" ht="18.75" customHeight="1" spans="2:9">
      <c r="B288" s="59"/>
      <c r="C288" s="26"/>
      <c r="D288" s="59"/>
      <c r="E288" s="483"/>
      <c r="F288" s="370">
        <v>0</v>
      </c>
      <c r="G288" s="371"/>
      <c r="I288" s="489"/>
    </row>
    <row r="289" s="322" customFormat="1" ht="18.75" customHeight="1" spans="2:9">
      <c r="B289" s="59" t="s">
        <v>479</v>
      </c>
      <c r="C289" s="26" t="s">
        <v>424</v>
      </c>
      <c r="D289" s="59" t="s">
        <v>173</v>
      </c>
      <c r="E289" s="483">
        <v>9</v>
      </c>
      <c r="F289" s="370">
        <v>20374</v>
      </c>
      <c r="G289" s="371">
        <f>E289*F289</f>
        <v>183366</v>
      </c>
      <c r="I289" s="489"/>
    </row>
    <row r="290" s="322" customFormat="1" ht="18.75" customHeight="1" spans="2:9">
      <c r="B290" s="59"/>
      <c r="C290" s="26"/>
      <c r="D290" s="59"/>
      <c r="E290" s="483"/>
      <c r="F290" s="370">
        <v>0</v>
      </c>
      <c r="G290" s="371"/>
      <c r="I290" s="489"/>
    </row>
    <row r="291" s="322" customFormat="1" ht="18.75" customHeight="1" spans="2:9">
      <c r="B291" s="59" t="s">
        <v>480</v>
      </c>
      <c r="C291" s="26" t="s">
        <v>426</v>
      </c>
      <c r="D291" s="59" t="s">
        <v>225</v>
      </c>
      <c r="E291" s="483">
        <v>2470</v>
      </c>
      <c r="F291" s="370">
        <v>1225</v>
      </c>
      <c r="G291" s="371">
        <f>E291*F291</f>
        <v>3025750</v>
      </c>
      <c r="I291" s="489"/>
    </row>
    <row r="292" s="322" customFormat="1" ht="18.75" customHeight="1" spans="2:9">
      <c r="B292" s="59"/>
      <c r="C292" s="26"/>
      <c r="D292" s="59"/>
      <c r="E292" s="483"/>
      <c r="F292" s="370">
        <v>0</v>
      </c>
      <c r="G292" s="371"/>
      <c r="I292" s="489"/>
    </row>
    <row r="293" s="322" customFormat="1" ht="43.5" customHeight="1" spans="2:9">
      <c r="B293" s="59" t="s">
        <v>481</v>
      </c>
      <c r="C293" s="252" t="s">
        <v>428</v>
      </c>
      <c r="D293" s="59" t="s">
        <v>173</v>
      </c>
      <c r="E293" s="483">
        <v>30</v>
      </c>
      <c r="F293" s="370">
        <v>20374</v>
      </c>
      <c r="G293" s="371">
        <f>E293*F293</f>
        <v>611220</v>
      </c>
      <c r="I293" s="489"/>
    </row>
    <row r="294" s="322" customFormat="1" ht="18.75" customHeight="1" spans="2:9">
      <c r="B294" s="226"/>
      <c r="C294" s="26"/>
      <c r="D294" s="59"/>
      <c r="E294" s="483"/>
      <c r="F294" s="371">
        <v>0</v>
      </c>
      <c r="G294" s="371"/>
      <c r="I294" s="489"/>
    </row>
    <row r="295" s="322" customFormat="1" ht="18.75" customHeight="1" spans="2:9">
      <c r="B295" s="59" t="s">
        <v>482</v>
      </c>
      <c r="C295" s="77" t="s">
        <v>483</v>
      </c>
      <c r="D295" s="59"/>
      <c r="E295" s="483"/>
      <c r="F295" s="371">
        <v>0</v>
      </c>
      <c r="G295" s="371"/>
      <c r="I295" s="489"/>
    </row>
    <row r="296" s="322" customFormat="1" ht="18.75" customHeight="1" spans="2:9">
      <c r="B296" s="59"/>
      <c r="C296" s="80"/>
      <c r="D296" s="59"/>
      <c r="E296" s="483"/>
      <c r="F296" s="371">
        <v>0</v>
      </c>
      <c r="G296" s="371"/>
      <c r="I296" s="489"/>
    </row>
    <row r="297" s="322" customFormat="1" ht="18.75" customHeight="1" spans="2:9">
      <c r="B297" s="59" t="s">
        <v>484</v>
      </c>
      <c r="C297" s="192" t="s">
        <v>457</v>
      </c>
      <c r="D297" s="59" t="s">
        <v>173</v>
      </c>
      <c r="E297" s="483">
        <v>121</v>
      </c>
      <c r="F297" s="370">
        <v>20574</v>
      </c>
      <c r="G297" s="371">
        <f>E297*F297</f>
        <v>2489454</v>
      </c>
      <c r="I297" s="489"/>
    </row>
    <row r="298" s="322" customFormat="1" ht="18.75" customHeight="1" spans="2:9">
      <c r="B298" s="226"/>
      <c r="C298" s="26"/>
      <c r="D298" s="59"/>
      <c r="E298" s="483"/>
      <c r="F298" s="370">
        <v>0</v>
      </c>
      <c r="G298" s="371"/>
      <c r="I298" s="489"/>
    </row>
    <row r="299" s="322" customFormat="1" ht="18.75" customHeight="1" spans="2:9">
      <c r="B299" s="59" t="s">
        <v>485</v>
      </c>
      <c r="C299" s="192" t="s">
        <v>473</v>
      </c>
      <c r="D299" s="59" t="s">
        <v>173</v>
      </c>
      <c r="E299" s="483">
        <v>30</v>
      </c>
      <c r="F299" s="370">
        <v>20574</v>
      </c>
      <c r="G299" s="371">
        <f>E299*F299</f>
        <v>617220</v>
      </c>
      <c r="I299" s="489"/>
    </row>
    <row r="300" s="322" customFormat="1" ht="18.75" customHeight="1" spans="2:9">
      <c r="B300" s="226"/>
      <c r="C300" s="26"/>
      <c r="D300" s="59"/>
      <c r="E300" s="483"/>
      <c r="F300" s="370">
        <v>0</v>
      </c>
      <c r="G300" s="371"/>
      <c r="I300" s="489"/>
    </row>
    <row r="301" s="322" customFormat="1" ht="18.75" customHeight="1" spans="2:9">
      <c r="B301" s="59" t="s">
        <v>486</v>
      </c>
      <c r="C301" s="26" t="s">
        <v>406</v>
      </c>
      <c r="D301" s="59" t="s">
        <v>173</v>
      </c>
      <c r="E301" s="483">
        <v>161</v>
      </c>
      <c r="F301" s="370">
        <v>20574</v>
      </c>
      <c r="G301" s="371">
        <f>E301*F301</f>
        <v>3312414</v>
      </c>
      <c r="I301" s="489"/>
    </row>
    <row r="302" s="322" customFormat="1" ht="18.75" customHeight="1" spans="2:9">
      <c r="B302" s="226"/>
      <c r="C302" s="26"/>
      <c r="D302" s="59"/>
      <c r="E302" s="483"/>
      <c r="F302" s="370">
        <v>0</v>
      </c>
      <c r="G302" s="371"/>
      <c r="I302" s="489"/>
    </row>
    <row r="303" s="322" customFormat="1" ht="18.75" customHeight="1" spans="2:9">
      <c r="B303" s="59" t="s">
        <v>487</v>
      </c>
      <c r="C303" s="26" t="s">
        <v>436</v>
      </c>
      <c r="D303" s="59" t="s">
        <v>173</v>
      </c>
      <c r="E303" s="483">
        <v>196</v>
      </c>
      <c r="F303" s="370">
        <v>20574</v>
      </c>
      <c r="G303" s="371">
        <f>E303*F303</f>
        <v>4032504</v>
      </c>
      <c r="I303" s="489"/>
    </row>
    <row r="304" s="322" customFormat="1" ht="18.75" customHeight="1" spans="2:9">
      <c r="B304" s="226"/>
      <c r="C304" s="26"/>
      <c r="D304" s="59"/>
      <c r="E304" s="483"/>
      <c r="F304" s="370">
        <v>0</v>
      </c>
      <c r="G304" s="371"/>
      <c r="I304" s="489"/>
    </row>
    <row r="305" s="322" customFormat="1" ht="18.75" customHeight="1" spans="2:9">
      <c r="B305" s="59" t="s">
        <v>488</v>
      </c>
      <c r="C305" s="26" t="s">
        <v>410</v>
      </c>
      <c r="D305" s="59" t="s">
        <v>173</v>
      </c>
      <c r="E305" s="483">
        <v>46</v>
      </c>
      <c r="F305" s="370">
        <v>20574</v>
      </c>
      <c r="G305" s="371">
        <f>E305*F305</f>
        <v>946404</v>
      </c>
      <c r="I305" s="489"/>
    </row>
    <row r="306" s="322" customFormat="1" ht="18.75" customHeight="1" spans="2:9">
      <c r="B306" s="226"/>
      <c r="C306" s="26"/>
      <c r="D306" s="59"/>
      <c r="E306" s="483"/>
      <c r="F306" s="370">
        <v>0</v>
      </c>
      <c r="G306" s="371"/>
      <c r="I306" s="489"/>
    </row>
    <row r="307" s="322" customFormat="1" ht="18.75" customHeight="1" spans="2:9">
      <c r="B307" s="59" t="s">
        <v>489</v>
      </c>
      <c r="C307" s="26" t="s">
        <v>412</v>
      </c>
      <c r="D307" s="59" t="s">
        <v>173</v>
      </c>
      <c r="E307" s="483">
        <v>181</v>
      </c>
      <c r="F307" s="370">
        <v>20574</v>
      </c>
      <c r="G307" s="371">
        <f>E307*F307</f>
        <v>3723894</v>
      </c>
      <c r="I307" s="489"/>
    </row>
    <row r="308" s="322" customFormat="1" ht="18.75" customHeight="1" spans="2:9">
      <c r="B308" s="226"/>
      <c r="C308" s="26"/>
      <c r="D308" s="59"/>
      <c r="E308" s="483"/>
      <c r="F308" s="370">
        <v>0</v>
      </c>
      <c r="G308" s="371"/>
      <c r="I308" s="489"/>
    </row>
    <row r="309" s="322" customFormat="1" ht="18.75" customHeight="1" spans="2:9">
      <c r="B309" s="59" t="s">
        <v>490</v>
      </c>
      <c r="C309" s="252" t="s">
        <v>465</v>
      </c>
      <c r="D309" s="59" t="s">
        <v>173</v>
      </c>
      <c r="E309" s="483">
        <v>9.8</v>
      </c>
      <c r="F309" s="370">
        <v>20574</v>
      </c>
      <c r="G309" s="371">
        <f>E309*F309</f>
        <v>201625.2</v>
      </c>
      <c r="I309" s="489"/>
    </row>
    <row r="310" s="322" customFormat="1" ht="18.75" customHeight="1" spans="2:9">
      <c r="B310" s="226"/>
      <c r="C310" s="26"/>
      <c r="D310" s="59"/>
      <c r="E310" s="483"/>
      <c r="F310" s="370">
        <v>0</v>
      </c>
      <c r="G310" s="371"/>
      <c r="I310" s="489"/>
    </row>
    <row r="311" s="322" customFormat="1" ht="18.75" customHeight="1" spans="2:9">
      <c r="B311" s="59" t="s">
        <v>491</v>
      </c>
      <c r="C311" s="26" t="s">
        <v>424</v>
      </c>
      <c r="D311" s="59" t="s">
        <v>173</v>
      </c>
      <c r="E311" s="483">
        <v>9</v>
      </c>
      <c r="F311" s="370">
        <v>20574</v>
      </c>
      <c r="G311" s="371">
        <f>E311*F311</f>
        <v>185166</v>
      </c>
      <c r="I311" s="489"/>
    </row>
    <row r="312" s="322" customFormat="1" ht="18.75" customHeight="1" spans="2:9">
      <c r="B312" s="226"/>
      <c r="C312" s="26"/>
      <c r="D312" s="59"/>
      <c r="E312" s="483"/>
      <c r="F312" s="370">
        <v>0</v>
      </c>
      <c r="G312" s="371"/>
      <c r="I312" s="489"/>
    </row>
    <row r="313" s="322" customFormat="1" ht="18.75" customHeight="1" spans="2:9">
      <c r="B313" s="59" t="s">
        <v>492</v>
      </c>
      <c r="C313" s="26" t="s">
        <v>426</v>
      </c>
      <c r="D313" s="59" t="s">
        <v>225</v>
      </c>
      <c r="E313" s="483">
        <v>1586</v>
      </c>
      <c r="F313" s="370">
        <v>1237</v>
      </c>
      <c r="G313" s="371">
        <f>E313*F313</f>
        <v>1961882</v>
      </c>
      <c r="I313" s="489"/>
    </row>
    <row r="314" s="322" customFormat="1" ht="18.75" customHeight="1" spans="2:9">
      <c r="B314" s="226"/>
      <c r="C314" s="26"/>
      <c r="D314" s="59"/>
      <c r="E314" s="483"/>
      <c r="F314" s="370">
        <v>0</v>
      </c>
      <c r="G314" s="371"/>
      <c r="I314" s="489"/>
    </row>
    <row r="315" s="322" customFormat="1" ht="42" customHeight="1" spans="2:9">
      <c r="B315" s="59" t="s">
        <v>493</v>
      </c>
      <c r="C315" s="252" t="s">
        <v>428</v>
      </c>
      <c r="D315" s="59" t="s">
        <v>173</v>
      </c>
      <c r="E315" s="483">
        <v>23</v>
      </c>
      <c r="F315" s="370">
        <v>20574</v>
      </c>
      <c r="G315" s="371">
        <f>E315*F315</f>
        <v>473202</v>
      </c>
      <c r="I315" s="489"/>
    </row>
    <row r="316" s="322" customFormat="1" ht="18.75" customHeight="1" spans="2:9">
      <c r="B316" s="59"/>
      <c r="C316" s="26"/>
      <c r="D316" s="59"/>
      <c r="E316" s="483"/>
      <c r="F316" s="370">
        <v>0</v>
      </c>
      <c r="G316" s="371"/>
      <c r="I316" s="489"/>
    </row>
    <row r="317" s="322" customFormat="1" ht="18.75" customHeight="1" spans="2:9">
      <c r="B317" s="59" t="s">
        <v>494</v>
      </c>
      <c r="C317" s="77" t="s">
        <v>495</v>
      </c>
      <c r="D317" s="59"/>
      <c r="E317" s="483"/>
      <c r="F317" s="371">
        <v>0</v>
      </c>
      <c r="G317" s="371"/>
      <c r="I317" s="489"/>
    </row>
    <row r="318" s="322" customFormat="1" ht="18.75" customHeight="1" spans="2:9">
      <c r="B318" s="59"/>
      <c r="C318" s="80"/>
      <c r="D318" s="59"/>
      <c r="E318" s="483"/>
      <c r="F318" s="371">
        <v>0</v>
      </c>
      <c r="G318" s="371"/>
      <c r="I318" s="489"/>
    </row>
    <row r="319" s="322" customFormat="1" ht="18.75" customHeight="1" spans="2:9">
      <c r="B319" s="59" t="s">
        <v>496</v>
      </c>
      <c r="C319" s="192" t="s">
        <v>457</v>
      </c>
      <c r="D319" s="59" t="s">
        <v>173</v>
      </c>
      <c r="E319" s="483">
        <v>107</v>
      </c>
      <c r="F319" s="370">
        <v>20774</v>
      </c>
      <c r="G319" s="371">
        <f>E319*F319</f>
        <v>2222818</v>
      </c>
      <c r="I319" s="489"/>
    </row>
    <row r="320" s="322" customFormat="1" ht="18.75" customHeight="1" spans="2:9">
      <c r="B320" s="59"/>
      <c r="C320" s="26"/>
      <c r="D320" s="59"/>
      <c r="E320" s="483"/>
      <c r="F320" s="370">
        <v>0</v>
      </c>
      <c r="G320" s="371"/>
      <c r="I320" s="489"/>
    </row>
    <row r="321" s="322" customFormat="1" ht="18.75" customHeight="1" spans="2:9">
      <c r="B321" s="59" t="s">
        <v>497</v>
      </c>
      <c r="C321" s="192" t="s">
        <v>404</v>
      </c>
      <c r="D321" s="59" t="s">
        <v>173</v>
      </c>
      <c r="E321" s="483">
        <v>30</v>
      </c>
      <c r="F321" s="370">
        <v>20774</v>
      </c>
      <c r="G321" s="371">
        <f>E321*F321</f>
        <v>623220</v>
      </c>
      <c r="I321" s="489"/>
    </row>
    <row r="322" s="322" customFormat="1" ht="18.75" customHeight="1" spans="2:9">
      <c r="B322" s="59"/>
      <c r="C322" s="26"/>
      <c r="D322" s="59"/>
      <c r="E322" s="483"/>
      <c r="F322" s="370">
        <v>0</v>
      </c>
      <c r="G322" s="371"/>
      <c r="I322" s="489"/>
    </row>
    <row r="323" s="322" customFormat="1" ht="18.75" customHeight="1" spans="2:9">
      <c r="B323" s="59" t="s">
        <v>498</v>
      </c>
      <c r="C323" s="26" t="s">
        <v>406</v>
      </c>
      <c r="D323" s="59" t="s">
        <v>173</v>
      </c>
      <c r="E323" s="483">
        <v>170</v>
      </c>
      <c r="F323" s="370">
        <v>20774</v>
      </c>
      <c r="G323" s="371">
        <f>E323*F323</f>
        <v>3531580</v>
      </c>
      <c r="I323" s="489"/>
    </row>
    <row r="324" s="322" customFormat="1" ht="18.75" customHeight="1" spans="2:9">
      <c r="B324" s="59"/>
      <c r="C324" s="26"/>
      <c r="D324" s="59"/>
      <c r="E324" s="483"/>
      <c r="F324" s="370">
        <v>0</v>
      </c>
      <c r="G324" s="371"/>
      <c r="I324" s="489"/>
    </row>
    <row r="325" s="322" customFormat="1" ht="18.75" customHeight="1" spans="2:9">
      <c r="B325" s="59" t="s">
        <v>499</v>
      </c>
      <c r="C325" s="26" t="s">
        <v>436</v>
      </c>
      <c r="D325" s="59" t="s">
        <v>173</v>
      </c>
      <c r="E325" s="483">
        <v>87</v>
      </c>
      <c r="F325" s="370">
        <v>20774</v>
      </c>
      <c r="G325" s="371">
        <f>E325*F325</f>
        <v>1807338</v>
      </c>
      <c r="I325" s="489"/>
    </row>
    <row r="326" s="322" customFormat="1" ht="18.75" customHeight="1" spans="2:9">
      <c r="B326" s="59"/>
      <c r="C326" s="26"/>
      <c r="D326" s="59"/>
      <c r="E326" s="483"/>
      <c r="F326" s="370">
        <v>0</v>
      </c>
      <c r="G326" s="371"/>
      <c r="I326" s="489"/>
    </row>
    <row r="327" s="322" customFormat="1" ht="18.75" customHeight="1" spans="2:9">
      <c r="B327" s="59" t="s">
        <v>500</v>
      </c>
      <c r="C327" s="26" t="s">
        <v>410</v>
      </c>
      <c r="D327" s="59" t="s">
        <v>173</v>
      </c>
      <c r="E327" s="483">
        <v>46</v>
      </c>
      <c r="F327" s="370">
        <v>20774</v>
      </c>
      <c r="G327" s="371">
        <f>E327*F327</f>
        <v>955604</v>
      </c>
      <c r="I327" s="489"/>
    </row>
    <row r="328" s="322" customFormat="1" ht="18.75" customHeight="1" spans="2:9">
      <c r="B328" s="59"/>
      <c r="C328" s="26"/>
      <c r="D328" s="59"/>
      <c r="E328" s="483"/>
      <c r="F328" s="370">
        <v>0</v>
      </c>
      <c r="G328" s="371"/>
      <c r="I328" s="489"/>
    </row>
    <row r="329" s="322" customFormat="1" ht="18.75" customHeight="1" spans="2:9">
      <c r="B329" s="59" t="s">
        <v>501</v>
      </c>
      <c r="C329" s="26" t="s">
        <v>412</v>
      </c>
      <c r="D329" s="59" t="s">
        <v>173</v>
      </c>
      <c r="E329" s="483">
        <v>43</v>
      </c>
      <c r="F329" s="370">
        <v>20774</v>
      </c>
      <c r="G329" s="371">
        <f>E329*F329</f>
        <v>893282</v>
      </c>
      <c r="I329" s="489"/>
    </row>
    <row r="330" s="322" customFormat="1" ht="18.75" customHeight="1" spans="2:9">
      <c r="B330" s="59"/>
      <c r="C330" s="26"/>
      <c r="D330" s="59"/>
      <c r="E330" s="483"/>
      <c r="F330" s="370">
        <v>0</v>
      </c>
      <c r="G330" s="371"/>
      <c r="I330" s="489"/>
    </row>
    <row r="331" s="322" customFormat="1" ht="27" customHeight="1" spans="2:9">
      <c r="B331" s="67" t="s">
        <v>502</v>
      </c>
      <c r="C331" s="31" t="s">
        <v>424</v>
      </c>
      <c r="D331" s="67" t="s">
        <v>173</v>
      </c>
      <c r="E331" s="486">
        <v>9</v>
      </c>
      <c r="F331" s="375">
        <v>20774</v>
      </c>
      <c r="G331" s="376">
        <f>E331*F331</f>
        <v>186966</v>
      </c>
      <c r="I331" s="489"/>
    </row>
    <row r="332" s="322" customFormat="1" ht="18.75" customHeight="1" spans="2:9">
      <c r="B332" s="59"/>
      <c r="C332" s="26"/>
      <c r="D332" s="59"/>
      <c r="E332" s="483"/>
      <c r="F332" s="370">
        <v>0</v>
      </c>
      <c r="G332" s="371"/>
      <c r="I332" s="489"/>
    </row>
    <row r="333" s="322" customFormat="1" ht="18.75" customHeight="1" spans="2:9">
      <c r="B333" s="59" t="s">
        <v>503</v>
      </c>
      <c r="C333" s="26" t="s">
        <v>426</v>
      </c>
      <c r="D333" s="59" t="s">
        <v>225</v>
      </c>
      <c r="E333" s="483">
        <v>1588</v>
      </c>
      <c r="F333" s="370">
        <v>1248</v>
      </c>
      <c r="G333" s="371">
        <f>E333*F333</f>
        <v>1981824</v>
      </c>
      <c r="I333" s="489"/>
    </row>
    <row r="334" s="322" customFormat="1" ht="18.75" customHeight="1" spans="2:9">
      <c r="B334" s="59"/>
      <c r="C334" s="26"/>
      <c r="D334" s="59"/>
      <c r="E334" s="483"/>
      <c r="F334" s="370">
        <v>0</v>
      </c>
      <c r="G334" s="371"/>
      <c r="I334" s="489"/>
    </row>
    <row r="335" s="322" customFormat="1" ht="43.5" customHeight="1" spans="2:9">
      <c r="B335" s="59" t="s">
        <v>504</v>
      </c>
      <c r="C335" s="252" t="s">
        <v>428</v>
      </c>
      <c r="D335" s="59" t="s">
        <v>173</v>
      </c>
      <c r="E335" s="483">
        <v>25</v>
      </c>
      <c r="F335" s="370">
        <v>20774</v>
      </c>
      <c r="G335" s="371">
        <f>E335*F335</f>
        <v>519350</v>
      </c>
      <c r="I335" s="489"/>
    </row>
    <row r="336" s="322" customFormat="1" ht="18.75" customHeight="1" spans="2:9">
      <c r="B336" s="59"/>
      <c r="C336" s="26"/>
      <c r="D336" s="59"/>
      <c r="E336" s="483"/>
      <c r="F336" s="370">
        <v>0</v>
      </c>
      <c r="G336" s="371"/>
      <c r="I336" s="489"/>
    </row>
    <row r="337" s="322" customFormat="1" ht="18.75" customHeight="1" spans="2:9">
      <c r="B337" s="59" t="s">
        <v>505</v>
      </c>
      <c r="C337" s="77" t="s">
        <v>506</v>
      </c>
      <c r="D337" s="59"/>
      <c r="E337" s="483"/>
      <c r="F337" s="371">
        <v>0</v>
      </c>
      <c r="G337" s="371"/>
      <c r="I337" s="489"/>
    </row>
    <row r="338" s="322" customFormat="1" ht="18.75" customHeight="1" spans="2:9">
      <c r="B338" s="59"/>
      <c r="C338" s="80"/>
      <c r="D338" s="59"/>
      <c r="E338" s="483"/>
      <c r="F338" s="371">
        <v>0</v>
      </c>
      <c r="G338" s="371"/>
      <c r="I338" s="489"/>
    </row>
    <row r="339" s="322" customFormat="1" ht="18.75" customHeight="1" spans="2:9">
      <c r="B339" s="59" t="s">
        <v>507</v>
      </c>
      <c r="C339" s="192" t="s">
        <v>457</v>
      </c>
      <c r="D339" s="59" t="s">
        <v>173</v>
      </c>
      <c r="E339" s="483">
        <v>107</v>
      </c>
      <c r="F339" s="370">
        <v>20972</v>
      </c>
      <c r="G339" s="371">
        <f>E339*F339</f>
        <v>2244004</v>
      </c>
      <c r="I339" s="489"/>
    </row>
    <row r="340" s="322" customFormat="1" ht="18.75" customHeight="1" spans="2:9">
      <c r="B340" s="59"/>
      <c r="C340" s="26"/>
      <c r="D340" s="59"/>
      <c r="E340" s="483"/>
      <c r="F340" s="370">
        <v>0</v>
      </c>
      <c r="G340" s="371"/>
      <c r="I340" s="489"/>
    </row>
    <row r="341" s="322" customFormat="1" ht="18.75" customHeight="1" spans="2:9">
      <c r="B341" s="59" t="s">
        <v>508</v>
      </c>
      <c r="C341" s="192" t="s">
        <v>404</v>
      </c>
      <c r="D341" s="59" t="s">
        <v>173</v>
      </c>
      <c r="E341" s="483">
        <v>30</v>
      </c>
      <c r="F341" s="370">
        <v>20972</v>
      </c>
      <c r="G341" s="371">
        <f>E341*F341</f>
        <v>629160</v>
      </c>
      <c r="I341" s="489"/>
    </row>
    <row r="342" s="322" customFormat="1" ht="18.75" customHeight="1" spans="2:9">
      <c r="B342" s="59"/>
      <c r="C342" s="26"/>
      <c r="D342" s="59"/>
      <c r="E342" s="483"/>
      <c r="F342" s="370">
        <v>0</v>
      </c>
      <c r="G342" s="371"/>
      <c r="I342" s="489"/>
    </row>
    <row r="343" s="322" customFormat="1" ht="18.75" customHeight="1" spans="2:9">
      <c r="B343" s="59" t="s">
        <v>509</v>
      </c>
      <c r="C343" s="26" t="s">
        <v>406</v>
      </c>
      <c r="D343" s="59" t="s">
        <v>173</v>
      </c>
      <c r="E343" s="483">
        <v>170</v>
      </c>
      <c r="F343" s="370">
        <v>20972</v>
      </c>
      <c r="G343" s="371">
        <f>E343*F343</f>
        <v>3565240</v>
      </c>
      <c r="I343" s="489"/>
    </row>
    <row r="344" s="322" customFormat="1" ht="18.75" customHeight="1" spans="2:9">
      <c r="B344" s="59"/>
      <c r="C344" s="26"/>
      <c r="D344" s="59"/>
      <c r="E344" s="483"/>
      <c r="F344" s="370">
        <v>0</v>
      </c>
      <c r="G344" s="371"/>
      <c r="I344" s="489"/>
    </row>
    <row r="345" s="322" customFormat="1" ht="18.75" customHeight="1" spans="2:9">
      <c r="B345" s="59" t="s">
        <v>510</v>
      </c>
      <c r="C345" s="26" t="s">
        <v>436</v>
      </c>
      <c r="D345" s="59" t="s">
        <v>173</v>
      </c>
      <c r="E345" s="483">
        <v>87</v>
      </c>
      <c r="F345" s="370">
        <v>20972</v>
      </c>
      <c r="G345" s="371">
        <f>E345*F345</f>
        <v>1824564</v>
      </c>
      <c r="I345" s="489"/>
    </row>
    <row r="346" s="322" customFormat="1" ht="18.75" customHeight="1" spans="2:9">
      <c r="B346" s="59"/>
      <c r="C346" s="26"/>
      <c r="D346" s="59"/>
      <c r="E346" s="483"/>
      <c r="F346" s="370">
        <v>0</v>
      </c>
      <c r="G346" s="371"/>
      <c r="I346" s="489"/>
    </row>
    <row r="347" s="322" customFormat="1" ht="18.75" customHeight="1" spans="2:9">
      <c r="B347" s="59" t="s">
        <v>511</v>
      </c>
      <c r="C347" s="26" t="s">
        <v>410</v>
      </c>
      <c r="D347" s="59" t="s">
        <v>173</v>
      </c>
      <c r="E347" s="483">
        <v>46</v>
      </c>
      <c r="F347" s="370">
        <v>20972</v>
      </c>
      <c r="G347" s="371">
        <f>E347*F347</f>
        <v>964712</v>
      </c>
      <c r="I347" s="489"/>
    </row>
    <row r="348" s="322" customFormat="1" ht="18.75" customHeight="1" spans="2:9">
      <c r="B348" s="59"/>
      <c r="C348" s="26"/>
      <c r="D348" s="59"/>
      <c r="E348" s="483"/>
      <c r="F348" s="370">
        <v>0</v>
      </c>
      <c r="G348" s="371"/>
      <c r="I348" s="489"/>
    </row>
    <row r="349" s="322" customFormat="1" ht="18.75" customHeight="1" spans="2:9">
      <c r="B349" s="59" t="s">
        <v>512</v>
      </c>
      <c r="C349" s="26" t="s">
        <v>412</v>
      </c>
      <c r="D349" s="59" t="s">
        <v>173</v>
      </c>
      <c r="E349" s="483">
        <v>43</v>
      </c>
      <c r="F349" s="370">
        <v>20972</v>
      </c>
      <c r="G349" s="371">
        <f>E349*F349</f>
        <v>901796</v>
      </c>
      <c r="H349" s="401"/>
      <c r="I349" s="489"/>
    </row>
    <row r="350" s="322" customFormat="1" ht="18.75" customHeight="1" spans="2:9">
      <c r="B350" s="59"/>
      <c r="C350" s="26"/>
      <c r="D350" s="59"/>
      <c r="E350" s="483"/>
      <c r="F350" s="370">
        <v>0</v>
      </c>
      <c r="G350" s="371"/>
      <c r="I350" s="489"/>
    </row>
    <row r="351" s="322" customFormat="1" ht="18.75" customHeight="1" spans="2:9">
      <c r="B351" s="59" t="s">
        <v>513</v>
      </c>
      <c r="C351" s="26" t="s">
        <v>424</v>
      </c>
      <c r="D351" s="59" t="s">
        <v>173</v>
      </c>
      <c r="E351" s="483">
        <v>6</v>
      </c>
      <c r="F351" s="370">
        <v>20972</v>
      </c>
      <c r="G351" s="371">
        <f>E351*F351</f>
        <v>125832</v>
      </c>
      <c r="H351" s="401"/>
      <c r="I351" s="489"/>
    </row>
    <row r="352" s="322" customFormat="1" ht="18.75" customHeight="1" spans="2:9">
      <c r="B352" s="59"/>
      <c r="C352" s="26"/>
      <c r="D352" s="59"/>
      <c r="E352" s="483"/>
      <c r="F352" s="370">
        <v>0</v>
      </c>
      <c r="G352" s="371"/>
      <c r="I352" s="489"/>
    </row>
    <row r="353" s="322" customFormat="1" ht="18.75" customHeight="1" spans="2:9">
      <c r="B353" s="59" t="s">
        <v>514</v>
      </c>
      <c r="C353" s="26" t="s">
        <v>426</v>
      </c>
      <c r="D353" s="59" t="s">
        <v>225</v>
      </c>
      <c r="E353" s="483">
        <v>1588</v>
      </c>
      <c r="F353" s="370">
        <v>1260</v>
      </c>
      <c r="G353" s="371">
        <f>E353*F353</f>
        <v>2000880</v>
      </c>
      <c r="I353" s="489"/>
    </row>
    <row r="354" s="322" customFormat="1" ht="18.75" customHeight="1" spans="2:9">
      <c r="B354" s="59"/>
      <c r="C354" s="26"/>
      <c r="D354" s="59"/>
      <c r="E354" s="483"/>
      <c r="F354" s="370">
        <v>0</v>
      </c>
      <c r="G354" s="371"/>
      <c r="I354" s="489"/>
    </row>
    <row r="355" s="322" customFormat="1" ht="42" customHeight="1" spans="2:9">
      <c r="B355" s="59" t="s">
        <v>515</v>
      </c>
      <c r="C355" s="252" t="s">
        <v>428</v>
      </c>
      <c r="D355" s="59" t="s">
        <v>173</v>
      </c>
      <c r="E355" s="483">
        <v>19.5</v>
      </c>
      <c r="F355" s="370">
        <v>20972</v>
      </c>
      <c r="G355" s="371">
        <f>E355*F355</f>
        <v>408954</v>
      </c>
      <c r="I355" s="489"/>
    </row>
    <row r="356" s="322" customFormat="1" ht="18.75" customHeight="1" spans="2:9">
      <c r="B356" s="59"/>
      <c r="C356" s="26"/>
      <c r="D356" s="59"/>
      <c r="E356" s="483"/>
      <c r="F356" s="370">
        <v>0</v>
      </c>
      <c r="G356" s="371"/>
      <c r="I356" s="489"/>
    </row>
    <row r="357" s="322" customFormat="1" ht="18.75" customHeight="1" spans="2:9">
      <c r="B357" s="59" t="s">
        <v>516</v>
      </c>
      <c r="C357" s="77" t="s">
        <v>517</v>
      </c>
      <c r="D357" s="59"/>
      <c r="E357" s="483"/>
      <c r="F357" s="370">
        <v>0</v>
      </c>
      <c r="G357" s="371"/>
      <c r="I357" s="489"/>
    </row>
    <row r="358" s="322" customFormat="1" ht="18.75" customHeight="1" spans="2:9">
      <c r="B358" s="59"/>
      <c r="C358" s="80"/>
      <c r="D358" s="59"/>
      <c r="E358" s="483"/>
      <c r="F358" s="370">
        <v>0</v>
      </c>
      <c r="G358" s="371"/>
      <c r="I358" s="489"/>
    </row>
    <row r="359" s="322" customFormat="1" ht="18.75" customHeight="1" spans="2:9">
      <c r="B359" s="59" t="s">
        <v>518</v>
      </c>
      <c r="C359" s="192" t="s">
        <v>457</v>
      </c>
      <c r="D359" s="59" t="s">
        <v>173</v>
      </c>
      <c r="E359" s="483">
        <v>42</v>
      </c>
      <c r="F359" s="370">
        <v>21173</v>
      </c>
      <c r="G359" s="371">
        <f>E359*F359</f>
        <v>889266</v>
      </c>
      <c r="I359" s="489"/>
    </row>
    <row r="360" s="322" customFormat="1" ht="18.75" customHeight="1" spans="2:9">
      <c r="B360" s="59"/>
      <c r="C360" s="26"/>
      <c r="D360" s="59"/>
      <c r="E360" s="483"/>
      <c r="F360" s="370">
        <v>0</v>
      </c>
      <c r="G360" s="371"/>
      <c r="I360" s="489"/>
    </row>
    <row r="361" s="322" customFormat="1" ht="18.75" customHeight="1" spans="2:9">
      <c r="B361" s="59" t="s">
        <v>519</v>
      </c>
      <c r="C361" s="192" t="s">
        <v>404</v>
      </c>
      <c r="D361" s="59" t="s">
        <v>173</v>
      </c>
      <c r="E361" s="483">
        <v>30</v>
      </c>
      <c r="F361" s="370">
        <v>21173</v>
      </c>
      <c r="G361" s="371">
        <f>E361*F361</f>
        <v>635190</v>
      </c>
      <c r="I361" s="489"/>
    </row>
    <row r="362" s="322" customFormat="1" ht="18.75" customHeight="1" spans="2:9">
      <c r="B362" s="59"/>
      <c r="C362" s="26"/>
      <c r="D362" s="59"/>
      <c r="E362" s="483"/>
      <c r="F362" s="370">
        <v>0</v>
      </c>
      <c r="G362" s="371"/>
      <c r="I362" s="489"/>
    </row>
    <row r="363" s="322" customFormat="1" ht="18.75" customHeight="1" spans="2:9">
      <c r="B363" s="59" t="s">
        <v>520</v>
      </c>
      <c r="C363" s="26" t="s">
        <v>406</v>
      </c>
      <c r="D363" s="59" t="s">
        <v>173</v>
      </c>
      <c r="E363" s="483">
        <v>71</v>
      </c>
      <c r="F363" s="370">
        <v>21173</v>
      </c>
      <c r="G363" s="371">
        <f>E363*F363</f>
        <v>1503283</v>
      </c>
      <c r="I363" s="489"/>
    </row>
    <row r="364" s="322" customFormat="1" ht="18.75" customHeight="1" spans="2:9">
      <c r="B364" s="59"/>
      <c r="C364" s="26"/>
      <c r="D364" s="59"/>
      <c r="E364" s="483"/>
      <c r="F364" s="370">
        <v>0</v>
      </c>
      <c r="G364" s="371"/>
      <c r="I364" s="489"/>
    </row>
    <row r="365" s="322" customFormat="1" ht="18.75" customHeight="1" spans="2:9">
      <c r="B365" s="59" t="s">
        <v>521</v>
      </c>
      <c r="C365" s="26" t="s">
        <v>436</v>
      </c>
      <c r="D365" s="59" t="s">
        <v>173</v>
      </c>
      <c r="E365" s="483">
        <v>171</v>
      </c>
      <c r="F365" s="370">
        <v>21173</v>
      </c>
      <c r="G365" s="371">
        <f>E365*F365</f>
        <v>3620583</v>
      </c>
      <c r="I365" s="489"/>
    </row>
    <row r="366" s="322" customFormat="1" ht="18.75" customHeight="1" spans="2:9">
      <c r="B366" s="59"/>
      <c r="C366" s="26"/>
      <c r="D366" s="59"/>
      <c r="E366" s="483"/>
      <c r="F366" s="370">
        <v>0</v>
      </c>
      <c r="G366" s="371"/>
      <c r="I366" s="489"/>
    </row>
    <row r="367" s="322" customFormat="1" ht="18.75" customHeight="1" spans="2:9">
      <c r="B367" s="59" t="s">
        <v>522</v>
      </c>
      <c r="C367" s="26" t="s">
        <v>410</v>
      </c>
      <c r="D367" s="59" t="s">
        <v>173</v>
      </c>
      <c r="E367" s="483">
        <v>46</v>
      </c>
      <c r="F367" s="370">
        <v>21173</v>
      </c>
      <c r="G367" s="371">
        <f>E367*F367</f>
        <v>973958</v>
      </c>
      <c r="I367" s="489"/>
    </row>
    <row r="368" s="322" customFormat="1" ht="18.75" customHeight="1" spans="2:9">
      <c r="B368" s="59"/>
      <c r="C368" s="26"/>
      <c r="D368" s="59"/>
      <c r="E368" s="483"/>
      <c r="F368" s="370">
        <v>0</v>
      </c>
      <c r="G368" s="371"/>
      <c r="I368" s="489"/>
    </row>
    <row r="369" s="322" customFormat="1" ht="18.75" customHeight="1" spans="2:9">
      <c r="B369" s="59" t="s">
        <v>523</v>
      </c>
      <c r="C369" s="26" t="s">
        <v>412</v>
      </c>
      <c r="D369" s="59" t="s">
        <v>173</v>
      </c>
      <c r="E369" s="483">
        <v>128</v>
      </c>
      <c r="F369" s="370">
        <v>21173</v>
      </c>
      <c r="G369" s="371">
        <f>E369*F369</f>
        <v>2710144</v>
      </c>
      <c r="I369" s="489"/>
    </row>
    <row r="370" s="322" customFormat="1" ht="18.75" customHeight="1" spans="2:9">
      <c r="B370" s="59"/>
      <c r="C370" s="26"/>
      <c r="D370" s="59"/>
      <c r="E370" s="483"/>
      <c r="F370" s="370">
        <v>0</v>
      </c>
      <c r="G370" s="371"/>
      <c r="I370" s="489"/>
    </row>
    <row r="371" s="322" customFormat="1" ht="18.75" customHeight="1" spans="2:9">
      <c r="B371" s="59" t="s">
        <v>524</v>
      </c>
      <c r="C371" s="252" t="s">
        <v>465</v>
      </c>
      <c r="D371" s="59" t="s">
        <v>173</v>
      </c>
      <c r="E371" s="483">
        <v>21</v>
      </c>
      <c r="F371" s="370">
        <v>21173</v>
      </c>
      <c r="G371" s="371">
        <f>E371*F371</f>
        <v>444633</v>
      </c>
      <c r="I371" s="489"/>
    </row>
    <row r="372" s="322" customFormat="1" ht="18.75" customHeight="1" spans="2:9">
      <c r="B372" s="59"/>
      <c r="C372" s="252"/>
      <c r="D372" s="59"/>
      <c r="E372" s="483"/>
      <c r="F372" s="370">
        <v>0</v>
      </c>
      <c r="G372" s="371"/>
      <c r="I372" s="489"/>
    </row>
    <row r="373" s="322" customFormat="1" ht="18.75" customHeight="1" spans="2:9">
      <c r="B373" s="59" t="s">
        <v>525</v>
      </c>
      <c r="C373" s="26" t="s">
        <v>424</v>
      </c>
      <c r="D373" s="59" t="s">
        <v>173</v>
      </c>
      <c r="E373" s="483">
        <v>6</v>
      </c>
      <c r="F373" s="370">
        <v>21173</v>
      </c>
      <c r="G373" s="371">
        <f>E373*F373</f>
        <v>127038</v>
      </c>
      <c r="I373" s="489"/>
    </row>
    <row r="374" s="322" customFormat="1" ht="18.75" customHeight="1" spans="2:9">
      <c r="B374" s="59"/>
      <c r="C374" s="26"/>
      <c r="D374" s="59"/>
      <c r="E374" s="483"/>
      <c r="F374" s="370">
        <v>0</v>
      </c>
      <c r="G374" s="371"/>
      <c r="I374" s="489"/>
    </row>
    <row r="375" s="322" customFormat="1" ht="27" customHeight="1" spans="2:9">
      <c r="B375" s="67" t="s">
        <v>526</v>
      </c>
      <c r="C375" s="31" t="s">
        <v>426</v>
      </c>
      <c r="D375" s="67" t="s">
        <v>225</v>
      </c>
      <c r="E375" s="486">
        <v>662</v>
      </c>
      <c r="F375" s="375">
        <v>1272</v>
      </c>
      <c r="G375" s="376">
        <f>E375*F375</f>
        <v>842064</v>
      </c>
      <c r="H375" s="498"/>
      <c r="I375" s="489"/>
    </row>
    <row r="376" s="322" customFormat="1" ht="18.75" customHeight="1" spans="2:9">
      <c r="B376" s="59"/>
      <c r="C376" s="26"/>
      <c r="D376" s="59"/>
      <c r="E376" s="483"/>
      <c r="F376" s="370">
        <v>0</v>
      </c>
      <c r="G376" s="371"/>
      <c r="I376" s="489"/>
    </row>
    <row r="377" s="322" customFormat="1" ht="44.25" customHeight="1" spans="2:9">
      <c r="B377" s="59" t="s">
        <v>527</v>
      </c>
      <c r="C377" s="252" t="s">
        <v>428</v>
      </c>
      <c r="D377" s="59" t="s">
        <v>173</v>
      </c>
      <c r="E377" s="483">
        <v>9.5</v>
      </c>
      <c r="F377" s="370">
        <v>21173</v>
      </c>
      <c r="G377" s="371">
        <f>E377*F377</f>
        <v>201143.5</v>
      </c>
      <c r="I377" s="489"/>
    </row>
    <row r="378" s="322" customFormat="1" ht="18.75" customHeight="1" spans="2:9">
      <c r="B378" s="59"/>
      <c r="C378" s="26"/>
      <c r="D378" s="59"/>
      <c r="E378" s="483"/>
      <c r="F378" s="370">
        <v>0</v>
      </c>
      <c r="G378" s="371"/>
      <c r="I378" s="489"/>
    </row>
    <row r="379" s="322" customFormat="1" ht="18.75" customHeight="1" spans="2:9">
      <c r="B379" s="59" t="s">
        <v>528</v>
      </c>
      <c r="C379" s="77" t="s">
        <v>529</v>
      </c>
      <c r="D379" s="59"/>
      <c r="E379" s="483"/>
      <c r="F379" s="370">
        <v>0</v>
      </c>
      <c r="G379" s="371"/>
      <c r="I379" s="489"/>
    </row>
    <row r="380" s="322" customFormat="1" ht="18.75" customHeight="1" spans="2:9">
      <c r="B380" s="59"/>
      <c r="C380" s="80"/>
      <c r="D380" s="59"/>
      <c r="E380" s="483"/>
      <c r="F380" s="370">
        <v>0</v>
      </c>
      <c r="G380" s="371"/>
      <c r="I380" s="489"/>
    </row>
    <row r="381" s="322" customFormat="1" ht="18.75" customHeight="1" spans="2:9">
      <c r="B381" s="59" t="s">
        <v>530</v>
      </c>
      <c r="C381" s="192" t="s">
        <v>457</v>
      </c>
      <c r="D381" s="59" t="s">
        <v>173</v>
      </c>
      <c r="E381" s="483">
        <v>42</v>
      </c>
      <c r="F381" s="370">
        <v>21373</v>
      </c>
      <c r="G381" s="371">
        <f>E381*F381</f>
        <v>897666</v>
      </c>
      <c r="I381" s="489"/>
    </row>
    <row r="382" s="322" customFormat="1" ht="18.75" customHeight="1" spans="2:9">
      <c r="B382" s="59"/>
      <c r="C382" s="26"/>
      <c r="D382" s="59"/>
      <c r="E382" s="483"/>
      <c r="F382" s="370">
        <v>0</v>
      </c>
      <c r="G382" s="371"/>
      <c r="I382" s="489"/>
    </row>
    <row r="383" s="322" customFormat="1" ht="18.75" customHeight="1" spans="2:9">
      <c r="B383" s="59" t="s">
        <v>531</v>
      </c>
      <c r="C383" s="192" t="s">
        <v>473</v>
      </c>
      <c r="D383" s="59" t="s">
        <v>173</v>
      </c>
      <c r="E383" s="483">
        <v>30</v>
      </c>
      <c r="F383" s="370">
        <v>21373</v>
      </c>
      <c r="G383" s="371">
        <f>E383*F383</f>
        <v>641190</v>
      </c>
      <c r="I383" s="489"/>
    </row>
    <row r="384" s="322" customFormat="1" ht="18.75" customHeight="1" spans="2:9">
      <c r="B384" s="59"/>
      <c r="C384" s="26"/>
      <c r="D384" s="59"/>
      <c r="E384" s="483"/>
      <c r="F384" s="370">
        <v>0</v>
      </c>
      <c r="G384" s="371"/>
      <c r="I384" s="489"/>
    </row>
    <row r="385" s="322" customFormat="1" ht="18.75" customHeight="1" spans="2:9">
      <c r="B385" s="59" t="s">
        <v>532</v>
      </c>
      <c r="C385" s="26" t="s">
        <v>406</v>
      </c>
      <c r="D385" s="59" t="s">
        <v>173</v>
      </c>
      <c r="E385" s="483">
        <v>71</v>
      </c>
      <c r="F385" s="370">
        <v>21373</v>
      </c>
      <c r="G385" s="371">
        <f>E385*F385</f>
        <v>1517483</v>
      </c>
      <c r="I385" s="489"/>
    </row>
    <row r="386" s="322" customFormat="1" ht="18.75" customHeight="1" spans="2:9">
      <c r="B386" s="59"/>
      <c r="C386" s="26"/>
      <c r="D386" s="59"/>
      <c r="E386" s="483"/>
      <c r="F386" s="370">
        <v>0</v>
      </c>
      <c r="G386" s="371"/>
      <c r="I386" s="489"/>
    </row>
    <row r="387" s="322" customFormat="1" ht="18.75" customHeight="1" spans="2:9">
      <c r="B387" s="59" t="s">
        <v>533</v>
      </c>
      <c r="C387" s="26" t="s">
        <v>436</v>
      </c>
      <c r="D387" s="59" t="s">
        <v>173</v>
      </c>
      <c r="E387" s="483">
        <v>47</v>
      </c>
      <c r="F387" s="370">
        <v>21373</v>
      </c>
      <c r="G387" s="371">
        <f>E387*F387</f>
        <v>1004531</v>
      </c>
      <c r="I387" s="489"/>
    </row>
    <row r="388" s="322" customFormat="1" ht="18.75" customHeight="1" spans="2:9">
      <c r="B388" s="59"/>
      <c r="C388" s="26"/>
      <c r="D388" s="59"/>
      <c r="E388" s="483"/>
      <c r="F388" s="370">
        <v>0</v>
      </c>
      <c r="G388" s="371"/>
      <c r="I388" s="489"/>
    </row>
    <row r="389" s="322" customFormat="1" ht="18.75" customHeight="1" spans="2:9">
      <c r="B389" s="59" t="s">
        <v>534</v>
      </c>
      <c r="C389" s="26" t="s">
        <v>410</v>
      </c>
      <c r="D389" s="59" t="s">
        <v>173</v>
      </c>
      <c r="E389" s="483">
        <v>46</v>
      </c>
      <c r="F389" s="370">
        <v>21373</v>
      </c>
      <c r="G389" s="371">
        <f>E389*F389</f>
        <v>983158</v>
      </c>
      <c r="I389" s="489"/>
    </row>
    <row r="390" s="322" customFormat="1" ht="18.75" customHeight="1" spans="2:9">
      <c r="B390" s="59"/>
      <c r="C390" s="26"/>
      <c r="D390" s="59"/>
      <c r="E390" s="483"/>
      <c r="F390" s="370">
        <v>0</v>
      </c>
      <c r="G390" s="371"/>
      <c r="I390" s="489"/>
    </row>
    <row r="391" s="322" customFormat="1" ht="18.75" customHeight="1" spans="2:9">
      <c r="B391" s="59" t="s">
        <v>535</v>
      </c>
      <c r="C391" s="26" t="s">
        <v>412</v>
      </c>
      <c r="D391" s="59" t="s">
        <v>173</v>
      </c>
      <c r="E391" s="483">
        <v>18</v>
      </c>
      <c r="F391" s="370">
        <v>21373</v>
      </c>
      <c r="G391" s="371">
        <f>E391*F391</f>
        <v>384714</v>
      </c>
      <c r="I391" s="489"/>
    </row>
    <row r="392" s="322" customFormat="1" ht="18.75" customHeight="1" spans="2:9">
      <c r="B392" s="59"/>
      <c r="C392" s="26"/>
      <c r="D392" s="59"/>
      <c r="E392" s="483"/>
      <c r="F392" s="370">
        <v>0</v>
      </c>
      <c r="G392" s="371"/>
      <c r="I392" s="489"/>
    </row>
    <row r="393" s="322" customFormat="1" ht="18.75" customHeight="1" spans="2:9">
      <c r="B393" s="59" t="s">
        <v>536</v>
      </c>
      <c r="C393" s="26" t="s">
        <v>424</v>
      </c>
      <c r="D393" s="59" t="s">
        <v>173</v>
      </c>
      <c r="E393" s="483">
        <v>6</v>
      </c>
      <c r="F393" s="370">
        <v>21373</v>
      </c>
      <c r="G393" s="371">
        <f>E393*F393</f>
        <v>128238</v>
      </c>
      <c r="I393" s="489"/>
    </row>
    <row r="394" s="322" customFormat="1" ht="18.75" customHeight="1" spans="2:9">
      <c r="B394" s="59"/>
      <c r="C394" s="26"/>
      <c r="D394" s="59"/>
      <c r="E394" s="483"/>
      <c r="F394" s="370">
        <v>0</v>
      </c>
      <c r="G394" s="371"/>
      <c r="I394" s="489"/>
    </row>
    <row r="395" s="322" customFormat="1" ht="18.75" customHeight="1" spans="2:9">
      <c r="B395" s="59" t="s">
        <v>537</v>
      </c>
      <c r="C395" s="26" t="s">
        <v>426</v>
      </c>
      <c r="D395" s="59" t="s">
        <v>225</v>
      </c>
      <c r="E395" s="483">
        <v>662</v>
      </c>
      <c r="F395" s="370">
        <v>1284</v>
      </c>
      <c r="G395" s="371">
        <f>E395*F395</f>
        <v>850008</v>
      </c>
      <c r="I395" s="489"/>
    </row>
    <row r="396" s="322" customFormat="1" ht="18.75" customHeight="1" spans="2:9">
      <c r="B396" s="59"/>
      <c r="C396" s="26"/>
      <c r="D396" s="59"/>
      <c r="E396" s="483"/>
      <c r="F396" s="370">
        <v>0</v>
      </c>
      <c r="G396" s="371"/>
      <c r="I396" s="489"/>
    </row>
    <row r="397" s="322" customFormat="1" ht="43.5" customHeight="1" spans="2:9">
      <c r="B397" s="59" t="s">
        <v>538</v>
      </c>
      <c r="C397" s="252" t="s">
        <v>428</v>
      </c>
      <c r="D397" s="59" t="s">
        <v>173</v>
      </c>
      <c r="E397" s="483">
        <v>9.5</v>
      </c>
      <c r="F397" s="370">
        <v>21373</v>
      </c>
      <c r="G397" s="371">
        <f>E397*F397</f>
        <v>203043.5</v>
      </c>
      <c r="I397" s="489"/>
    </row>
    <row r="398" s="322" customFormat="1" ht="18.75" customHeight="1" spans="2:9">
      <c r="B398" s="59"/>
      <c r="C398" s="26"/>
      <c r="D398" s="59"/>
      <c r="E398" s="483"/>
      <c r="F398" s="370">
        <v>0</v>
      </c>
      <c r="G398" s="371"/>
      <c r="I398" s="489"/>
    </row>
    <row r="399" s="322" customFormat="1" ht="18.75" customHeight="1" spans="2:9">
      <c r="B399" s="59" t="s">
        <v>539</v>
      </c>
      <c r="C399" s="77" t="s">
        <v>540</v>
      </c>
      <c r="D399" s="59"/>
      <c r="E399" s="483"/>
      <c r="F399" s="370">
        <v>0</v>
      </c>
      <c r="G399" s="371"/>
      <c r="I399" s="489"/>
    </row>
    <row r="400" s="322" customFormat="1" ht="18.75" customHeight="1" spans="2:9">
      <c r="B400" s="59"/>
      <c r="C400" s="80"/>
      <c r="D400" s="59"/>
      <c r="E400" s="483"/>
      <c r="F400" s="370">
        <v>0</v>
      </c>
      <c r="G400" s="371"/>
      <c r="I400" s="489"/>
    </row>
    <row r="401" s="322" customFormat="1" ht="18.75" customHeight="1" spans="2:9">
      <c r="B401" s="59" t="s">
        <v>541</v>
      </c>
      <c r="C401" s="192" t="s">
        <v>457</v>
      </c>
      <c r="D401" s="59" t="s">
        <v>173</v>
      </c>
      <c r="E401" s="483">
        <v>42</v>
      </c>
      <c r="F401" s="370">
        <v>21572</v>
      </c>
      <c r="G401" s="371">
        <f>E401*F401</f>
        <v>906024</v>
      </c>
      <c r="I401" s="489"/>
    </row>
    <row r="402" s="322" customFormat="1" ht="18.75" customHeight="1" spans="2:9">
      <c r="B402" s="59"/>
      <c r="C402" s="26"/>
      <c r="D402" s="59"/>
      <c r="E402" s="483"/>
      <c r="F402" s="370">
        <v>0</v>
      </c>
      <c r="G402" s="371"/>
      <c r="I402" s="489"/>
    </row>
    <row r="403" s="322" customFormat="1" ht="18.75" customHeight="1" spans="2:9">
      <c r="B403" s="59" t="s">
        <v>542</v>
      </c>
      <c r="C403" s="192" t="s">
        <v>404</v>
      </c>
      <c r="D403" s="59" t="s">
        <v>173</v>
      </c>
      <c r="E403" s="483">
        <v>30</v>
      </c>
      <c r="F403" s="370">
        <v>21572</v>
      </c>
      <c r="G403" s="371">
        <f>E403*F403</f>
        <v>647160</v>
      </c>
      <c r="I403" s="489"/>
    </row>
    <row r="404" s="322" customFormat="1" ht="18.75" customHeight="1" spans="2:9">
      <c r="B404" s="59"/>
      <c r="C404" s="26"/>
      <c r="D404" s="59"/>
      <c r="E404" s="483"/>
      <c r="F404" s="370">
        <v>0</v>
      </c>
      <c r="G404" s="371"/>
      <c r="I404" s="489"/>
    </row>
    <row r="405" s="322" customFormat="1" ht="18.75" customHeight="1" spans="2:9">
      <c r="B405" s="59" t="s">
        <v>543</v>
      </c>
      <c r="C405" s="26" t="s">
        <v>406</v>
      </c>
      <c r="D405" s="59" t="s">
        <v>173</v>
      </c>
      <c r="E405" s="483">
        <v>71</v>
      </c>
      <c r="F405" s="370">
        <v>21572</v>
      </c>
      <c r="G405" s="371">
        <f>E405*F405</f>
        <v>1531612</v>
      </c>
      <c r="I405" s="489"/>
    </row>
    <row r="406" s="322" customFormat="1" ht="18.75" customHeight="1" spans="2:9">
      <c r="B406" s="59"/>
      <c r="C406" s="26"/>
      <c r="D406" s="59"/>
      <c r="E406" s="483"/>
      <c r="F406" s="370">
        <v>0</v>
      </c>
      <c r="G406" s="371"/>
      <c r="I406" s="489"/>
    </row>
    <row r="407" s="322" customFormat="1" ht="18.75" customHeight="1" spans="2:9">
      <c r="B407" s="59" t="s">
        <v>544</v>
      </c>
      <c r="C407" s="26" t="s">
        <v>436</v>
      </c>
      <c r="D407" s="59" t="s">
        <v>173</v>
      </c>
      <c r="E407" s="483">
        <v>47</v>
      </c>
      <c r="F407" s="370">
        <v>21572</v>
      </c>
      <c r="G407" s="371">
        <f>E407*F407</f>
        <v>1013884</v>
      </c>
      <c r="I407" s="489"/>
    </row>
    <row r="408" s="322" customFormat="1" ht="18.75" customHeight="1" spans="2:9">
      <c r="B408" s="59"/>
      <c r="C408" s="26"/>
      <c r="D408" s="59"/>
      <c r="E408" s="483"/>
      <c r="F408" s="370">
        <v>0</v>
      </c>
      <c r="G408" s="371"/>
      <c r="I408" s="489"/>
    </row>
    <row r="409" s="322" customFormat="1" ht="18.75" customHeight="1" spans="2:9">
      <c r="B409" s="59" t="s">
        <v>545</v>
      </c>
      <c r="C409" s="26" t="s">
        <v>410</v>
      </c>
      <c r="D409" s="59" t="s">
        <v>173</v>
      </c>
      <c r="E409" s="483">
        <v>46</v>
      </c>
      <c r="F409" s="370">
        <v>21572</v>
      </c>
      <c r="G409" s="371">
        <f>E409*F409</f>
        <v>992312</v>
      </c>
      <c r="I409" s="489"/>
    </row>
    <row r="410" s="322" customFormat="1" ht="18.75" customHeight="1" spans="2:9">
      <c r="B410" s="59"/>
      <c r="C410" s="26"/>
      <c r="D410" s="59"/>
      <c r="E410" s="483"/>
      <c r="F410" s="370">
        <v>0</v>
      </c>
      <c r="G410" s="371"/>
      <c r="I410" s="489"/>
    </row>
    <row r="411" s="322" customFormat="1" ht="18.75" customHeight="1" spans="2:9">
      <c r="B411" s="59" t="s">
        <v>546</v>
      </c>
      <c r="C411" s="26" t="s">
        <v>412</v>
      </c>
      <c r="D411" s="59" t="s">
        <v>173</v>
      </c>
      <c r="E411" s="483">
        <v>20</v>
      </c>
      <c r="F411" s="370">
        <v>21572</v>
      </c>
      <c r="G411" s="371">
        <f>E411*F411</f>
        <v>431440</v>
      </c>
      <c r="I411" s="489"/>
    </row>
    <row r="412" s="322" customFormat="1" ht="18.75" customHeight="1" spans="2:9">
      <c r="B412" s="59"/>
      <c r="C412" s="26"/>
      <c r="D412" s="59"/>
      <c r="E412" s="483"/>
      <c r="F412" s="370">
        <v>0</v>
      </c>
      <c r="G412" s="371"/>
      <c r="I412" s="489"/>
    </row>
    <row r="413" s="322" customFormat="1" ht="18.75" customHeight="1" spans="2:9">
      <c r="B413" s="59" t="s">
        <v>547</v>
      </c>
      <c r="C413" s="26" t="s">
        <v>424</v>
      </c>
      <c r="D413" s="59" t="s">
        <v>173</v>
      </c>
      <c r="E413" s="483">
        <v>6</v>
      </c>
      <c r="F413" s="370">
        <v>21572</v>
      </c>
      <c r="G413" s="371">
        <f>E413*F413</f>
        <v>129432</v>
      </c>
      <c r="I413" s="489"/>
    </row>
    <row r="414" s="322" customFormat="1" ht="18.75" customHeight="1" spans="2:9">
      <c r="B414" s="59"/>
      <c r="C414" s="26"/>
      <c r="D414" s="59"/>
      <c r="E414" s="483"/>
      <c r="F414" s="370">
        <v>0</v>
      </c>
      <c r="G414" s="371"/>
      <c r="I414" s="489"/>
    </row>
    <row r="415" s="322" customFormat="1" ht="18.75" customHeight="1" spans="2:9">
      <c r="B415" s="59" t="s">
        <v>548</v>
      </c>
      <c r="C415" s="26" t="s">
        <v>426</v>
      </c>
      <c r="D415" s="59" t="s">
        <v>225</v>
      </c>
      <c r="E415" s="483">
        <v>662</v>
      </c>
      <c r="F415" s="370">
        <v>1297</v>
      </c>
      <c r="G415" s="371">
        <f>E415*F415</f>
        <v>858614</v>
      </c>
      <c r="I415" s="489"/>
    </row>
    <row r="416" s="322" customFormat="1" ht="18.75" customHeight="1" spans="2:9">
      <c r="B416" s="59"/>
      <c r="C416" s="26"/>
      <c r="D416" s="59"/>
      <c r="E416" s="483"/>
      <c r="F416" s="370">
        <v>0</v>
      </c>
      <c r="G416" s="371"/>
      <c r="I416" s="489"/>
    </row>
    <row r="417" s="322" customFormat="1" ht="18.75" customHeight="1" spans="2:9">
      <c r="B417" s="59" t="s">
        <v>549</v>
      </c>
      <c r="C417" s="252" t="s">
        <v>550</v>
      </c>
      <c r="D417" s="59" t="s">
        <v>173</v>
      </c>
      <c r="E417" s="483">
        <v>7</v>
      </c>
      <c r="F417" s="370">
        <v>21572</v>
      </c>
      <c r="G417" s="371">
        <f>E417*F417</f>
        <v>151004</v>
      </c>
      <c r="I417" s="489"/>
    </row>
    <row r="418" s="322" customFormat="1" ht="27" customHeight="1" spans="2:9">
      <c r="B418" s="67"/>
      <c r="C418" s="31"/>
      <c r="D418" s="67"/>
      <c r="E418" s="486"/>
      <c r="F418" s="375">
        <v>0</v>
      </c>
      <c r="G418" s="376"/>
      <c r="I418" s="489"/>
    </row>
    <row r="419" s="322" customFormat="1" ht="24" customHeight="1" spans="2:9">
      <c r="B419" s="72" t="s">
        <v>551</v>
      </c>
      <c r="C419" s="73" t="s">
        <v>552</v>
      </c>
      <c r="D419" s="59"/>
      <c r="E419" s="483"/>
      <c r="F419" s="370">
        <v>0</v>
      </c>
      <c r="G419" s="371"/>
      <c r="I419" s="489"/>
    </row>
    <row r="420" s="322" customFormat="1" ht="18.75" customHeight="1" spans="2:9">
      <c r="B420" s="59"/>
      <c r="C420" s="80"/>
      <c r="D420" s="59"/>
      <c r="E420" s="483"/>
      <c r="F420" s="370">
        <v>0</v>
      </c>
      <c r="G420" s="371"/>
      <c r="I420" s="489"/>
    </row>
    <row r="421" s="322" customFormat="1" ht="18.75" customHeight="1" spans="2:9">
      <c r="B421" s="59" t="s">
        <v>553</v>
      </c>
      <c r="C421" s="26" t="s">
        <v>554</v>
      </c>
      <c r="D421" s="59" t="s">
        <v>173</v>
      </c>
      <c r="E421" s="483">
        <v>129.4</v>
      </c>
      <c r="F421" s="370">
        <v>21772</v>
      </c>
      <c r="G421" s="371">
        <f>E421*F421</f>
        <v>2817296.8</v>
      </c>
      <c r="I421" s="489"/>
    </row>
    <row r="422" s="322" customFormat="1" ht="18.75" customHeight="1" spans="2:9">
      <c r="B422" s="59"/>
      <c r="C422" s="26"/>
      <c r="D422" s="59"/>
      <c r="E422" s="483"/>
      <c r="F422" s="370">
        <v>0</v>
      </c>
      <c r="G422" s="371"/>
      <c r="I422" s="489"/>
    </row>
    <row r="423" s="322" customFormat="1" ht="18.75" customHeight="1" spans="2:9">
      <c r="B423" s="59" t="s">
        <v>555</v>
      </c>
      <c r="C423" s="26" t="s">
        <v>556</v>
      </c>
      <c r="D423" s="59" t="s">
        <v>173</v>
      </c>
      <c r="E423" s="483">
        <v>51</v>
      </c>
      <c r="F423" s="370">
        <v>21772</v>
      </c>
      <c r="G423" s="371">
        <f>E423*F423</f>
        <v>1110372</v>
      </c>
      <c r="I423" s="489"/>
    </row>
    <row r="424" s="322" customFormat="1" ht="18.75" customHeight="1" spans="2:9">
      <c r="B424" s="59"/>
      <c r="C424" s="26"/>
      <c r="D424" s="59"/>
      <c r="E424" s="483"/>
      <c r="F424" s="370">
        <v>0</v>
      </c>
      <c r="G424" s="371"/>
      <c r="I424" s="489"/>
    </row>
    <row r="425" s="322" customFormat="1" ht="18.75" customHeight="1" spans="2:9">
      <c r="B425" s="59" t="s">
        <v>557</v>
      </c>
      <c r="C425" s="252" t="s">
        <v>465</v>
      </c>
      <c r="D425" s="59" t="s">
        <v>173</v>
      </c>
      <c r="E425" s="483">
        <v>13.3</v>
      </c>
      <c r="F425" s="370">
        <v>21772</v>
      </c>
      <c r="G425" s="371">
        <f>E425*F425</f>
        <v>289567.6</v>
      </c>
      <c r="I425" s="489"/>
    </row>
    <row r="426" s="322" customFormat="1" ht="18.75" customHeight="1" spans="2:9">
      <c r="B426" s="59"/>
      <c r="C426" s="252"/>
      <c r="D426" s="59"/>
      <c r="E426" s="483"/>
      <c r="F426" s="370">
        <v>0</v>
      </c>
      <c r="G426" s="371"/>
      <c r="I426" s="489"/>
    </row>
    <row r="427" s="322" customFormat="1" ht="18.75" customHeight="1" spans="2:9">
      <c r="B427" s="59" t="s">
        <v>558</v>
      </c>
      <c r="C427" s="26" t="s">
        <v>424</v>
      </c>
      <c r="D427" s="59" t="s">
        <v>173</v>
      </c>
      <c r="E427" s="483">
        <v>3</v>
      </c>
      <c r="F427" s="370">
        <v>21772</v>
      </c>
      <c r="G427" s="371">
        <f>E427*F427</f>
        <v>65316</v>
      </c>
      <c r="I427" s="489"/>
    </row>
    <row r="428" s="322" customFormat="1" ht="18.75" customHeight="1" spans="2:9">
      <c r="B428" s="59"/>
      <c r="C428" s="252"/>
      <c r="D428" s="59"/>
      <c r="E428" s="483"/>
      <c r="F428" s="370">
        <v>0</v>
      </c>
      <c r="G428" s="371"/>
      <c r="I428" s="489"/>
    </row>
    <row r="429" s="322" customFormat="1" ht="18.75" customHeight="1" spans="2:9">
      <c r="B429" s="59" t="s">
        <v>559</v>
      </c>
      <c r="C429" s="192" t="s">
        <v>457</v>
      </c>
      <c r="D429" s="59" t="s">
        <v>173</v>
      </c>
      <c r="E429" s="483">
        <v>4</v>
      </c>
      <c r="F429" s="370">
        <v>21772</v>
      </c>
      <c r="G429" s="371">
        <f>E429*F429</f>
        <v>87088</v>
      </c>
      <c r="I429" s="489"/>
    </row>
    <row r="430" s="322" customFormat="1" ht="18.75" customHeight="1" spans="2:9">
      <c r="B430" s="59"/>
      <c r="C430" s="26"/>
      <c r="D430" s="59"/>
      <c r="E430" s="483"/>
      <c r="F430" s="370">
        <v>0</v>
      </c>
      <c r="G430" s="371"/>
      <c r="I430" s="489"/>
    </row>
    <row r="431" s="322" customFormat="1" ht="18.75" customHeight="1" spans="2:9">
      <c r="B431" s="59" t="s">
        <v>560</v>
      </c>
      <c r="C431" s="26" t="s">
        <v>561</v>
      </c>
      <c r="D431" s="59" t="s">
        <v>173</v>
      </c>
      <c r="E431" s="483">
        <v>7</v>
      </c>
      <c r="F431" s="370">
        <v>21772</v>
      </c>
      <c r="G431" s="371">
        <f>E431*F431</f>
        <v>152404</v>
      </c>
      <c r="I431" s="489"/>
    </row>
    <row r="432" s="322" customFormat="1" ht="18.75" customHeight="1" spans="2:9">
      <c r="B432" s="59"/>
      <c r="C432" s="26"/>
      <c r="D432" s="59"/>
      <c r="E432" s="483"/>
      <c r="F432" s="370">
        <v>0</v>
      </c>
      <c r="G432" s="371"/>
      <c r="I432" s="489"/>
    </row>
    <row r="433" s="322" customFormat="1" ht="18.75" customHeight="1" spans="2:9">
      <c r="B433" s="59" t="s">
        <v>562</v>
      </c>
      <c r="C433" s="26" t="s">
        <v>410</v>
      </c>
      <c r="D433" s="59" t="s">
        <v>173</v>
      </c>
      <c r="E433" s="483">
        <v>34.5</v>
      </c>
      <c r="F433" s="370">
        <v>21772</v>
      </c>
      <c r="G433" s="371">
        <f>E433*F433</f>
        <v>751134</v>
      </c>
      <c r="I433" s="489"/>
    </row>
    <row r="434" s="322" customFormat="1" ht="18.75" customHeight="1" spans="2:9">
      <c r="B434" s="59"/>
      <c r="C434" s="26"/>
      <c r="D434" s="59"/>
      <c r="E434" s="483"/>
      <c r="F434" s="370">
        <v>0</v>
      </c>
      <c r="G434" s="371"/>
      <c r="I434" s="489"/>
    </row>
    <row r="435" s="322" customFormat="1" ht="31.5" customHeight="1" spans="2:9">
      <c r="B435" s="59" t="s">
        <v>563</v>
      </c>
      <c r="C435" s="26" t="s">
        <v>564</v>
      </c>
      <c r="D435" s="59" t="s">
        <v>173</v>
      </c>
      <c r="E435" s="483">
        <v>25.9</v>
      </c>
      <c r="F435" s="370">
        <v>21772</v>
      </c>
      <c r="G435" s="371">
        <f>E435*F435</f>
        <v>563894.8</v>
      </c>
      <c r="I435" s="489"/>
    </row>
    <row r="436" s="322" customFormat="1" ht="18.75" customHeight="1" spans="2:9">
      <c r="B436" s="59"/>
      <c r="C436" s="26"/>
      <c r="D436" s="59"/>
      <c r="E436" s="483"/>
      <c r="F436" s="370">
        <v>0</v>
      </c>
      <c r="G436" s="371"/>
      <c r="I436" s="489"/>
    </row>
    <row r="437" s="322" customFormat="1" ht="18.75" customHeight="1" spans="2:9">
      <c r="B437" s="59" t="s">
        <v>565</v>
      </c>
      <c r="C437" s="26" t="s">
        <v>424</v>
      </c>
      <c r="D437" s="59" t="s">
        <v>173</v>
      </c>
      <c r="E437" s="483">
        <v>3</v>
      </c>
      <c r="F437" s="370">
        <v>21772</v>
      </c>
      <c r="G437" s="371">
        <f>E437*F437</f>
        <v>65316</v>
      </c>
      <c r="I437" s="489"/>
    </row>
    <row r="438" s="322" customFormat="1" ht="18.75" customHeight="1" spans="2:9">
      <c r="B438" s="59"/>
      <c r="C438" s="26"/>
      <c r="D438" s="59"/>
      <c r="E438" s="483"/>
      <c r="F438" s="370">
        <v>0</v>
      </c>
      <c r="G438" s="371"/>
      <c r="I438" s="489"/>
    </row>
    <row r="439" s="322" customFormat="1" ht="18.75" customHeight="1" spans="2:9">
      <c r="B439" s="59" t="s">
        <v>566</v>
      </c>
      <c r="C439" s="77" t="s">
        <v>567</v>
      </c>
      <c r="D439" s="59"/>
      <c r="E439" s="483"/>
      <c r="F439" s="370">
        <v>0</v>
      </c>
      <c r="G439" s="371"/>
      <c r="I439" s="489"/>
    </row>
    <row r="440" s="322" customFormat="1" ht="18.75" customHeight="1" spans="2:9">
      <c r="B440" s="59"/>
      <c r="C440" s="77"/>
      <c r="D440" s="59"/>
      <c r="E440" s="483"/>
      <c r="F440" s="370">
        <v>0</v>
      </c>
      <c r="G440" s="371"/>
      <c r="I440" s="489"/>
    </row>
    <row r="441" s="322" customFormat="1" ht="18.75" customHeight="1" spans="2:9">
      <c r="B441" s="59" t="s">
        <v>568</v>
      </c>
      <c r="C441" s="192" t="s">
        <v>569</v>
      </c>
      <c r="D441" s="59" t="s">
        <v>173</v>
      </c>
      <c r="E441" s="483">
        <v>24</v>
      </c>
      <c r="F441" s="370">
        <v>21772</v>
      </c>
      <c r="G441" s="371">
        <f>E441*F441</f>
        <v>522528</v>
      </c>
      <c r="I441" s="489"/>
    </row>
    <row r="442" s="322" customFormat="1" ht="18.75" customHeight="1" spans="2:9">
      <c r="B442" s="59"/>
      <c r="C442" s="192"/>
      <c r="D442" s="59"/>
      <c r="E442" s="483"/>
      <c r="F442" s="370">
        <v>0</v>
      </c>
      <c r="G442" s="371"/>
      <c r="I442" s="489"/>
    </row>
    <row r="443" s="322" customFormat="1" ht="18.75" customHeight="1" spans="2:9">
      <c r="B443" s="59" t="s">
        <v>570</v>
      </c>
      <c r="C443" s="192" t="s">
        <v>289</v>
      </c>
      <c r="D443" s="59" t="s">
        <v>173</v>
      </c>
      <c r="E443" s="483">
        <v>20</v>
      </c>
      <c r="F443" s="370">
        <v>21772</v>
      </c>
      <c r="G443" s="371">
        <f>E443*F443</f>
        <v>435440</v>
      </c>
      <c r="I443" s="489"/>
    </row>
    <row r="444" s="322" customFormat="1" ht="18.75" customHeight="1" spans="2:9">
      <c r="B444" s="59"/>
      <c r="C444" s="192"/>
      <c r="D444" s="59"/>
      <c r="E444" s="483"/>
      <c r="F444" s="370">
        <v>0</v>
      </c>
      <c r="G444" s="371"/>
      <c r="I444" s="489"/>
    </row>
    <row r="445" s="322" customFormat="1" ht="18.75" customHeight="1" spans="2:9">
      <c r="B445" s="59" t="s">
        <v>571</v>
      </c>
      <c r="C445" s="192" t="s">
        <v>291</v>
      </c>
      <c r="D445" s="59" t="s">
        <v>173</v>
      </c>
      <c r="E445" s="483">
        <v>12</v>
      </c>
      <c r="F445" s="370">
        <v>21772</v>
      </c>
      <c r="G445" s="371">
        <f>E445*F445</f>
        <v>261264</v>
      </c>
      <c r="I445" s="489"/>
    </row>
    <row r="446" s="322" customFormat="1" ht="18.75" customHeight="1" spans="2:9">
      <c r="B446" s="59"/>
      <c r="C446" s="192"/>
      <c r="D446" s="59"/>
      <c r="E446" s="483"/>
      <c r="F446" s="370">
        <v>0</v>
      </c>
      <c r="G446" s="371"/>
      <c r="I446" s="489"/>
    </row>
    <row r="447" s="322" customFormat="1" ht="18.75" customHeight="1" spans="2:9">
      <c r="B447" s="59" t="s">
        <v>572</v>
      </c>
      <c r="C447" s="192" t="s">
        <v>293</v>
      </c>
      <c r="D447" s="59" t="s">
        <v>173</v>
      </c>
      <c r="E447" s="483">
        <v>2</v>
      </c>
      <c r="F447" s="370">
        <v>21772</v>
      </c>
      <c r="G447" s="371">
        <f>E447*F447</f>
        <v>43544</v>
      </c>
      <c r="I447" s="489"/>
    </row>
    <row r="448" s="322" customFormat="1" ht="18.75" customHeight="1" spans="2:9">
      <c r="B448" s="59"/>
      <c r="C448" s="192"/>
      <c r="D448" s="59"/>
      <c r="E448" s="483"/>
      <c r="F448" s="370">
        <v>0</v>
      </c>
      <c r="G448" s="371"/>
      <c r="I448" s="489"/>
    </row>
    <row r="449" s="322" customFormat="1" ht="30.75" customHeight="1" spans="2:9">
      <c r="B449" s="59" t="s">
        <v>573</v>
      </c>
      <c r="C449" s="192" t="s">
        <v>574</v>
      </c>
      <c r="D449" s="59" t="s">
        <v>163</v>
      </c>
      <c r="E449" s="483"/>
      <c r="F449" s="370">
        <v>0</v>
      </c>
      <c r="G449" s="371"/>
      <c r="I449" s="489"/>
    </row>
    <row r="450" s="322" customFormat="1" ht="18.75" customHeight="1" spans="2:9">
      <c r="B450" s="59"/>
      <c r="C450" s="192"/>
      <c r="D450" s="59"/>
      <c r="E450" s="483"/>
      <c r="F450" s="370">
        <v>0</v>
      </c>
      <c r="G450" s="371"/>
      <c r="I450" s="489"/>
    </row>
    <row r="451" s="322" customFormat="1" ht="18.75" customHeight="1" spans="2:9">
      <c r="B451" s="59"/>
      <c r="C451" s="77" t="s">
        <v>575</v>
      </c>
      <c r="D451" s="59"/>
      <c r="E451" s="483"/>
      <c r="F451" s="370">
        <v>0</v>
      </c>
      <c r="G451" s="371"/>
      <c r="I451" s="489"/>
    </row>
    <row r="452" s="322" customFormat="1" ht="46.5" customHeight="1" spans="2:9">
      <c r="B452" s="59" t="s">
        <v>576</v>
      </c>
      <c r="C452" s="26" t="s">
        <v>577</v>
      </c>
      <c r="D452" s="59"/>
      <c r="E452" s="483"/>
      <c r="F452" s="370">
        <v>0</v>
      </c>
      <c r="G452" s="371"/>
      <c r="I452" s="489"/>
    </row>
    <row r="453" s="322" customFormat="1" ht="72.75" customHeight="1" spans="2:9">
      <c r="B453" s="59"/>
      <c r="C453" s="26" t="s">
        <v>578</v>
      </c>
      <c r="D453" s="59" t="s">
        <v>163</v>
      </c>
      <c r="E453" s="483"/>
      <c r="F453" s="370">
        <v>0</v>
      </c>
      <c r="G453" s="371"/>
      <c r="H453" s="499" t="s">
        <v>579</v>
      </c>
      <c r="I453" s="489"/>
    </row>
    <row r="454" s="322" customFormat="1" ht="22.5" customHeight="1" spans="2:9">
      <c r="B454" s="491" t="s">
        <v>580</v>
      </c>
      <c r="C454" s="26" t="s">
        <v>247</v>
      </c>
      <c r="D454" s="59" t="s">
        <v>225</v>
      </c>
      <c r="E454" s="483">
        <v>1600</v>
      </c>
      <c r="F454" s="500">
        <v>1292</v>
      </c>
      <c r="G454" s="371">
        <f>E454*F454</f>
        <v>2067200</v>
      </c>
      <c r="I454" s="489"/>
    </row>
    <row r="455" s="322" customFormat="1" ht="22.5" customHeight="1" spans="2:9">
      <c r="B455" s="491" t="s">
        <v>581</v>
      </c>
      <c r="C455" s="26" t="s">
        <v>249</v>
      </c>
      <c r="D455" s="59" t="s">
        <v>225</v>
      </c>
      <c r="E455" s="483">
        <v>2610</v>
      </c>
      <c r="F455" s="370">
        <v>1306</v>
      </c>
      <c r="G455" s="371">
        <f t="shared" ref="G455:G462" si="10">E455*F455</f>
        <v>3408660</v>
      </c>
      <c r="I455" s="489"/>
    </row>
    <row r="456" s="322" customFormat="1" ht="22.5" customHeight="1" spans="2:9">
      <c r="B456" s="491" t="s">
        <v>582</v>
      </c>
      <c r="C456" s="26" t="s">
        <v>251</v>
      </c>
      <c r="D456" s="59" t="s">
        <v>225</v>
      </c>
      <c r="E456" s="483">
        <v>1975</v>
      </c>
      <c r="F456" s="370">
        <v>1319</v>
      </c>
      <c r="G456" s="371">
        <f t="shared" si="10"/>
        <v>2605025</v>
      </c>
      <c r="I456" s="489"/>
    </row>
    <row r="457" s="322" customFormat="1" ht="31.5" customHeight="1" spans="2:9">
      <c r="B457" s="492" t="s">
        <v>583</v>
      </c>
      <c r="C457" s="31" t="s">
        <v>253</v>
      </c>
      <c r="D457" s="67" t="s">
        <v>225</v>
      </c>
      <c r="E457" s="486">
        <v>1310</v>
      </c>
      <c r="F457" s="375">
        <v>1331</v>
      </c>
      <c r="G457" s="376">
        <f t="shared" si="10"/>
        <v>1743610</v>
      </c>
      <c r="I457" s="489"/>
    </row>
    <row r="458" s="321" customFormat="1" ht="34.5" customHeight="1" spans="2:9">
      <c r="B458" s="493" t="s">
        <v>584</v>
      </c>
      <c r="C458" s="364" t="s">
        <v>255</v>
      </c>
      <c r="D458" s="72" t="s">
        <v>225</v>
      </c>
      <c r="E458" s="494">
        <v>1390</v>
      </c>
      <c r="F458" s="495">
        <v>1344</v>
      </c>
      <c r="G458" s="496">
        <f t="shared" si="10"/>
        <v>1868160</v>
      </c>
      <c r="I458" s="497"/>
    </row>
    <row r="459" s="322" customFormat="1" ht="22.5" customHeight="1" spans="2:9">
      <c r="B459" s="491" t="s">
        <v>585</v>
      </c>
      <c r="C459" s="26" t="s">
        <v>257</v>
      </c>
      <c r="D459" s="59" t="s">
        <v>225</v>
      </c>
      <c r="E459" s="483">
        <v>1390</v>
      </c>
      <c r="F459" s="370">
        <v>1357</v>
      </c>
      <c r="G459" s="371">
        <f t="shared" si="10"/>
        <v>1886230</v>
      </c>
      <c r="I459" s="489"/>
    </row>
    <row r="460" s="322" customFormat="1" ht="22.5" customHeight="1" spans="2:9">
      <c r="B460" s="491" t="s">
        <v>586</v>
      </c>
      <c r="C460" s="26" t="s">
        <v>259</v>
      </c>
      <c r="D460" s="59" t="s">
        <v>225</v>
      </c>
      <c r="E460" s="483">
        <v>575</v>
      </c>
      <c r="F460" s="370">
        <v>1370</v>
      </c>
      <c r="G460" s="371">
        <f t="shared" si="10"/>
        <v>787750</v>
      </c>
      <c r="I460" s="489"/>
    </row>
    <row r="461" s="322" customFormat="1" ht="22.5" customHeight="1" spans="2:9">
      <c r="B461" s="491" t="s">
        <v>587</v>
      </c>
      <c r="C461" s="26" t="s">
        <v>261</v>
      </c>
      <c r="D461" s="59" t="s">
        <v>225</v>
      </c>
      <c r="E461" s="483">
        <v>575</v>
      </c>
      <c r="F461" s="370">
        <v>1383</v>
      </c>
      <c r="G461" s="371">
        <f t="shared" si="10"/>
        <v>795225</v>
      </c>
      <c r="I461" s="489"/>
    </row>
    <row r="462" s="322" customFormat="1" ht="22.5" customHeight="1" spans="2:9">
      <c r="B462" s="491" t="s">
        <v>588</v>
      </c>
      <c r="C462" s="26" t="s">
        <v>263</v>
      </c>
      <c r="D462" s="59" t="s">
        <v>225</v>
      </c>
      <c r="E462" s="483">
        <v>550</v>
      </c>
      <c r="F462" s="370">
        <v>1396</v>
      </c>
      <c r="G462" s="371">
        <f t="shared" si="10"/>
        <v>767800</v>
      </c>
      <c r="I462" s="489"/>
    </row>
    <row r="463" s="322" customFormat="1" ht="18.75" customHeight="1" spans="2:9">
      <c r="B463" s="360" t="s">
        <v>589</v>
      </c>
      <c r="C463" s="501" t="s">
        <v>590</v>
      </c>
      <c r="D463" s="59"/>
      <c r="E463" s="483"/>
      <c r="F463" s="371">
        <v>0</v>
      </c>
      <c r="G463" s="371"/>
      <c r="I463" s="489"/>
    </row>
    <row r="464" s="322" customFormat="1" ht="18.75" customHeight="1" spans="2:9">
      <c r="B464" s="59"/>
      <c r="C464" s="226"/>
      <c r="D464" s="59"/>
      <c r="E464" s="483"/>
      <c r="F464" s="371">
        <v>0</v>
      </c>
      <c r="G464" s="371"/>
      <c r="I464" s="489"/>
    </row>
    <row r="465" s="322" customFormat="1" ht="29.25" customHeight="1" spans="2:9">
      <c r="B465" s="59" t="s">
        <v>589</v>
      </c>
      <c r="C465" s="77" t="s">
        <v>591</v>
      </c>
      <c r="D465" s="59"/>
      <c r="E465" s="483"/>
      <c r="F465" s="371">
        <v>0</v>
      </c>
      <c r="G465" s="371"/>
      <c r="I465" s="489"/>
    </row>
    <row r="466" s="322" customFormat="1" ht="31.5" customHeight="1" spans="2:9">
      <c r="B466" s="59"/>
      <c r="C466" s="77" t="s">
        <v>592</v>
      </c>
      <c r="D466" s="59"/>
      <c r="E466" s="483"/>
      <c r="F466" s="371">
        <v>0</v>
      </c>
      <c r="G466" s="371"/>
      <c r="I466" s="489"/>
    </row>
    <row r="467" s="322" customFormat="1" ht="18.75" customHeight="1" spans="2:9">
      <c r="B467" s="59" t="s">
        <v>593</v>
      </c>
      <c r="C467" s="77" t="s">
        <v>594</v>
      </c>
      <c r="D467" s="59"/>
      <c r="E467" s="483"/>
      <c r="F467" s="371">
        <v>0</v>
      </c>
      <c r="G467" s="371"/>
      <c r="I467" s="489"/>
    </row>
    <row r="468" s="322" customFormat="1" ht="9" customHeight="1" spans="2:9">
      <c r="B468" s="59"/>
      <c r="C468" s="77"/>
      <c r="D468" s="59"/>
      <c r="E468" s="483"/>
      <c r="F468" s="371">
        <v>0</v>
      </c>
      <c r="G468" s="371"/>
      <c r="I468" s="489"/>
    </row>
    <row r="469" s="322" customFormat="1" ht="18.75" customHeight="1" spans="2:10">
      <c r="B469" s="59"/>
      <c r="C469" s="71" t="s">
        <v>222</v>
      </c>
      <c r="D469" s="59"/>
      <c r="E469" s="483"/>
      <c r="F469" s="371">
        <v>0</v>
      </c>
      <c r="G469" s="371"/>
      <c r="I469" s="489"/>
      <c r="J469" s="506">
        <f>1.27/1.3</f>
        <v>0.976923076923077</v>
      </c>
    </row>
    <row r="470" s="322" customFormat="1" ht="8.25" customHeight="1" spans="2:9">
      <c r="B470" s="59"/>
      <c r="C470" s="26"/>
      <c r="D470" s="59"/>
      <c r="E470" s="483"/>
      <c r="F470" s="371">
        <v>0</v>
      </c>
      <c r="G470" s="371"/>
      <c r="I470" s="489"/>
    </row>
    <row r="471" s="322" customFormat="1" ht="18.75" customHeight="1" spans="2:9">
      <c r="B471" s="59" t="s">
        <v>595</v>
      </c>
      <c r="C471" s="192" t="s">
        <v>224</v>
      </c>
      <c r="D471" s="59" t="s">
        <v>225</v>
      </c>
      <c r="E471" s="483">
        <v>654</v>
      </c>
      <c r="F471" s="502">
        <v>1026</v>
      </c>
      <c r="G471" s="371">
        <f>E471*F471</f>
        <v>671004</v>
      </c>
      <c r="I471" s="489"/>
    </row>
    <row r="472" s="322" customFormat="1" ht="18.75" customHeight="1" spans="2:9">
      <c r="B472" s="59"/>
      <c r="C472" s="71"/>
      <c r="D472" s="59"/>
      <c r="E472" s="483"/>
      <c r="F472" s="503">
        <v>0</v>
      </c>
      <c r="G472" s="371"/>
      <c r="I472" s="489"/>
    </row>
    <row r="473" s="322" customFormat="1" ht="18.75" customHeight="1" spans="2:9">
      <c r="B473" s="59" t="s">
        <v>596</v>
      </c>
      <c r="C473" s="192" t="s">
        <v>227</v>
      </c>
      <c r="D473" s="59" t="s">
        <v>225</v>
      </c>
      <c r="E473" s="483">
        <v>86</v>
      </c>
      <c r="F473" s="504">
        <v>1026</v>
      </c>
      <c r="G473" s="371">
        <f>E473*F473</f>
        <v>88236</v>
      </c>
      <c r="I473" s="489"/>
    </row>
    <row r="474" s="322" customFormat="1" ht="18.75" customHeight="1" spans="2:9">
      <c r="B474" s="59"/>
      <c r="C474" s="192"/>
      <c r="D474" s="59"/>
      <c r="E474" s="483"/>
      <c r="F474" s="504">
        <v>0</v>
      </c>
      <c r="G474" s="371"/>
      <c r="I474" s="489"/>
    </row>
    <row r="475" s="322" customFormat="1" ht="30.75" customHeight="1" spans="2:9">
      <c r="B475" s="59" t="s">
        <v>597</v>
      </c>
      <c r="C475" s="192" t="s">
        <v>598</v>
      </c>
      <c r="D475" s="59" t="s">
        <v>225</v>
      </c>
      <c r="E475" s="483">
        <v>1229</v>
      </c>
      <c r="F475" s="504">
        <v>1026</v>
      </c>
      <c r="G475" s="371">
        <f>E475*F475</f>
        <v>1260954</v>
      </c>
      <c r="I475" s="489"/>
    </row>
    <row r="476" s="322" customFormat="1" ht="18.75" customHeight="1" spans="2:9">
      <c r="B476" s="59"/>
      <c r="C476" s="192"/>
      <c r="D476" s="59"/>
      <c r="E476" s="483"/>
      <c r="F476" s="504">
        <v>0</v>
      </c>
      <c r="G476" s="371"/>
      <c r="I476" s="489"/>
    </row>
    <row r="477" s="322" customFormat="1" ht="18.75" customHeight="1" spans="2:9">
      <c r="B477" s="59" t="s">
        <v>599</v>
      </c>
      <c r="C477" s="192" t="s">
        <v>271</v>
      </c>
      <c r="D477" s="59" t="s">
        <v>225</v>
      </c>
      <c r="E477" s="483">
        <v>1260</v>
      </c>
      <c r="F477" s="504">
        <v>1332</v>
      </c>
      <c r="G477" s="371">
        <f>E477*F477</f>
        <v>1678320</v>
      </c>
      <c r="I477" s="489"/>
    </row>
    <row r="478" s="322" customFormat="1" ht="18.75" customHeight="1" spans="2:9">
      <c r="B478" s="59"/>
      <c r="C478" s="192"/>
      <c r="D478" s="59"/>
      <c r="E478" s="483"/>
      <c r="F478" s="504">
        <v>0</v>
      </c>
      <c r="G478" s="371"/>
      <c r="I478" s="489"/>
    </row>
    <row r="479" s="322" customFormat="1" ht="18.75" customHeight="1" spans="2:9">
      <c r="B479" s="59" t="s">
        <v>600</v>
      </c>
      <c r="C479" s="192" t="s">
        <v>273</v>
      </c>
      <c r="D479" s="59" t="s">
        <v>225</v>
      </c>
      <c r="E479" s="483">
        <v>17</v>
      </c>
      <c r="F479" s="504">
        <v>1332</v>
      </c>
      <c r="G479" s="371">
        <f>E479*F479</f>
        <v>22644</v>
      </c>
      <c r="I479" s="489"/>
    </row>
    <row r="480" s="322" customFormat="1" ht="18.75" customHeight="1" spans="2:9">
      <c r="B480" s="59"/>
      <c r="C480" s="192"/>
      <c r="D480" s="59"/>
      <c r="E480" s="483"/>
      <c r="F480" s="504">
        <v>0</v>
      </c>
      <c r="G480" s="371"/>
      <c r="I480" s="489"/>
    </row>
    <row r="481" s="322" customFormat="1" ht="18.75" customHeight="1" spans="2:9">
      <c r="B481" s="59" t="s">
        <v>601</v>
      </c>
      <c r="C481" s="192" t="s">
        <v>275</v>
      </c>
      <c r="D481" s="59" t="s">
        <v>225</v>
      </c>
      <c r="E481" s="483">
        <v>144</v>
      </c>
      <c r="F481" s="504">
        <v>1332</v>
      </c>
      <c r="G481" s="371">
        <f>E481*F481</f>
        <v>191808</v>
      </c>
      <c r="I481" s="489"/>
    </row>
    <row r="482" s="322" customFormat="1" ht="18.75" customHeight="1" spans="2:9">
      <c r="B482" s="59"/>
      <c r="C482" s="192"/>
      <c r="D482" s="59"/>
      <c r="E482" s="483"/>
      <c r="F482" s="504">
        <v>0</v>
      </c>
      <c r="G482" s="371"/>
      <c r="I482" s="489"/>
    </row>
    <row r="483" s="322" customFormat="1" ht="18.75" customHeight="1" spans="2:9">
      <c r="B483" s="59" t="s">
        <v>602</v>
      </c>
      <c r="C483" s="192" t="s">
        <v>603</v>
      </c>
      <c r="D483" s="59" t="s">
        <v>225</v>
      </c>
      <c r="E483" s="483">
        <v>27</v>
      </c>
      <c r="F483" s="504">
        <v>1026</v>
      </c>
      <c r="G483" s="371">
        <f>E483*F483</f>
        <v>27702</v>
      </c>
      <c r="I483" s="489"/>
    </row>
    <row r="484" s="322" customFormat="1" ht="18.75" customHeight="1" spans="2:9">
      <c r="B484" s="59"/>
      <c r="C484" s="192"/>
      <c r="D484" s="59"/>
      <c r="E484" s="483"/>
      <c r="F484" s="504">
        <v>0</v>
      </c>
      <c r="G484" s="371"/>
      <c r="I484" s="489"/>
    </row>
    <row r="485" s="322" customFormat="1" ht="18.75" customHeight="1" spans="2:9">
      <c r="B485" s="59" t="s">
        <v>604</v>
      </c>
      <c r="C485" s="192" t="s">
        <v>605</v>
      </c>
      <c r="D485" s="59" t="s">
        <v>225</v>
      </c>
      <c r="E485" s="483">
        <v>164</v>
      </c>
      <c r="F485" s="504">
        <v>1026</v>
      </c>
      <c r="G485" s="371">
        <f>E485*F485</f>
        <v>168264</v>
      </c>
      <c r="I485" s="489"/>
    </row>
    <row r="486" s="322" customFormat="1" ht="18.75" customHeight="1" spans="2:9">
      <c r="B486" s="59"/>
      <c r="C486" s="192"/>
      <c r="D486" s="59"/>
      <c r="E486" s="483"/>
      <c r="F486" s="504">
        <v>0</v>
      </c>
      <c r="G486" s="371"/>
      <c r="I486" s="489"/>
    </row>
    <row r="487" s="322" customFormat="1" ht="18.75" customHeight="1" spans="2:9">
      <c r="B487" s="59" t="s">
        <v>606</v>
      </c>
      <c r="C487" s="192" t="s">
        <v>281</v>
      </c>
      <c r="D487" s="59" t="s">
        <v>225</v>
      </c>
      <c r="E487" s="483">
        <v>16</v>
      </c>
      <c r="F487" s="504">
        <v>1332</v>
      </c>
      <c r="G487" s="371">
        <f>E487*F487</f>
        <v>21312</v>
      </c>
      <c r="I487" s="489"/>
    </row>
    <row r="488" s="322" customFormat="1" ht="25.5" customHeight="1" spans="2:9">
      <c r="B488" s="59"/>
      <c r="C488" s="505" t="s">
        <v>237</v>
      </c>
      <c r="D488" s="59"/>
      <c r="E488" s="483"/>
      <c r="F488" s="504">
        <v>0</v>
      </c>
      <c r="G488" s="371"/>
      <c r="I488" s="489"/>
    </row>
    <row r="489" s="322" customFormat="1" ht="18.75" customHeight="1" spans="2:9">
      <c r="B489" s="59" t="s">
        <v>607</v>
      </c>
      <c r="C489" s="192" t="s">
        <v>224</v>
      </c>
      <c r="D489" s="59" t="s">
        <v>225</v>
      </c>
      <c r="E489" s="483">
        <v>212</v>
      </c>
      <c r="F489" s="504">
        <v>1026</v>
      </c>
      <c r="G489" s="371">
        <f>E489*F489</f>
        <v>217512</v>
      </c>
      <c r="I489" s="489"/>
    </row>
    <row r="490" s="322" customFormat="1" ht="18.75" customHeight="1" spans="2:9">
      <c r="B490" s="59"/>
      <c r="C490" s="71"/>
      <c r="D490" s="59"/>
      <c r="E490" s="483"/>
      <c r="F490" s="504">
        <v>0</v>
      </c>
      <c r="G490" s="371"/>
      <c r="I490" s="489"/>
    </row>
    <row r="491" s="322" customFormat="1" ht="18.75" customHeight="1" spans="2:9">
      <c r="B491" s="59" t="s">
        <v>608</v>
      </c>
      <c r="C491" s="192" t="s">
        <v>240</v>
      </c>
      <c r="D491" s="59" t="s">
        <v>225</v>
      </c>
      <c r="E491" s="483">
        <v>440</v>
      </c>
      <c r="F491" s="504">
        <v>1026</v>
      </c>
      <c r="G491" s="371">
        <f>E491*F491</f>
        <v>451440</v>
      </c>
      <c r="I491" s="489"/>
    </row>
    <row r="492" s="322" customFormat="1" ht="18.75" customHeight="1" spans="2:9">
      <c r="B492" s="59"/>
      <c r="C492" s="192"/>
      <c r="D492" s="59"/>
      <c r="E492" s="483"/>
      <c r="F492" s="504">
        <v>0</v>
      </c>
      <c r="G492" s="371"/>
      <c r="I492" s="489"/>
    </row>
    <row r="493" s="322" customFormat="1" ht="18.75" customHeight="1" spans="2:9">
      <c r="B493" s="59" t="s">
        <v>609</v>
      </c>
      <c r="C493" s="192" t="s">
        <v>300</v>
      </c>
      <c r="D493" s="59" t="s">
        <v>225</v>
      </c>
      <c r="E493" s="483">
        <v>1201</v>
      </c>
      <c r="F493" s="504">
        <v>1026</v>
      </c>
      <c r="G493" s="371">
        <f>E493*F493</f>
        <v>1232226</v>
      </c>
      <c r="I493" s="489"/>
    </row>
    <row r="494" s="322" customFormat="1" ht="18.75" customHeight="1" spans="2:9">
      <c r="B494" s="59"/>
      <c r="C494" s="192"/>
      <c r="D494" s="59"/>
      <c r="E494" s="483"/>
      <c r="F494" s="504">
        <v>0</v>
      </c>
      <c r="G494" s="371"/>
      <c r="I494" s="489"/>
    </row>
    <row r="495" s="322" customFormat="1" ht="18.75" customHeight="1" spans="2:10">
      <c r="B495" s="59" t="s">
        <v>610</v>
      </c>
      <c r="C495" s="192" t="s">
        <v>277</v>
      </c>
      <c r="D495" s="59" t="s">
        <v>225</v>
      </c>
      <c r="E495" s="483">
        <v>41</v>
      </c>
      <c r="F495" s="504">
        <v>1026</v>
      </c>
      <c r="G495" s="371">
        <f>E495*F495</f>
        <v>42066</v>
      </c>
      <c r="I495" s="489"/>
      <c r="J495" s="401"/>
    </row>
    <row r="496" s="322" customFormat="1" ht="18.75" customHeight="1" spans="2:9">
      <c r="B496" s="59"/>
      <c r="C496" s="192"/>
      <c r="D496" s="59"/>
      <c r="E496" s="483"/>
      <c r="F496" s="504">
        <v>0</v>
      </c>
      <c r="G496" s="371"/>
      <c r="I496" s="489"/>
    </row>
    <row r="497" s="322" customFormat="1" ht="18.75" customHeight="1" spans="2:9">
      <c r="B497" s="59" t="s">
        <v>611</v>
      </c>
      <c r="C497" s="192" t="s">
        <v>303</v>
      </c>
      <c r="D497" s="59" t="s">
        <v>225</v>
      </c>
      <c r="E497" s="483">
        <v>34</v>
      </c>
      <c r="F497" s="504">
        <v>1026</v>
      </c>
      <c r="G497" s="371">
        <f>E497*F497</f>
        <v>34884</v>
      </c>
      <c r="I497" s="489"/>
    </row>
    <row r="498" s="322" customFormat="1" ht="18.75" customHeight="1" spans="2:9">
      <c r="B498" s="59"/>
      <c r="C498" s="192"/>
      <c r="D498" s="59"/>
      <c r="E498" s="483"/>
      <c r="F498" s="504">
        <v>0</v>
      </c>
      <c r="G498" s="371"/>
      <c r="I498" s="489"/>
    </row>
    <row r="499" s="322" customFormat="1" ht="18.75" customHeight="1" spans="2:9">
      <c r="B499" s="59" t="s">
        <v>612</v>
      </c>
      <c r="C499" s="192" t="s">
        <v>279</v>
      </c>
      <c r="D499" s="59" t="s">
        <v>225</v>
      </c>
      <c r="E499" s="483">
        <v>152</v>
      </c>
      <c r="F499" s="504">
        <v>1026</v>
      </c>
      <c r="G499" s="371">
        <f>E499*F499</f>
        <v>155952</v>
      </c>
      <c r="I499" s="489"/>
    </row>
    <row r="500" s="322" customFormat="1" ht="15" customHeight="1" spans="2:9">
      <c r="B500" s="59"/>
      <c r="C500" s="192"/>
      <c r="D500" s="59"/>
      <c r="E500" s="483"/>
      <c r="F500" s="370">
        <v>0</v>
      </c>
      <c r="G500" s="371"/>
      <c r="I500" s="489"/>
    </row>
    <row r="501" s="322" customFormat="1" ht="24.75" customHeight="1" spans="2:9">
      <c r="B501" s="67" t="s">
        <v>613</v>
      </c>
      <c r="C501" s="263" t="s">
        <v>281</v>
      </c>
      <c r="D501" s="67" t="s">
        <v>225</v>
      </c>
      <c r="E501" s="486">
        <v>11</v>
      </c>
      <c r="F501" s="375">
        <v>1332</v>
      </c>
      <c r="G501" s="376">
        <f>E501*F501</f>
        <v>14652</v>
      </c>
      <c r="H501" s="498"/>
      <c r="I501" s="489"/>
    </row>
    <row r="502" s="322" customFormat="1" ht="18.75" customHeight="1" spans="2:9">
      <c r="B502" s="59"/>
      <c r="C502" s="26"/>
      <c r="D502" s="59"/>
      <c r="E502" s="483"/>
      <c r="F502" s="370"/>
      <c r="G502" s="371"/>
      <c r="I502" s="489"/>
    </row>
    <row r="503" s="322" customFormat="1" ht="18.75" customHeight="1" spans="2:9">
      <c r="B503" s="59" t="s">
        <v>614</v>
      </c>
      <c r="C503" s="77" t="s">
        <v>615</v>
      </c>
      <c r="D503" s="59"/>
      <c r="E503" s="483"/>
      <c r="F503" s="371"/>
      <c r="G503" s="371"/>
      <c r="I503" s="489"/>
    </row>
    <row r="504" s="322" customFormat="1" ht="18.75" customHeight="1" spans="2:9">
      <c r="B504" s="59"/>
      <c r="C504" s="71" t="s">
        <v>284</v>
      </c>
      <c r="D504" s="59"/>
      <c r="E504" s="483"/>
      <c r="F504" s="371"/>
      <c r="G504" s="371"/>
      <c r="I504" s="489"/>
    </row>
    <row r="505" s="322" customFormat="1" ht="18.75" customHeight="1" spans="2:9">
      <c r="B505" s="59"/>
      <c r="C505" s="26"/>
      <c r="D505" s="59"/>
      <c r="E505" s="483"/>
      <c r="F505" s="371"/>
      <c r="G505" s="371"/>
      <c r="I505" s="489"/>
    </row>
    <row r="506" s="322" customFormat="1" ht="18.75" customHeight="1" spans="2:9">
      <c r="B506" s="59" t="s">
        <v>616</v>
      </c>
      <c r="C506" s="192" t="s">
        <v>287</v>
      </c>
      <c r="D506" s="59" t="s">
        <v>225</v>
      </c>
      <c r="E506" s="483">
        <v>21</v>
      </c>
      <c r="F506" s="370">
        <v>1332</v>
      </c>
      <c r="G506" s="371">
        <f>E506*F506</f>
        <v>27972</v>
      </c>
      <c r="I506" s="489"/>
    </row>
    <row r="507" s="322" customFormat="1" ht="18.75" customHeight="1" spans="2:9">
      <c r="B507" s="59"/>
      <c r="C507" s="192"/>
      <c r="D507" s="59"/>
      <c r="E507" s="483"/>
      <c r="F507" s="370">
        <v>0</v>
      </c>
      <c r="G507" s="371"/>
      <c r="I507" s="489"/>
    </row>
    <row r="508" s="322" customFormat="1" ht="18.75" customHeight="1" spans="2:9">
      <c r="B508" s="59" t="s">
        <v>617</v>
      </c>
      <c r="C508" s="192" t="s">
        <v>289</v>
      </c>
      <c r="D508" s="59" t="s">
        <v>225</v>
      </c>
      <c r="E508" s="483">
        <v>160</v>
      </c>
      <c r="F508" s="370">
        <v>1332</v>
      </c>
      <c r="G508" s="371">
        <f>E508*F508</f>
        <v>213120</v>
      </c>
      <c r="I508" s="489"/>
    </row>
    <row r="509" s="322" customFormat="1" ht="18.75" customHeight="1" spans="2:9">
      <c r="B509" s="59"/>
      <c r="C509" s="192"/>
      <c r="D509" s="59"/>
      <c r="E509" s="483"/>
      <c r="F509" s="370">
        <v>0</v>
      </c>
      <c r="G509" s="371"/>
      <c r="I509" s="489"/>
    </row>
    <row r="510" s="322" customFormat="1" ht="18.75" customHeight="1" spans="2:9">
      <c r="B510" s="59" t="s">
        <v>618</v>
      </c>
      <c r="C510" s="192" t="s">
        <v>291</v>
      </c>
      <c r="D510" s="59" t="s">
        <v>225</v>
      </c>
      <c r="E510" s="483">
        <v>179</v>
      </c>
      <c r="F510" s="370">
        <v>1332</v>
      </c>
      <c r="G510" s="371">
        <f>E510*F510</f>
        <v>238428</v>
      </c>
      <c r="I510" s="489"/>
    </row>
    <row r="511" s="322" customFormat="1" ht="18.75" customHeight="1" spans="2:9">
      <c r="B511" s="59"/>
      <c r="C511" s="192"/>
      <c r="D511" s="59"/>
      <c r="E511" s="483"/>
      <c r="F511" s="370">
        <v>0</v>
      </c>
      <c r="G511" s="371"/>
      <c r="I511" s="489"/>
    </row>
    <row r="512" s="322" customFormat="1" ht="18.75" customHeight="1" spans="2:9">
      <c r="B512" s="59" t="s">
        <v>619</v>
      </c>
      <c r="C512" s="192" t="s">
        <v>293</v>
      </c>
      <c r="D512" s="59" t="s">
        <v>225</v>
      </c>
      <c r="E512" s="483">
        <v>42</v>
      </c>
      <c r="F512" s="370">
        <v>1332</v>
      </c>
      <c r="G512" s="371">
        <f>E512*F512</f>
        <v>55944</v>
      </c>
      <c r="I512" s="489"/>
    </row>
    <row r="513" s="322" customFormat="1" ht="18.75" customHeight="1" spans="2:9">
      <c r="B513" s="59"/>
      <c r="C513" s="192"/>
      <c r="D513" s="59"/>
      <c r="E513" s="483"/>
      <c r="F513" s="370">
        <v>0</v>
      </c>
      <c r="G513" s="371"/>
      <c r="I513" s="489"/>
    </row>
    <row r="514" s="322" customFormat="1" ht="41.4" spans="2:9">
      <c r="B514" s="59" t="s">
        <v>620</v>
      </c>
      <c r="C514" s="77" t="s">
        <v>621</v>
      </c>
      <c r="D514" s="59"/>
      <c r="E514" s="483"/>
      <c r="F514" s="370">
        <v>0</v>
      </c>
      <c r="G514" s="371"/>
      <c r="H514" s="167" t="s">
        <v>579</v>
      </c>
      <c r="I514" s="489"/>
    </row>
    <row r="515" s="322" customFormat="1" ht="18.75" customHeight="1" spans="2:9">
      <c r="B515" s="59" t="s">
        <v>622</v>
      </c>
      <c r="C515" s="77" t="s">
        <v>398</v>
      </c>
      <c r="D515" s="59"/>
      <c r="E515" s="483"/>
      <c r="F515" s="370">
        <v>0</v>
      </c>
      <c r="G515" s="371"/>
      <c r="I515" s="489"/>
    </row>
    <row r="516" s="322" customFormat="1" ht="18.75" customHeight="1" spans="2:9">
      <c r="B516" s="59"/>
      <c r="C516" s="26"/>
      <c r="D516" s="59"/>
      <c r="E516" s="483"/>
      <c r="F516" s="370">
        <v>0</v>
      </c>
      <c r="G516" s="371"/>
      <c r="I516" s="489"/>
    </row>
    <row r="517" s="322" customFormat="1" ht="18.75" customHeight="1" spans="2:9">
      <c r="B517" s="59" t="s">
        <v>623</v>
      </c>
      <c r="C517" s="192" t="s">
        <v>624</v>
      </c>
      <c r="D517" s="59" t="s">
        <v>225</v>
      </c>
      <c r="E517" s="483">
        <v>130</v>
      </c>
      <c r="F517" s="504">
        <v>1026</v>
      </c>
      <c r="G517" s="371">
        <f>E517*F517</f>
        <v>133380</v>
      </c>
      <c r="I517" s="489"/>
    </row>
    <row r="518" s="322" customFormat="1" ht="18.75" customHeight="1" spans="2:9">
      <c r="B518" s="59"/>
      <c r="C518" s="26"/>
      <c r="D518" s="59"/>
      <c r="E518" s="483"/>
      <c r="F518" s="504">
        <v>0</v>
      </c>
      <c r="G518" s="371"/>
      <c r="I518" s="489"/>
    </row>
    <row r="519" s="322" customFormat="1" ht="18.75" customHeight="1" spans="2:9">
      <c r="B519" s="59" t="s">
        <v>625</v>
      </c>
      <c r="C519" s="192" t="s">
        <v>626</v>
      </c>
      <c r="D519" s="59" t="s">
        <v>225</v>
      </c>
      <c r="E519" s="483">
        <v>712</v>
      </c>
      <c r="F519" s="504">
        <v>1026</v>
      </c>
      <c r="G519" s="371">
        <f>E519*F519</f>
        <v>730512</v>
      </c>
      <c r="I519" s="489"/>
    </row>
    <row r="520" s="322" customFormat="1" ht="18.75" customHeight="1" spans="2:9">
      <c r="B520" s="59"/>
      <c r="C520" s="26"/>
      <c r="D520" s="59"/>
      <c r="E520" s="483"/>
      <c r="F520" s="504">
        <v>0</v>
      </c>
      <c r="G520" s="371"/>
      <c r="I520" s="489"/>
    </row>
    <row r="521" s="322" customFormat="1" ht="18.75" customHeight="1" spans="2:9">
      <c r="B521" s="59" t="s">
        <v>627</v>
      </c>
      <c r="C521" s="192" t="s">
        <v>404</v>
      </c>
      <c r="D521" s="59" t="s">
        <v>225</v>
      </c>
      <c r="E521" s="483">
        <v>263</v>
      </c>
      <c r="F521" s="504">
        <v>1332</v>
      </c>
      <c r="G521" s="371">
        <f>E521*F521</f>
        <v>350316</v>
      </c>
      <c r="I521" s="489"/>
    </row>
    <row r="522" s="322" customFormat="1" ht="18.75" customHeight="1" spans="2:9">
      <c r="B522" s="59"/>
      <c r="C522" s="26"/>
      <c r="D522" s="59"/>
      <c r="E522" s="483"/>
      <c r="F522" s="370">
        <v>0</v>
      </c>
      <c r="G522" s="371"/>
      <c r="I522" s="489"/>
    </row>
    <row r="523" s="322" customFormat="1" ht="18.75" customHeight="1" spans="2:9">
      <c r="B523" s="59" t="s">
        <v>628</v>
      </c>
      <c r="C523" s="26" t="s">
        <v>406</v>
      </c>
      <c r="D523" s="59" t="s">
        <v>225</v>
      </c>
      <c r="E523" s="483"/>
      <c r="F523" s="504" t="s">
        <v>629</v>
      </c>
      <c r="G523" s="371"/>
      <c r="H523" s="167" t="s">
        <v>236</v>
      </c>
      <c r="I523" s="489"/>
    </row>
    <row r="524" s="322" customFormat="1" ht="18.75" customHeight="1" spans="2:9">
      <c r="B524" s="59"/>
      <c r="C524" s="26"/>
      <c r="D524" s="59"/>
      <c r="E524" s="483"/>
      <c r="F524" s="504"/>
      <c r="G524" s="371"/>
      <c r="H524" s="167"/>
      <c r="I524" s="489"/>
    </row>
    <row r="525" s="322" customFormat="1" ht="18.75" customHeight="1" spans="2:9">
      <c r="B525" s="59" t="s">
        <v>630</v>
      </c>
      <c r="C525" s="26" t="s">
        <v>408</v>
      </c>
      <c r="D525" s="59" t="s">
        <v>225</v>
      </c>
      <c r="E525" s="483"/>
      <c r="F525" s="504" t="s">
        <v>629</v>
      </c>
      <c r="G525" s="371"/>
      <c r="H525" s="167" t="s">
        <v>236</v>
      </c>
      <c r="I525" s="489"/>
    </row>
    <row r="526" s="322" customFormat="1" ht="18.75" customHeight="1" spans="2:9">
      <c r="B526" s="59"/>
      <c r="C526" s="26"/>
      <c r="D526" s="59"/>
      <c r="E526" s="483"/>
      <c r="F526" s="370">
        <v>0</v>
      </c>
      <c r="G526" s="371"/>
      <c r="H526" s="167"/>
      <c r="I526" s="489"/>
    </row>
    <row r="527" s="322" customFormat="1" ht="18.75" customHeight="1" spans="2:9">
      <c r="B527" s="59" t="s">
        <v>631</v>
      </c>
      <c r="C527" s="252" t="s">
        <v>416</v>
      </c>
      <c r="D527" s="59" t="s">
        <v>225</v>
      </c>
      <c r="E527" s="483">
        <v>719</v>
      </c>
      <c r="F527" s="370">
        <v>1332</v>
      </c>
      <c r="G527" s="371">
        <f>E527*F527</f>
        <v>957708</v>
      </c>
      <c r="I527" s="489"/>
    </row>
    <row r="528" s="322" customFormat="1" ht="18.75" customHeight="1" spans="2:9">
      <c r="B528" s="59"/>
      <c r="C528" s="26"/>
      <c r="D528" s="59"/>
      <c r="E528" s="483"/>
      <c r="F528" s="370">
        <v>0</v>
      </c>
      <c r="G528" s="371"/>
      <c r="I528" s="489"/>
    </row>
    <row r="529" s="322" customFormat="1" ht="31.5" customHeight="1" spans="2:9">
      <c r="B529" s="59" t="s">
        <v>632</v>
      </c>
      <c r="C529" s="252" t="s">
        <v>418</v>
      </c>
      <c r="D529" s="59" t="s">
        <v>225</v>
      </c>
      <c r="E529" s="483">
        <v>188</v>
      </c>
      <c r="F529" s="370">
        <v>1332</v>
      </c>
      <c r="G529" s="371">
        <f>E529*F529</f>
        <v>250416</v>
      </c>
      <c r="I529" s="489"/>
    </row>
    <row r="530" s="322" customFormat="1" ht="18.75" customHeight="1" spans="2:9">
      <c r="B530" s="59"/>
      <c r="C530" s="26"/>
      <c r="D530" s="59"/>
      <c r="E530" s="483"/>
      <c r="F530" s="370">
        <v>0</v>
      </c>
      <c r="G530" s="371"/>
      <c r="I530" s="489"/>
    </row>
    <row r="531" s="322" customFormat="1" ht="18.75" customHeight="1" spans="2:9">
      <c r="B531" s="59" t="s">
        <v>633</v>
      </c>
      <c r="C531" s="252" t="s">
        <v>420</v>
      </c>
      <c r="D531" s="59" t="s">
        <v>225</v>
      </c>
      <c r="E531" s="483">
        <v>546</v>
      </c>
      <c r="F531" s="370">
        <v>1332</v>
      </c>
      <c r="G531" s="371">
        <f>E531*F531</f>
        <v>727272</v>
      </c>
      <c r="I531" s="489"/>
    </row>
    <row r="532" s="322" customFormat="1" ht="18.75" customHeight="1" spans="2:9">
      <c r="B532" s="59"/>
      <c r="C532" s="26"/>
      <c r="D532" s="59"/>
      <c r="E532" s="483"/>
      <c r="F532" s="370">
        <v>0</v>
      </c>
      <c r="G532" s="371"/>
      <c r="I532" s="489"/>
    </row>
    <row r="533" s="322" customFormat="1" ht="18.75" customHeight="1" spans="2:9">
      <c r="B533" s="59" t="s">
        <v>634</v>
      </c>
      <c r="C533" s="26" t="s">
        <v>410</v>
      </c>
      <c r="D533" s="59" t="s">
        <v>225</v>
      </c>
      <c r="E533" s="483">
        <v>382</v>
      </c>
      <c r="F533" s="370">
        <v>1332</v>
      </c>
      <c r="G533" s="371">
        <f>E533*F533</f>
        <v>508824</v>
      </c>
      <c r="I533" s="489"/>
    </row>
    <row r="534" s="322" customFormat="1" ht="18.75" customHeight="1" spans="2:9">
      <c r="B534" s="59"/>
      <c r="C534" s="26"/>
      <c r="D534" s="59"/>
      <c r="E534" s="483"/>
      <c r="F534" s="370">
        <v>0</v>
      </c>
      <c r="G534" s="371"/>
      <c r="I534" s="489"/>
    </row>
    <row r="535" s="322" customFormat="1" ht="18.75" customHeight="1" spans="2:9">
      <c r="B535" s="59" t="s">
        <v>635</v>
      </c>
      <c r="C535" s="26" t="s">
        <v>439</v>
      </c>
      <c r="D535" s="59" t="s">
        <v>225</v>
      </c>
      <c r="E535" s="483">
        <v>2319</v>
      </c>
      <c r="F535" s="370">
        <v>1332</v>
      </c>
      <c r="G535" s="371">
        <f>E535*F535</f>
        <v>3088908</v>
      </c>
      <c r="I535" s="489"/>
    </row>
    <row r="536" s="322" customFormat="1" ht="18.75" customHeight="1" spans="2:9">
      <c r="B536" s="59"/>
      <c r="C536" s="26"/>
      <c r="D536" s="59"/>
      <c r="E536" s="483"/>
      <c r="F536" s="370">
        <v>0</v>
      </c>
      <c r="G536" s="371"/>
      <c r="I536" s="489"/>
    </row>
    <row r="537" s="322" customFormat="1" ht="18.75" customHeight="1" spans="2:9">
      <c r="B537" s="59" t="s">
        <v>636</v>
      </c>
      <c r="C537" s="26" t="s">
        <v>412</v>
      </c>
      <c r="D537" s="59" t="s">
        <v>225</v>
      </c>
      <c r="E537" s="483">
        <v>67</v>
      </c>
      <c r="F537" s="370">
        <v>1332</v>
      </c>
      <c r="G537" s="371">
        <f>E537*F537</f>
        <v>89244</v>
      </c>
      <c r="I537" s="489"/>
    </row>
    <row r="538" s="322" customFormat="1" ht="18.75" customHeight="1" spans="2:9">
      <c r="B538" s="59"/>
      <c r="C538" s="26"/>
      <c r="D538" s="59"/>
      <c r="E538" s="483"/>
      <c r="F538" s="370">
        <v>0</v>
      </c>
      <c r="G538" s="371"/>
      <c r="I538" s="489"/>
    </row>
    <row r="539" s="322" customFormat="1" ht="30" customHeight="1" spans="2:9">
      <c r="B539" s="59" t="s">
        <v>637</v>
      </c>
      <c r="C539" s="26" t="s">
        <v>414</v>
      </c>
      <c r="D539" s="59" t="s">
        <v>225</v>
      </c>
      <c r="E539" s="483">
        <v>130</v>
      </c>
      <c r="F539" s="370">
        <v>1332</v>
      </c>
      <c r="G539" s="371">
        <f>E539*F539</f>
        <v>173160</v>
      </c>
      <c r="I539" s="489"/>
    </row>
    <row r="540" s="322" customFormat="1" ht="18.75" customHeight="1" spans="2:9">
      <c r="B540" s="59"/>
      <c r="C540" s="26"/>
      <c r="D540" s="59"/>
      <c r="E540" s="483"/>
      <c r="F540" s="370">
        <v>0</v>
      </c>
      <c r="G540" s="371"/>
      <c r="I540" s="489"/>
    </row>
    <row r="541" s="322" customFormat="1" ht="18.75" customHeight="1" spans="2:9">
      <c r="B541" s="59" t="s">
        <v>638</v>
      </c>
      <c r="C541" s="26" t="s">
        <v>424</v>
      </c>
      <c r="D541" s="59" t="s">
        <v>225</v>
      </c>
      <c r="E541" s="483">
        <v>60</v>
      </c>
      <c r="F541" s="370">
        <v>1332</v>
      </c>
      <c r="G541" s="371">
        <f>E541*F541</f>
        <v>79920</v>
      </c>
      <c r="I541" s="489"/>
    </row>
    <row r="542" s="322" customFormat="1" ht="18.75" customHeight="1" spans="2:9">
      <c r="B542" s="67"/>
      <c r="C542" s="31"/>
      <c r="D542" s="67"/>
      <c r="E542" s="486"/>
      <c r="F542" s="375">
        <v>0</v>
      </c>
      <c r="G542" s="376"/>
      <c r="I542" s="489"/>
    </row>
    <row r="543" s="321" customFormat="1" ht="32.25" customHeight="1" spans="2:9">
      <c r="B543" s="72" t="s">
        <v>639</v>
      </c>
      <c r="C543" s="73" t="s">
        <v>640</v>
      </c>
      <c r="D543" s="72"/>
      <c r="E543" s="494"/>
      <c r="F543" s="495">
        <v>0</v>
      </c>
      <c r="G543" s="496"/>
      <c r="I543" s="497"/>
    </row>
    <row r="544" s="322" customFormat="1" ht="18.75" customHeight="1" spans="2:9">
      <c r="B544" s="59"/>
      <c r="C544" s="26"/>
      <c r="D544" s="59"/>
      <c r="E544" s="483"/>
      <c r="F544" s="370">
        <v>0</v>
      </c>
      <c r="G544" s="371"/>
      <c r="I544" s="489"/>
    </row>
    <row r="545" s="322" customFormat="1" ht="24.75" customHeight="1" spans="2:9">
      <c r="B545" s="59" t="s">
        <v>641</v>
      </c>
      <c r="C545" s="192" t="s">
        <v>642</v>
      </c>
      <c r="D545" s="59" t="s">
        <v>225</v>
      </c>
      <c r="E545" s="483">
        <v>1456</v>
      </c>
      <c r="F545" s="504">
        <v>1026</v>
      </c>
      <c r="G545" s="371">
        <f>E545*F545</f>
        <v>1493856</v>
      </c>
      <c r="I545" s="489"/>
    </row>
    <row r="546" s="322" customFormat="1" ht="18.75" customHeight="1" spans="2:9">
      <c r="B546" s="226"/>
      <c r="C546" s="26"/>
      <c r="D546" s="59"/>
      <c r="E546" s="483"/>
      <c r="F546" s="370">
        <v>0</v>
      </c>
      <c r="G546" s="371"/>
      <c r="I546" s="489"/>
    </row>
    <row r="547" s="322" customFormat="1" ht="18.75" customHeight="1" spans="2:9">
      <c r="B547" s="59" t="s">
        <v>643</v>
      </c>
      <c r="C547" s="192" t="s">
        <v>404</v>
      </c>
      <c r="D547" s="59" t="s">
        <v>225</v>
      </c>
      <c r="E547" s="483">
        <v>280</v>
      </c>
      <c r="F547" s="370">
        <v>1332</v>
      </c>
      <c r="G547" s="371">
        <f>E547*F547</f>
        <v>372960</v>
      </c>
      <c r="I547" s="489"/>
    </row>
    <row r="548" s="322" customFormat="1" ht="18.75" customHeight="1" spans="2:9">
      <c r="B548" s="226"/>
      <c r="C548" s="26"/>
      <c r="D548" s="59"/>
      <c r="E548" s="483"/>
      <c r="F548" s="370">
        <v>0</v>
      </c>
      <c r="G548" s="371"/>
      <c r="I548" s="489"/>
    </row>
    <row r="549" s="322" customFormat="1" ht="18.75" customHeight="1" spans="2:9">
      <c r="B549" s="59" t="s">
        <v>644</v>
      </c>
      <c r="C549" s="26" t="s">
        <v>406</v>
      </c>
      <c r="D549" s="59" t="s">
        <v>225</v>
      </c>
      <c r="E549" s="483">
        <v>905</v>
      </c>
      <c r="F549" s="507">
        <v>1422</v>
      </c>
      <c r="G549" s="371">
        <f>E549*F549</f>
        <v>1286910</v>
      </c>
      <c r="I549" s="489"/>
    </row>
    <row r="550" s="322" customFormat="1" ht="18.75" customHeight="1" spans="2:9">
      <c r="B550" s="226"/>
      <c r="C550" s="26"/>
      <c r="D550" s="59"/>
      <c r="E550" s="483"/>
      <c r="F550" s="507">
        <v>0</v>
      </c>
      <c r="G550" s="371"/>
      <c r="I550" s="489"/>
    </row>
    <row r="551" s="322" customFormat="1" ht="18.75" customHeight="1" spans="2:9">
      <c r="B551" s="59" t="s">
        <v>645</v>
      </c>
      <c r="C551" s="26" t="s">
        <v>408</v>
      </c>
      <c r="D551" s="59" t="s">
        <v>225</v>
      </c>
      <c r="E551" s="483">
        <v>436</v>
      </c>
      <c r="F551" s="507">
        <v>1422</v>
      </c>
      <c r="G551" s="371">
        <f>E551*F551</f>
        <v>619992</v>
      </c>
      <c r="I551" s="489"/>
    </row>
    <row r="552" s="322" customFormat="1" ht="18.75" customHeight="1" spans="2:9">
      <c r="B552" s="226"/>
      <c r="C552" s="26"/>
      <c r="D552" s="59"/>
      <c r="E552" s="483"/>
      <c r="F552" s="370">
        <v>0</v>
      </c>
      <c r="G552" s="371"/>
      <c r="I552" s="489"/>
    </row>
    <row r="553" s="322" customFormat="1" ht="18.75" customHeight="1" spans="2:9">
      <c r="B553" s="59" t="s">
        <v>646</v>
      </c>
      <c r="C553" s="26" t="s">
        <v>410</v>
      </c>
      <c r="D553" s="59" t="s">
        <v>225</v>
      </c>
      <c r="E553" s="483">
        <v>375</v>
      </c>
      <c r="F553" s="370">
        <v>1332</v>
      </c>
      <c r="G553" s="371">
        <f>E553*F553</f>
        <v>499500</v>
      </c>
      <c r="I553" s="489"/>
    </row>
    <row r="554" s="322" customFormat="1" ht="18.75" customHeight="1" spans="2:9">
      <c r="B554" s="226"/>
      <c r="C554" s="26"/>
      <c r="D554" s="59"/>
      <c r="E554" s="483"/>
      <c r="F554" s="370">
        <v>0</v>
      </c>
      <c r="G554" s="371"/>
      <c r="I554" s="489"/>
    </row>
    <row r="555" s="322" customFormat="1" ht="18.75" customHeight="1" spans="2:9">
      <c r="B555" s="59" t="s">
        <v>647</v>
      </c>
      <c r="C555" s="26" t="s">
        <v>439</v>
      </c>
      <c r="D555" s="59" t="s">
        <v>225</v>
      </c>
      <c r="E555" s="483">
        <v>736</v>
      </c>
      <c r="F555" s="370">
        <v>1332</v>
      </c>
      <c r="G555" s="371">
        <f>E555*F555</f>
        <v>980352</v>
      </c>
      <c r="I555" s="489"/>
    </row>
    <row r="556" s="322" customFormat="1" ht="18.75" customHeight="1" spans="2:9">
      <c r="B556" s="226"/>
      <c r="C556" s="26"/>
      <c r="D556" s="59"/>
      <c r="E556" s="483"/>
      <c r="F556" s="370">
        <v>0</v>
      </c>
      <c r="G556" s="371"/>
      <c r="I556" s="489"/>
    </row>
    <row r="557" s="322" customFormat="1" ht="18.75" customHeight="1" spans="2:9">
      <c r="B557" s="59" t="s">
        <v>648</v>
      </c>
      <c r="C557" s="26" t="s">
        <v>412</v>
      </c>
      <c r="D557" s="59" t="s">
        <v>225</v>
      </c>
      <c r="E557" s="483">
        <v>170</v>
      </c>
      <c r="F557" s="370">
        <v>1332</v>
      </c>
      <c r="G557" s="371">
        <f>E557*F557</f>
        <v>226440</v>
      </c>
      <c r="I557" s="489"/>
    </row>
    <row r="558" s="322" customFormat="1" ht="18.75" customHeight="1" spans="2:9">
      <c r="B558" s="226"/>
      <c r="C558" s="26"/>
      <c r="D558" s="59"/>
      <c r="E558" s="483"/>
      <c r="F558" s="370">
        <v>0</v>
      </c>
      <c r="G558" s="371"/>
      <c r="I558" s="489"/>
    </row>
    <row r="559" s="322" customFormat="1" ht="30" customHeight="1" spans="2:9">
      <c r="B559" s="59" t="s">
        <v>649</v>
      </c>
      <c r="C559" s="26" t="s">
        <v>414</v>
      </c>
      <c r="D559" s="59" t="s">
        <v>225</v>
      </c>
      <c r="E559" s="483">
        <v>129</v>
      </c>
      <c r="F559" s="370">
        <v>1332</v>
      </c>
      <c r="G559" s="371">
        <f>E559*F559</f>
        <v>171828</v>
      </c>
      <c r="I559" s="489"/>
    </row>
    <row r="560" s="322" customFormat="1" ht="19.5" customHeight="1" spans="2:9">
      <c r="B560" s="226"/>
      <c r="C560" s="26"/>
      <c r="D560" s="59"/>
      <c r="E560" s="483"/>
      <c r="F560" s="370">
        <v>0</v>
      </c>
      <c r="G560" s="371"/>
      <c r="I560" s="489"/>
    </row>
    <row r="561" s="322" customFormat="1" ht="19.5" customHeight="1" spans="2:9">
      <c r="B561" s="59" t="s">
        <v>650</v>
      </c>
      <c r="C561" s="26" t="s">
        <v>443</v>
      </c>
      <c r="D561" s="59" t="s">
        <v>225</v>
      </c>
      <c r="E561" s="483">
        <v>65</v>
      </c>
      <c r="F561" s="370">
        <v>1332</v>
      </c>
      <c r="G561" s="371">
        <f>E561*F561</f>
        <v>86580</v>
      </c>
      <c r="I561" s="489"/>
    </row>
    <row r="562" s="322" customFormat="1" ht="19.5" customHeight="1" spans="2:9">
      <c r="B562" s="226"/>
      <c r="C562" s="26"/>
      <c r="D562" s="59"/>
      <c r="E562" s="483"/>
      <c r="F562" s="370">
        <v>0</v>
      </c>
      <c r="G562" s="371"/>
      <c r="I562" s="489"/>
    </row>
    <row r="563" s="322" customFormat="1" ht="19.5" customHeight="1" spans="2:9">
      <c r="B563" s="59" t="s">
        <v>651</v>
      </c>
      <c r="C563" s="26" t="s">
        <v>445</v>
      </c>
      <c r="D563" s="59" t="s">
        <v>225</v>
      </c>
      <c r="E563" s="483">
        <v>77</v>
      </c>
      <c r="F563" s="370">
        <v>1332</v>
      </c>
      <c r="G563" s="371">
        <f>E563*F563</f>
        <v>102564</v>
      </c>
      <c r="I563" s="489"/>
    </row>
    <row r="564" s="322" customFormat="1" ht="19.5" customHeight="1" spans="2:9">
      <c r="B564" s="226"/>
      <c r="C564" s="26"/>
      <c r="D564" s="59"/>
      <c r="E564" s="483"/>
      <c r="F564" s="370">
        <v>0</v>
      </c>
      <c r="G564" s="371"/>
      <c r="I564" s="489"/>
    </row>
    <row r="565" s="322" customFormat="1" ht="19.5" customHeight="1" spans="2:9">
      <c r="B565" s="59" t="s">
        <v>652</v>
      </c>
      <c r="C565" s="26" t="s">
        <v>424</v>
      </c>
      <c r="D565" s="59" t="s">
        <v>225</v>
      </c>
      <c r="E565" s="483">
        <v>80</v>
      </c>
      <c r="F565" s="370">
        <v>1332</v>
      </c>
      <c r="G565" s="371">
        <f>E565*F565</f>
        <v>106560</v>
      </c>
      <c r="I565" s="489"/>
    </row>
    <row r="566" s="322" customFormat="1" ht="19.5" customHeight="1" spans="2:9">
      <c r="B566" s="226"/>
      <c r="C566" s="26"/>
      <c r="D566" s="59"/>
      <c r="E566" s="483"/>
      <c r="F566" s="370">
        <v>0</v>
      </c>
      <c r="G566" s="371"/>
      <c r="I566" s="489"/>
    </row>
    <row r="567" s="322" customFormat="1" ht="19.5" customHeight="1" spans="2:9">
      <c r="B567" s="59" t="s">
        <v>653</v>
      </c>
      <c r="C567" s="26" t="s">
        <v>448</v>
      </c>
      <c r="D567" s="59" t="s">
        <v>225</v>
      </c>
      <c r="E567" s="483">
        <v>303</v>
      </c>
      <c r="F567" s="370">
        <v>1332</v>
      </c>
      <c r="G567" s="371">
        <f>E567*F567</f>
        <v>403596</v>
      </c>
      <c r="I567" s="489"/>
    </row>
    <row r="568" s="322" customFormat="1" ht="19.5" customHeight="1" spans="2:9">
      <c r="B568" s="226"/>
      <c r="C568" s="26"/>
      <c r="D568" s="59"/>
      <c r="E568" s="483"/>
      <c r="F568" s="370">
        <v>0</v>
      </c>
      <c r="G568" s="371"/>
      <c r="I568" s="489"/>
    </row>
    <row r="569" s="322" customFormat="1" ht="19.5" customHeight="1" spans="2:9">
      <c r="B569" s="59" t="s">
        <v>654</v>
      </c>
      <c r="C569" s="26" t="s">
        <v>450</v>
      </c>
      <c r="D569" s="59" t="s">
        <v>225</v>
      </c>
      <c r="E569" s="483">
        <v>143</v>
      </c>
      <c r="F569" s="370">
        <v>1332</v>
      </c>
      <c r="G569" s="371">
        <f>E569*F569</f>
        <v>190476</v>
      </c>
      <c r="I569" s="489"/>
    </row>
    <row r="570" s="322" customFormat="1" ht="19.5" customHeight="1" spans="2:9">
      <c r="B570" s="226"/>
      <c r="C570" s="26"/>
      <c r="D570" s="59"/>
      <c r="E570" s="483"/>
      <c r="F570" s="370">
        <v>0</v>
      </c>
      <c r="G570" s="371"/>
      <c r="H570" s="508"/>
      <c r="I570" s="489"/>
    </row>
    <row r="571" s="322" customFormat="1" ht="19.5" customHeight="1" spans="2:9">
      <c r="B571" s="59" t="s">
        <v>655</v>
      </c>
      <c r="C571" s="77" t="s">
        <v>455</v>
      </c>
      <c r="D571" s="59"/>
      <c r="E571" s="483"/>
      <c r="F571" s="370">
        <v>0</v>
      </c>
      <c r="G571" s="371"/>
      <c r="H571" s="508"/>
      <c r="I571" s="489"/>
    </row>
    <row r="572" s="322" customFormat="1" ht="19.5" customHeight="1" spans="2:9">
      <c r="B572" s="59"/>
      <c r="C572" s="80"/>
      <c r="D572" s="59"/>
      <c r="E572" s="483"/>
      <c r="F572" s="370">
        <v>0</v>
      </c>
      <c r="G572" s="371"/>
      <c r="H572" s="508"/>
      <c r="I572" s="489"/>
    </row>
    <row r="573" s="322" customFormat="1" ht="19.5" customHeight="1" spans="2:9">
      <c r="B573" s="59" t="s">
        <v>656</v>
      </c>
      <c r="C573" s="192" t="s">
        <v>642</v>
      </c>
      <c r="D573" s="59" t="s">
        <v>225</v>
      </c>
      <c r="E573" s="483">
        <v>1378</v>
      </c>
      <c r="F573" s="370">
        <v>1043</v>
      </c>
      <c r="G573" s="371">
        <f>E573*F573</f>
        <v>1437254</v>
      </c>
      <c r="H573" s="508"/>
      <c r="I573" s="489"/>
    </row>
    <row r="574" s="322" customFormat="1" ht="19.5" customHeight="1" spans="2:9">
      <c r="B574" s="226"/>
      <c r="C574" s="26"/>
      <c r="D574" s="59"/>
      <c r="E574" s="483"/>
      <c r="F574" s="370">
        <v>0</v>
      </c>
      <c r="G574" s="371"/>
      <c r="H574" s="508"/>
      <c r="I574" s="489"/>
    </row>
    <row r="575" s="322" customFormat="1" ht="19.5" customHeight="1" spans="2:9">
      <c r="B575" s="59" t="s">
        <v>657</v>
      </c>
      <c r="C575" s="192" t="s">
        <v>404</v>
      </c>
      <c r="D575" s="59" t="s">
        <v>225</v>
      </c>
      <c r="E575" s="483">
        <v>280</v>
      </c>
      <c r="F575" s="370">
        <v>1356</v>
      </c>
      <c r="G575" s="371">
        <f>E575*F575</f>
        <v>379680</v>
      </c>
      <c r="I575" s="489"/>
    </row>
    <row r="576" s="322" customFormat="1" ht="19.5" customHeight="1" spans="2:9">
      <c r="B576" s="226"/>
      <c r="C576" s="26"/>
      <c r="D576" s="59"/>
      <c r="E576" s="483"/>
      <c r="F576" s="370">
        <v>0</v>
      </c>
      <c r="G576" s="371"/>
      <c r="I576" s="489"/>
    </row>
    <row r="577" s="322" customFormat="1" ht="19.5" customHeight="1" spans="2:9">
      <c r="B577" s="59" t="s">
        <v>658</v>
      </c>
      <c r="C577" s="26" t="s">
        <v>406</v>
      </c>
      <c r="D577" s="59" t="s">
        <v>225</v>
      </c>
      <c r="E577" s="483">
        <v>1300</v>
      </c>
      <c r="F577" s="507">
        <v>1598</v>
      </c>
      <c r="G577" s="371">
        <f>E577*F577</f>
        <v>2077400</v>
      </c>
      <c r="I577" s="489"/>
    </row>
    <row r="578" s="322" customFormat="1" ht="19.5" customHeight="1" spans="2:9">
      <c r="B578" s="226"/>
      <c r="C578" s="26"/>
      <c r="D578" s="59"/>
      <c r="E578" s="483"/>
      <c r="F578" s="507">
        <v>0</v>
      </c>
      <c r="G578" s="371"/>
      <c r="I578" s="489"/>
    </row>
    <row r="579" s="322" customFormat="1" ht="19.5" customHeight="1" spans="2:9">
      <c r="B579" s="59" t="s">
        <v>659</v>
      </c>
      <c r="C579" s="26" t="s">
        <v>408</v>
      </c>
      <c r="D579" s="59" t="s">
        <v>225</v>
      </c>
      <c r="E579" s="483">
        <v>586</v>
      </c>
      <c r="F579" s="507">
        <v>1598</v>
      </c>
      <c r="G579" s="371">
        <f>E579*F579</f>
        <v>936428</v>
      </c>
      <c r="I579" s="489"/>
    </row>
    <row r="580" s="322" customFormat="1" ht="19.5" customHeight="1" spans="2:9">
      <c r="B580" s="226"/>
      <c r="C580" s="26"/>
      <c r="D580" s="59"/>
      <c r="E580" s="483"/>
      <c r="F580" s="370">
        <v>0</v>
      </c>
      <c r="G580" s="371"/>
      <c r="I580" s="489"/>
    </row>
    <row r="581" s="322" customFormat="1" ht="19.5" customHeight="1" spans="2:9">
      <c r="B581" s="59" t="s">
        <v>660</v>
      </c>
      <c r="C581" s="26" t="s">
        <v>410</v>
      </c>
      <c r="D581" s="59" t="s">
        <v>225</v>
      </c>
      <c r="E581" s="483">
        <v>375</v>
      </c>
      <c r="F581" s="370">
        <v>1356</v>
      </c>
      <c r="G581" s="371">
        <f>E581*F581</f>
        <v>508500</v>
      </c>
      <c r="I581" s="489"/>
    </row>
    <row r="582" s="322" customFormat="1" ht="19.5" customHeight="1" spans="2:9">
      <c r="B582" s="226"/>
      <c r="C582" s="26"/>
      <c r="D582" s="59"/>
      <c r="E582" s="483"/>
      <c r="F582" s="370">
        <v>0</v>
      </c>
      <c r="G582" s="371"/>
      <c r="I582" s="489"/>
    </row>
    <row r="583" s="322" customFormat="1" ht="19.5" customHeight="1" spans="2:9">
      <c r="B583" s="59" t="s">
        <v>661</v>
      </c>
      <c r="C583" s="26" t="s">
        <v>412</v>
      </c>
      <c r="D583" s="59" t="s">
        <v>225</v>
      </c>
      <c r="E583" s="483">
        <v>492</v>
      </c>
      <c r="F583" s="370">
        <v>1356</v>
      </c>
      <c r="G583" s="371">
        <f>E583*F583</f>
        <v>667152</v>
      </c>
      <c r="I583" s="489"/>
    </row>
    <row r="584" s="322" customFormat="1" ht="19.5" customHeight="1" spans="2:9">
      <c r="B584" s="226"/>
      <c r="C584" s="26"/>
      <c r="D584" s="59"/>
      <c r="E584" s="483"/>
      <c r="F584" s="370">
        <v>0</v>
      </c>
      <c r="G584" s="371"/>
      <c r="I584" s="489"/>
    </row>
    <row r="585" s="322" customFormat="1" ht="38.25" customHeight="1" spans="2:9">
      <c r="B585" s="67" t="s">
        <v>662</v>
      </c>
      <c r="C585" s="31" t="s">
        <v>414</v>
      </c>
      <c r="D585" s="67" t="s">
        <v>225</v>
      </c>
      <c r="E585" s="486">
        <v>129</v>
      </c>
      <c r="F585" s="375">
        <v>1356</v>
      </c>
      <c r="G585" s="376">
        <f>E585*F585</f>
        <v>174924</v>
      </c>
      <c r="I585" s="489"/>
    </row>
    <row r="586" s="322" customFormat="1" spans="2:9">
      <c r="B586" s="226"/>
      <c r="C586" s="26"/>
      <c r="D586" s="59"/>
      <c r="E586" s="483"/>
      <c r="F586" s="370">
        <v>0</v>
      </c>
      <c r="G586" s="371"/>
      <c r="I586" s="489"/>
    </row>
    <row r="587" s="322" customFormat="1" ht="34.5" customHeight="1" spans="2:9">
      <c r="B587" s="59" t="s">
        <v>663</v>
      </c>
      <c r="C587" s="252" t="s">
        <v>418</v>
      </c>
      <c r="D587" s="59" t="s">
        <v>225</v>
      </c>
      <c r="E587" s="483">
        <v>140</v>
      </c>
      <c r="F587" s="370">
        <v>1356</v>
      </c>
      <c r="G587" s="371">
        <f>E587*F587</f>
        <v>189840</v>
      </c>
      <c r="I587" s="489"/>
    </row>
    <row r="588" s="322" customFormat="1" ht="18.75" customHeight="1" spans="2:9">
      <c r="B588" s="226"/>
      <c r="C588" s="26"/>
      <c r="D588" s="59"/>
      <c r="E588" s="483"/>
      <c r="F588" s="370">
        <v>0</v>
      </c>
      <c r="G588" s="371"/>
      <c r="I588" s="489"/>
    </row>
    <row r="589" s="322" customFormat="1" ht="18.75" customHeight="1" spans="2:9">
      <c r="B589" s="59" t="s">
        <v>664</v>
      </c>
      <c r="C589" s="26" t="s">
        <v>424</v>
      </c>
      <c r="D589" s="59" t="s">
        <v>225</v>
      </c>
      <c r="E589" s="483">
        <v>80</v>
      </c>
      <c r="F589" s="370">
        <v>1356</v>
      </c>
      <c r="G589" s="371">
        <f>E589*F589</f>
        <v>108480</v>
      </c>
      <c r="I589" s="489"/>
    </row>
    <row r="590" s="322" customFormat="1" ht="18.75" customHeight="1" spans="2:9">
      <c r="B590" s="59"/>
      <c r="C590" s="26"/>
      <c r="D590" s="59"/>
      <c r="E590" s="483"/>
      <c r="F590" s="370">
        <v>0</v>
      </c>
      <c r="G590" s="371"/>
      <c r="I590" s="489"/>
    </row>
    <row r="591" s="322" customFormat="1" ht="18.75" customHeight="1" spans="2:9">
      <c r="B591" s="59" t="s">
        <v>665</v>
      </c>
      <c r="C591" s="77" t="s">
        <v>470</v>
      </c>
      <c r="D591" s="59"/>
      <c r="E591" s="483"/>
      <c r="F591" s="370">
        <v>0</v>
      </c>
      <c r="G591" s="371"/>
      <c r="I591" s="489"/>
    </row>
    <row r="592" s="322" customFormat="1" ht="18.75" customHeight="1" spans="2:9">
      <c r="B592" s="59"/>
      <c r="C592" s="26"/>
      <c r="D592" s="59"/>
      <c r="E592" s="483"/>
      <c r="F592" s="370">
        <v>0</v>
      </c>
      <c r="G592" s="371"/>
      <c r="I592" s="489"/>
    </row>
    <row r="593" s="322" customFormat="1" ht="18.75" customHeight="1" spans="2:9">
      <c r="B593" s="59" t="s">
        <v>666</v>
      </c>
      <c r="C593" s="192" t="s">
        <v>642</v>
      </c>
      <c r="D593" s="59" t="s">
        <v>225</v>
      </c>
      <c r="E593" s="483">
        <v>1020</v>
      </c>
      <c r="F593" s="370">
        <v>1061</v>
      </c>
      <c r="G593" s="371">
        <f>E593*F593</f>
        <v>1082220</v>
      </c>
      <c r="I593" s="489"/>
    </row>
    <row r="594" s="322" customFormat="1" ht="18.75" customHeight="1" spans="2:9">
      <c r="B594" s="226"/>
      <c r="C594" s="26"/>
      <c r="D594" s="59"/>
      <c r="E594" s="483"/>
      <c r="F594" s="370">
        <v>0</v>
      </c>
      <c r="G594" s="371"/>
      <c r="I594" s="489"/>
    </row>
    <row r="595" s="322" customFormat="1" ht="18.75" customHeight="1" spans="2:9">
      <c r="B595" s="59" t="s">
        <v>667</v>
      </c>
      <c r="C595" s="192" t="s">
        <v>404</v>
      </c>
      <c r="D595" s="59" t="s">
        <v>225</v>
      </c>
      <c r="E595" s="483">
        <v>280</v>
      </c>
      <c r="F595" s="370">
        <v>1379</v>
      </c>
      <c r="G595" s="371">
        <f>E595*F595</f>
        <v>386120</v>
      </c>
      <c r="I595" s="489"/>
    </row>
    <row r="596" s="322" customFormat="1" ht="18.75" customHeight="1" spans="2:9">
      <c r="B596" s="226"/>
      <c r="C596" s="26"/>
      <c r="D596" s="59"/>
      <c r="E596" s="483"/>
      <c r="F596" s="370">
        <v>0</v>
      </c>
      <c r="G596" s="371"/>
      <c r="I596" s="489"/>
    </row>
    <row r="597" s="322" customFormat="1" ht="18.75" customHeight="1" spans="2:9">
      <c r="B597" s="59" t="s">
        <v>668</v>
      </c>
      <c r="C597" s="26" t="s">
        <v>406</v>
      </c>
      <c r="D597" s="59" t="s">
        <v>225</v>
      </c>
      <c r="E597" s="483">
        <v>1100</v>
      </c>
      <c r="F597" s="507">
        <v>1627</v>
      </c>
      <c r="G597" s="371">
        <f>E597*F597</f>
        <v>1789700</v>
      </c>
      <c r="I597" s="489"/>
    </row>
    <row r="598" s="322" customFormat="1" ht="18.75" customHeight="1" spans="2:9">
      <c r="B598" s="226"/>
      <c r="C598" s="26"/>
      <c r="D598" s="59"/>
      <c r="E598" s="483"/>
      <c r="F598" s="507">
        <v>0</v>
      </c>
      <c r="G598" s="371"/>
      <c r="I598" s="489"/>
    </row>
    <row r="599" s="322" customFormat="1" ht="18.75" customHeight="1" spans="2:9">
      <c r="B599" s="59" t="s">
        <v>669</v>
      </c>
      <c r="C599" s="26" t="s">
        <v>408</v>
      </c>
      <c r="D599" s="59" t="s">
        <v>225</v>
      </c>
      <c r="E599" s="483">
        <v>598</v>
      </c>
      <c r="F599" s="507">
        <v>1627</v>
      </c>
      <c r="G599" s="371">
        <f>E599*F599</f>
        <v>972946</v>
      </c>
      <c r="I599" s="489"/>
    </row>
    <row r="600" s="322" customFormat="1" ht="18.75" customHeight="1" spans="2:9">
      <c r="B600" s="226"/>
      <c r="C600" s="26"/>
      <c r="D600" s="59"/>
      <c r="E600" s="483"/>
      <c r="F600" s="370">
        <v>0</v>
      </c>
      <c r="G600" s="371"/>
      <c r="I600" s="489"/>
    </row>
    <row r="601" s="322" customFormat="1" ht="18.75" customHeight="1" spans="2:9">
      <c r="B601" s="59" t="s">
        <v>670</v>
      </c>
      <c r="C601" s="26" t="s">
        <v>410</v>
      </c>
      <c r="D601" s="59" t="s">
        <v>225</v>
      </c>
      <c r="E601" s="483">
        <v>375</v>
      </c>
      <c r="F601" s="370">
        <v>1379</v>
      </c>
      <c r="G601" s="371">
        <f>E601*F601</f>
        <v>517125</v>
      </c>
      <c r="I601" s="489"/>
    </row>
    <row r="602" s="322" customFormat="1" ht="18.75" customHeight="1" spans="2:9">
      <c r="B602" s="226"/>
      <c r="C602" s="26"/>
      <c r="D602" s="59"/>
      <c r="E602" s="483"/>
      <c r="F602" s="370">
        <v>0</v>
      </c>
      <c r="G602" s="371"/>
      <c r="I602" s="489"/>
    </row>
    <row r="603" s="322" customFormat="1" ht="18.75" customHeight="1" spans="2:9">
      <c r="B603" s="59" t="s">
        <v>671</v>
      </c>
      <c r="C603" s="26" t="s">
        <v>672</v>
      </c>
      <c r="D603" s="59" t="s">
        <v>225</v>
      </c>
      <c r="E603" s="483">
        <v>1002</v>
      </c>
      <c r="F603" s="370">
        <v>1379</v>
      </c>
      <c r="G603" s="371">
        <f>E603*F603</f>
        <v>1381758</v>
      </c>
      <c r="I603" s="489"/>
    </row>
    <row r="604" s="322" customFormat="1" ht="18.75" customHeight="1" spans="2:9">
      <c r="B604" s="226"/>
      <c r="C604" s="26"/>
      <c r="D604" s="59"/>
      <c r="E604" s="483"/>
      <c r="F604" s="370">
        <v>0</v>
      </c>
      <c r="G604" s="371"/>
      <c r="I604" s="489"/>
    </row>
    <row r="605" s="322" customFormat="1" ht="32.25" customHeight="1" spans="2:9">
      <c r="B605" s="59" t="s">
        <v>673</v>
      </c>
      <c r="C605" s="252" t="s">
        <v>418</v>
      </c>
      <c r="D605" s="59" t="s">
        <v>225</v>
      </c>
      <c r="E605" s="483">
        <v>308</v>
      </c>
      <c r="F605" s="370">
        <v>1379</v>
      </c>
      <c r="G605" s="371">
        <f>E605*F605</f>
        <v>424732</v>
      </c>
      <c r="I605" s="489"/>
    </row>
    <row r="606" s="322" customFormat="1" ht="18.75" customHeight="1" spans="2:9">
      <c r="B606" s="226"/>
      <c r="C606" s="26"/>
      <c r="D606" s="59"/>
      <c r="E606" s="483"/>
      <c r="F606" s="370">
        <v>0</v>
      </c>
      <c r="G606" s="371"/>
      <c r="I606" s="489"/>
    </row>
    <row r="607" s="322" customFormat="1" ht="18.75" customHeight="1" spans="2:9">
      <c r="B607" s="59" t="s">
        <v>674</v>
      </c>
      <c r="C607" s="26" t="s">
        <v>424</v>
      </c>
      <c r="D607" s="59" t="s">
        <v>225</v>
      </c>
      <c r="E607" s="483">
        <v>60</v>
      </c>
      <c r="F607" s="370">
        <v>1379</v>
      </c>
      <c r="G607" s="371">
        <f>E607*F607</f>
        <v>82740</v>
      </c>
      <c r="I607" s="489"/>
    </row>
    <row r="608" s="322" customFormat="1" ht="18.75" customHeight="1" spans="2:9">
      <c r="B608" s="59"/>
      <c r="C608" s="26"/>
      <c r="D608" s="59"/>
      <c r="E608" s="483"/>
      <c r="F608" s="370">
        <v>0</v>
      </c>
      <c r="G608" s="371"/>
      <c r="I608" s="489"/>
    </row>
    <row r="609" s="322" customFormat="1" ht="18.75" customHeight="1" spans="2:9">
      <c r="B609" s="59" t="s">
        <v>675</v>
      </c>
      <c r="C609" s="77" t="s">
        <v>483</v>
      </c>
      <c r="D609" s="59"/>
      <c r="E609" s="483"/>
      <c r="F609" s="370">
        <v>0</v>
      </c>
      <c r="G609" s="371"/>
      <c r="I609" s="489"/>
    </row>
    <row r="610" s="322" customFormat="1" ht="18.75" customHeight="1" spans="2:9">
      <c r="B610" s="59"/>
      <c r="C610" s="80"/>
      <c r="D610" s="59"/>
      <c r="E610" s="483"/>
      <c r="F610" s="370">
        <v>0</v>
      </c>
      <c r="G610" s="371"/>
      <c r="I610" s="489"/>
    </row>
    <row r="611" s="322" customFormat="1" ht="18.75" customHeight="1" spans="2:9">
      <c r="B611" s="59" t="s">
        <v>676</v>
      </c>
      <c r="C611" s="192" t="s">
        <v>642</v>
      </c>
      <c r="D611" s="59" t="s">
        <v>225</v>
      </c>
      <c r="E611" s="483">
        <v>807</v>
      </c>
      <c r="F611" s="370">
        <v>1079</v>
      </c>
      <c r="G611" s="371">
        <f>E611*F611</f>
        <v>870753</v>
      </c>
      <c r="I611" s="489"/>
    </row>
    <row r="612" s="322" customFormat="1" ht="18.75" customHeight="1" spans="2:9">
      <c r="B612" s="226"/>
      <c r="C612" s="26"/>
      <c r="D612" s="59"/>
      <c r="E612" s="483"/>
      <c r="F612" s="370">
        <v>0</v>
      </c>
      <c r="G612" s="371"/>
      <c r="I612" s="489"/>
    </row>
    <row r="613" s="322" customFormat="1" ht="18.75" customHeight="1" spans="2:9">
      <c r="B613" s="59" t="s">
        <v>677</v>
      </c>
      <c r="C613" s="192" t="s">
        <v>404</v>
      </c>
      <c r="D613" s="59" t="s">
        <v>225</v>
      </c>
      <c r="E613" s="483">
        <v>250</v>
      </c>
      <c r="F613" s="370">
        <v>1403</v>
      </c>
      <c r="G613" s="371">
        <f>E613*F613</f>
        <v>350750</v>
      </c>
      <c r="I613" s="489"/>
    </row>
    <row r="614" s="322" customFormat="1" ht="18.75" customHeight="1" spans="2:9">
      <c r="B614" s="226"/>
      <c r="C614" s="26"/>
      <c r="D614" s="59"/>
      <c r="E614" s="483"/>
      <c r="F614" s="370">
        <v>0</v>
      </c>
      <c r="G614" s="371"/>
      <c r="I614" s="489"/>
    </row>
    <row r="615" s="322" customFormat="1" ht="18.75" customHeight="1" spans="2:9">
      <c r="B615" s="59" t="s">
        <v>678</v>
      </c>
      <c r="C615" s="26" t="s">
        <v>406</v>
      </c>
      <c r="D615" s="59" t="s">
        <v>225</v>
      </c>
      <c r="E615" s="483">
        <v>450</v>
      </c>
      <c r="F615" s="507">
        <v>1655</v>
      </c>
      <c r="G615" s="371">
        <f>E615*F615</f>
        <v>744750</v>
      </c>
      <c r="I615" s="489"/>
    </row>
    <row r="616" s="322" customFormat="1" ht="18.75" customHeight="1" spans="2:9">
      <c r="B616" s="226"/>
      <c r="C616" s="26"/>
      <c r="D616" s="59"/>
      <c r="E616" s="483"/>
      <c r="F616" s="507">
        <v>0</v>
      </c>
      <c r="G616" s="371"/>
      <c r="I616" s="489"/>
    </row>
    <row r="617" s="322" customFormat="1" ht="18.75" customHeight="1" spans="2:9">
      <c r="B617" s="59" t="s">
        <v>679</v>
      </c>
      <c r="C617" s="26" t="s">
        <v>408</v>
      </c>
      <c r="D617" s="59" t="s">
        <v>225</v>
      </c>
      <c r="E617" s="483">
        <v>1008</v>
      </c>
      <c r="F617" s="507">
        <v>1655</v>
      </c>
      <c r="G617" s="371">
        <f>E617*F617</f>
        <v>1668240</v>
      </c>
      <c r="I617" s="489"/>
    </row>
    <row r="618" s="322" customFormat="1" ht="18.75" customHeight="1" spans="2:9">
      <c r="B618" s="226"/>
      <c r="C618" s="26"/>
      <c r="D618" s="59"/>
      <c r="E618" s="483"/>
      <c r="F618" s="370">
        <v>0</v>
      </c>
      <c r="G618" s="371"/>
      <c r="I618" s="489"/>
    </row>
    <row r="619" s="322" customFormat="1" ht="18.75" customHeight="1" spans="2:9">
      <c r="B619" s="59" t="s">
        <v>680</v>
      </c>
      <c r="C619" s="26" t="s">
        <v>410</v>
      </c>
      <c r="D619" s="59" t="s">
        <v>225</v>
      </c>
      <c r="E619" s="483">
        <v>375</v>
      </c>
      <c r="F619" s="370">
        <v>1403</v>
      </c>
      <c r="G619" s="371">
        <f>E619*F619</f>
        <v>526125</v>
      </c>
      <c r="I619" s="489"/>
    </row>
    <row r="620" s="322" customFormat="1" ht="18.75" customHeight="1" spans="2:9">
      <c r="B620" s="226"/>
      <c r="C620" s="26"/>
      <c r="D620" s="59"/>
      <c r="E620" s="483"/>
      <c r="F620" s="370">
        <v>0</v>
      </c>
      <c r="G620" s="371"/>
      <c r="I620" s="489"/>
    </row>
    <row r="621" s="322" customFormat="1" ht="18.75" customHeight="1" spans="2:9">
      <c r="B621" s="59" t="s">
        <v>681</v>
      </c>
      <c r="C621" s="26" t="s">
        <v>672</v>
      </c>
      <c r="D621" s="59" t="s">
        <v>225</v>
      </c>
      <c r="E621" s="483">
        <v>1437</v>
      </c>
      <c r="F621" s="370">
        <v>1403</v>
      </c>
      <c r="G621" s="371">
        <f>E621*F621</f>
        <v>2016111</v>
      </c>
      <c r="I621" s="489"/>
    </row>
    <row r="622" s="322" customFormat="1" ht="18.75" customHeight="1" spans="2:9">
      <c r="B622" s="226"/>
      <c r="C622" s="26"/>
      <c r="D622" s="59"/>
      <c r="E622" s="483"/>
      <c r="F622" s="370">
        <v>0</v>
      </c>
      <c r="G622" s="371"/>
      <c r="I622" s="489"/>
    </row>
    <row r="623" s="322" customFormat="1" ht="32.25" customHeight="1" spans="2:9">
      <c r="B623" s="59" t="s">
        <v>682</v>
      </c>
      <c r="C623" s="252" t="s">
        <v>418</v>
      </c>
      <c r="D623" s="59" t="s">
        <v>225</v>
      </c>
      <c r="E623" s="483">
        <v>196</v>
      </c>
      <c r="F623" s="370">
        <v>1403</v>
      </c>
      <c r="G623" s="371">
        <f>E623*F623</f>
        <v>274988</v>
      </c>
      <c r="I623" s="489"/>
    </row>
    <row r="624" s="322" customFormat="1" ht="19.5" customHeight="1" spans="2:9">
      <c r="B624" s="226"/>
      <c r="C624" s="26"/>
      <c r="D624" s="59"/>
      <c r="E624" s="483"/>
      <c r="F624" s="370">
        <v>0</v>
      </c>
      <c r="G624" s="371"/>
      <c r="I624" s="489"/>
    </row>
    <row r="625" s="322" customFormat="1" ht="19.5" customHeight="1" spans="2:9">
      <c r="B625" s="59" t="s">
        <v>683</v>
      </c>
      <c r="C625" s="26" t="s">
        <v>424</v>
      </c>
      <c r="D625" s="59" t="s">
        <v>225</v>
      </c>
      <c r="E625" s="483">
        <v>60</v>
      </c>
      <c r="F625" s="370">
        <v>1403</v>
      </c>
      <c r="G625" s="371">
        <f>E625*F625</f>
        <v>84180</v>
      </c>
      <c r="I625" s="489"/>
    </row>
    <row r="626" s="322" customFormat="1" ht="19.5" customHeight="1" spans="2:9">
      <c r="B626" s="59"/>
      <c r="C626" s="80"/>
      <c r="D626" s="59"/>
      <c r="E626" s="483"/>
      <c r="F626" s="370">
        <v>0</v>
      </c>
      <c r="G626" s="371"/>
      <c r="I626" s="489"/>
    </row>
    <row r="627" s="322" customFormat="1" ht="19.5" customHeight="1" spans="2:9">
      <c r="B627" s="59" t="s">
        <v>684</v>
      </c>
      <c r="C627" s="77" t="s">
        <v>685</v>
      </c>
      <c r="D627" s="59"/>
      <c r="E627" s="483"/>
      <c r="F627" s="370">
        <v>0</v>
      </c>
      <c r="G627" s="371"/>
      <c r="I627" s="489"/>
    </row>
    <row r="628" s="322" customFormat="1" ht="19.5" customHeight="1" spans="2:9">
      <c r="B628" s="59"/>
      <c r="C628" s="80"/>
      <c r="D628" s="59"/>
      <c r="E628" s="483"/>
      <c r="F628" s="370">
        <v>0</v>
      </c>
      <c r="G628" s="371"/>
      <c r="I628" s="489"/>
    </row>
    <row r="629" s="322" customFormat="1" ht="30.75" customHeight="1" spans="2:9">
      <c r="B629" s="67" t="s">
        <v>686</v>
      </c>
      <c r="C629" s="263" t="s">
        <v>642</v>
      </c>
      <c r="D629" s="67" t="s">
        <v>225</v>
      </c>
      <c r="E629" s="486">
        <v>708</v>
      </c>
      <c r="F629" s="375">
        <v>1096</v>
      </c>
      <c r="G629" s="376">
        <f>E629*F629</f>
        <v>775968</v>
      </c>
      <c r="I629" s="489"/>
    </row>
    <row r="630" s="322" customFormat="1" ht="19.5" customHeight="1" spans="2:9">
      <c r="B630" s="59"/>
      <c r="C630" s="26"/>
      <c r="D630" s="59"/>
      <c r="E630" s="483"/>
      <c r="F630" s="370">
        <v>0</v>
      </c>
      <c r="G630" s="371"/>
      <c r="I630" s="489"/>
    </row>
    <row r="631" s="322" customFormat="1" ht="19.5" customHeight="1" spans="2:9">
      <c r="B631" s="59" t="s">
        <v>687</v>
      </c>
      <c r="C631" s="192" t="s">
        <v>404</v>
      </c>
      <c r="D631" s="59" t="s">
        <v>225</v>
      </c>
      <c r="E631" s="483">
        <v>250</v>
      </c>
      <c r="F631" s="370">
        <v>1427</v>
      </c>
      <c r="G631" s="371">
        <f>E631*F631</f>
        <v>356750</v>
      </c>
      <c r="I631" s="489"/>
    </row>
    <row r="632" s="322" customFormat="1" ht="19.5" customHeight="1" spans="2:9">
      <c r="B632" s="59"/>
      <c r="C632" s="26"/>
      <c r="D632" s="59"/>
      <c r="E632" s="483"/>
      <c r="F632" s="370">
        <v>0</v>
      </c>
      <c r="G632" s="371"/>
      <c r="I632" s="489"/>
    </row>
    <row r="633" s="322" customFormat="1" ht="19.5" customHeight="1" spans="2:9">
      <c r="B633" s="59" t="s">
        <v>688</v>
      </c>
      <c r="C633" s="26" t="s">
        <v>406</v>
      </c>
      <c r="D633" s="59" t="s">
        <v>225</v>
      </c>
      <c r="E633" s="483">
        <v>560</v>
      </c>
      <c r="F633" s="507">
        <v>1684</v>
      </c>
      <c r="G633" s="371">
        <f>E633*F633</f>
        <v>943040</v>
      </c>
      <c r="I633" s="489"/>
    </row>
    <row r="634" s="322" customFormat="1" ht="19.5" customHeight="1" spans="2:9">
      <c r="B634" s="59"/>
      <c r="C634" s="26"/>
      <c r="D634" s="59"/>
      <c r="E634" s="483"/>
      <c r="F634" s="507">
        <v>0</v>
      </c>
      <c r="G634" s="371"/>
      <c r="I634" s="489"/>
    </row>
    <row r="635" s="322" customFormat="1" ht="19.5" customHeight="1" spans="2:9">
      <c r="B635" s="59" t="s">
        <v>689</v>
      </c>
      <c r="C635" s="26" t="s">
        <v>408</v>
      </c>
      <c r="D635" s="59" t="s">
        <v>225</v>
      </c>
      <c r="E635" s="483">
        <v>431</v>
      </c>
      <c r="F635" s="507">
        <v>1684</v>
      </c>
      <c r="G635" s="371">
        <f>E635*F635</f>
        <v>725804</v>
      </c>
      <c r="I635" s="489"/>
    </row>
    <row r="636" s="322" customFormat="1" ht="19.5" customHeight="1" spans="2:9">
      <c r="B636" s="59"/>
      <c r="C636" s="26"/>
      <c r="D636" s="59"/>
      <c r="E636" s="483"/>
      <c r="F636" s="370">
        <v>0</v>
      </c>
      <c r="G636" s="371"/>
      <c r="I636" s="489"/>
    </row>
    <row r="637" s="322" customFormat="1" ht="19.5" customHeight="1" spans="2:9">
      <c r="B637" s="59" t="s">
        <v>690</v>
      </c>
      <c r="C637" s="26" t="s">
        <v>410</v>
      </c>
      <c r="D637" s="59" t="s">
        <v>225</v>
      </c>
      <c r="E637" s="483">
        <v>375</v>
      </c>
      <c r="F637" s="370">
        <v>1427</v>
      </c>
      <c r="G637" s="371">
        <f>E637*F637</f>
        <v>535125</v>
      </c>
      <c r="I637" s="489"/>
    </row>
    <row r="638" s="322" customFormat="1" ht="19.5" customHeight="1" spans="2:9">
      <c r="B638" s="59"/>
      <c r="C638" s="26"/>
      <c r="D638" s="59"/>
      <c r="E638" s="483"/>
      <c r="F638" s="370">
        <v>0</v>
      </c>
      <c r="G638" s="371"/>
      <c r="I638" s="489"/>
    </row>
    <row r="639" s="322" customFormat="1" ht="19.5" customHeight="1" spans="2:9">
      <c r="B639" s="59" t="s">
        <v>691</v>
      </c>
      <c r="C639" s="26" t="s">
        <v>672</v>
      </c>
      <c r="D639" s="59" t="s">
        <v>225</v>
      </c>
      <c r="E639" s="483">
        <v>342</v>
      </c>
      <c r="F639" s="370">
        <v>1427</v>
      </c>
      <c r="G639" s="371">
        <f>E639*F639</f>
        <v>488034</v>
      </c>
      <c r="I639" s="489"/>
    </row>
    <row r="640" s="322" customFormat="1" ht="19.5" customHeight="1" spans="2:9">
      <c r="B640" s="59"/>
      <c r="C640" s="26"/>
      <c r="D640" s="59"/>
      <c r="E640" s="483"/>
      <c r="F640" s="370">
        <v>0</v>
      </c>
      <c r="G640" s="371"/>
      <c r="I640" s="489"/>
    </row>
    <row r="641" s="322" customFormat="1" ht="19.5" customHeight="1" spans="2:9">
      <c r="B641" s="59" t="s">
        <v>692</v>
      </c>
      <c r="C641" s="26" t="s">
        <v>424</v>
      </c>
      <c r="D641" s="59" t="s">
        <v>225</v>
      </c>
      <c r="E641" s="483">
        <v>60</v>
      </c>
      <c r="F641" s="370">
        <v>1427</v>
      </c>
      <c r="G641" s="371">
        <f>E641*F641</f>
        <v>85620</v>
      </c>
      <c r="I641" s="489"/>
    </row>
    <row r="642" s="322" customFormat="1" ht="19.5" customHeight="1" spans="2:9">
      <c r="B642" s="59"/>
      <c r="C642" s="26"/>
      <c r="D642" s="59"/>
      <c r="E642" s="483"/>
      <c r="F642" s="370">
        <v>0</v>
      </c>
      <c r="G642" s="371"/>
      <c r="I642" s="489"/>
    </row>
    <row r="643" s="322" customFormat="1" ht="19.5" customHeight="1" spans="2:9">
      <c r="B643" s="59" t="s">
        <v>693</v>
      </c>
      <c r="C643" s="77" t="s">
        <v>694</v>
      </c>
      <c r="D643" s="59"/>
      <c r="E643" s="483"/>
      <c r="F643" s="370">
        <v>0</v>
      </c>
      <c r="G643" s="371"/>
      <c r="I643" s="489"/>
    </row>
    <row r="644" s="322" customFormat="1" ht="19.5" customHeight="1" spans="2:9">
      <c r="B644" s="59"/>
      <c r="C644" s="80"/>
      <c r="D644" s="59"/>
      <c r="E644" s="483"/>
      <c r="F644" s="370">
        <v>0</v>
      </c>
      <c r="G644" s="371"/>
      <c r="I644" s="489"/>
    </row>
    <row r="645" s="322" customFormat="1" ht="19.5" customHeight="1" spans="2:9">
      <c r="B645" s="59" t="s">
        <v>695</v>
      </c>
      <c r="C645" s="192" t="s">
        <v>642</v>
      </c>
      <c r="D645" s="59" t="s">
        <v>225</v>
      </c>
      <c r="E645" s="483">
        <v>708</v>
      </c>
      <c r="F645" s="370">
        <v>1114</v>
      </c>
      <c r="G645" s="371">
        <f>E645*F645</f>
        <v>788712</v>
      </c>
      <c r="I645" s="489"/>
    </row>
    <row r="646" s="322" customFormat="1" ht="19.5" customHeight="1" spans="2:9">
      <c r="B646" s="59"/>
      <c r="C646" s="26"/>
      <c r="D646" s="59"/>
      <c r="E646" s="483"/>
      <c r="F646" s="370">
        <v>0</v>
      </c>
      <c r="G646" s="371"/>
      <c r="I646" s="489"/>
    </row>
    <row r="647" s="322" customFormat="1" ht="19.5" customHeight="1" spans="2:9">
      <c r="B647" s="59" t="s">
        <v>696</v>
      </c>
      <c r="C647" s="192" t="s">
        <v>404</v>
      </c>
      <c r="D647" s="59" t="s">
        <v>225</v>
      </c>
      <c r="E647" s="483">
        <v>250</v>
      </c>
      <c r="F647" s="370">
        <v>1451</v>
      </c>
      <c r="G647" s="371">
        <f>E647*F647</f>
        <v>362750</v>
      </c>
      <c r="I647" s="489"/>
    </row>
    <row r="648" s="322" customFormat="1" ht="19.5" customHeight="1" spans="2:9">
      <c r="B648" s="59"/>
      <c r="C648" s="26"/>
      <c r="D648" s="59"/>
      <c r="E648" s="483"/>
      <c r="F648" s="370">
        <v>0</v>
      </c>
      <c r="G648" s="371"/>
      <c r="I648" s="489"/>
    </row>
    <row r="649" s="322" customFormat="1" ht="19.5" customHeight="1" spans="2:9">
      <c r="B649" s="59" t="s">
        <v>697</v>
      </c>
      <c r="C649" s="26" t="s">
        <v>406</v>
      </c>
      <c r="D649" s="59" t="s">
        <v>225</v>
      </c>
      <c r="E649" s="483">
        <v>560</v>
      </c>
      <c r="F649" s="507">
        <v>1712</v>
      </c>
      <c r="G649" s="371">
        <f>E649*F649</f>
        <v>958720</v>
      </c>
      <c r="I649" s="489"/>
    </row>
    <row r="650" s="322" customFormat="1" ht="19.5" customHeight="1" spans="2:9">
      <c r="B650" s="59"/>
      <c r="C650" s="26"/>
      <c r="D650" s="59"/>
      <c r="E650" s="483"/>
      <c r="F650" s="507">
        <v>0</v>
      </c>
      <c r="G650" s="371"/>
      <c r="I650" s="489"/>
    </row>
    <row r="651" s="322" customFormat="1" ht="19.5" customHeight="1" spans="2:9">
      <c r="B651" s="59" t="s">
        <v>698</v>
      </c>
      <c r="C651" s="26" t="s">
        <v>408</v>
      </c>
      <c r="D651" s="59" t="s">
        <v>225</v>
      </c>
      <c r="E651" s="483">
        <v>431</v>
      </c>
      <c r="F651" s="507">
        <v>1712</v>
      </c>
      <c r="G651" s="371">
        <f>E651*F651</f>
        <v>737872</v>
      </c>
      <c r="I651" s="489"/>
    </row>
    <row r="652" s="322" customFormat="1" ht="19.5" customHeight="1" spans="2:9">
      <c r="B652" s="59"/>
      <c r="C652" s="26"/>
      <c r="D652" s="59"/>
      <c r="E652" s="483"/>
      <c r="F652" s="370">
        <v>0</v>
      </c>
      <c r="G652" s="371"/>
      <c r="I652" s="489"/>
    </row>
    <row r="653" s="322" customFormat="1" ht="19.5" customHeight="1" spans="2:9">
      <c r="B653" s="59" t="s">
        <v>699</v>
      </c>
      <c r="C653" s="26" t="s">
        <v>410</v>
      </c>
      <c r="D653" s="59" t="s">
        <v>225</v>
      </c>
      <c r="E653" s="483">
        <v>375</v>
      </c>
      <c r="F653" s="370">
        <v>1451</v>
      </c>
      <c r="G653" s="371">
        <f>E653*F653</f>
        <v>544125</v>
      </c>
      <c r="I653" s="489"/>
    </row>
    <row r="654" s="322" customFormat="1" ht="19.5" customHeight="1" spans="2:9">
      <c r="B654" s="59"/>
      <c r="C654" s="26"/>
      <c r="D654" s="59"/>
      <c r="E654" s="483"/>
      <c r="F654" s="370">
        <v>0</v>
      </c>
      <c r="G654" s="371"/>
      <c r="I654" s="489"/>
    </row>
    <row r="655" s="322" customFormat="1" ht="19.5" customHeight="1" spans="2:9">
      <c r="B655" s="59" t="s">
        <v>700</v>
      </c>
      <c r="C655" s="26" t="s">
        <v>672</v>
      </c>
      <c r="D655" s="59" t="s">
        <v>225</v>
      </c>
      <c r="E655" s="483">
        <v>342</v>
      </c>
      <c r="F655" s="370">
        <v>1451</v>
      </c>
      <c r="G655" s="371">
        <f>E655*F655</f>
        <v>496242</v>
      </c>
      <c r="I655" s="489"/>
    </row>
    <row r="656" s="322" customFormat="1" ht="19.5" customHeight="1" spans="2:9">
      <c r="B656" s="59"/>
      <c r="C656" s="26"/>
      <c r="D656" s="59"/>
      <c r="E656" s="483"/>
      <c r="F656" s="370">
        <v>0</v>
      </c>
      <c r="G656" s="371"/>
      <c r="I656" s="489"/>
    </row>
    <row r="657" s="322" customFormat="1" ht="19.5" customHeight="1" spans="2:9">
      <c r="B657" s="59" t="s">
        <v>701</v>
      </c>
      <c r="C657" s="26" t="s">
        <v>424</v>
      </c>
      <c r="D657" s="59" t="s">
        <v>225</v>
      </c>
      <c r="E657" s="483">
        <v>40</v>
      </c>
      <c r="F657" s="370">
        <v>1451</v>
      </c>
      <c r="G657" s="371">
        <f>E657*F657</f>
        <v>58040</v>
      </c>
      <c r="I657" s="489"/>
    </row>
    <row r="658" s="322" customFormat="1" ht="19.5" customHeight="1" spans="2:9">
      <c r="B658" s="59"/>
      <c r="C658" s="26"/>
      <c r="D658" s="59"/>
      <c r="E658" s="483"/>
      <c r="F658" s="370">
        <v>0</v>
      </c>
      <c r="G658" s="371"/>
      <c r="I658" s="489"/>
    </row>
    <row r="659" s="322" customFormat="1" ht="19.5" customHeight="1" spans="2:9">
      <c r="B659" s="59" t="s">
        <v>702</v>
      </c>
      <c r="C659" s="77" t="s">
        <v>703</v>
      </c>
      <c r="D659" s="59"/>
      <c r="E659" s="483"/>
      <c r="F659" s="370">
        <v>0</v>
      </c>
      <c r="G659" s="371"/>
      <c r="I659" s="489"/>
    </row>
    <row r="660" s="322" customFormat="1" ht="19.5" customHeight="1" spans="2:9">
      <c r="B660" s="59"/>
      <c r="C660" s="80"/>
      <c r="D660" s="59"/>
      <c r="E660" s="483"/>
      <c r="F660" s="370">
        <v>0</v>
      </c>
      <c r="G660" s="371"/>
      <c r="I660" s="489"/>
    </row>
    <row r="661" s="322" customFormat="1" ht="19.5" customHeight="1" spans="2:9">
      <c r="B661" s="59" t="s">
        <v>704</v>
      </c>
      <c r="C661" s="192" t="s">
        <v>642</v>
      </c>
      <c r="D661" s="59" t="s">
        <v>225</v>
      </c>
      <c r="E661" s="483">
        <v>280</v>
      </c>
      <c r="F661" s="370">
        <v>1131</v>
      </c>
      <c r="G661" s="371">
        <f>E661*F661</f>
        <v>316680</v>
      </c>
      <c r="I661" s="489"/>
    </row>
    <row r="662" s="322" customFormat="1" ht="19.5" customHeight="1" spans="2:9">
      <c r="B662" s="59"/>
      <c r="C662" s="26"/>
      <c r="D662" s="59"/>
      <c r="E662" s="483"/>
      <c r="F662" s="370">
        <v>0</v>
      </c>
      <c r="G662" s="371"/>
      <c r="I662" s="489"/>
    </row>
    <row r="663" s="322" customFormat="1" ht="19.5" customHeight="1" spans="2:9">
      <c r="B663" s="59" t="s">
        <v>705</v>
      </c>
      <c r="C663" s="192" t="s">
        <v>404</v>
      </c>
      <c r="D663" s="59" t="s">
        <v>225</v>
      </c>
      <c r="E663" s="483">
        <v>250</v>
      </c>
      <c r="F663" s="370">
        <v>1474</v>
      </c>
      <c r="G663" s="371">
        <f>E663*F663</f>
        <v>368500</v>
      </c>
      <c r="I663" s="489"/>
    </row>
    <row r="664" s="322" customFormat="1" ht="19.5" customHeight="1" spans="2:9">
      <c r="B664" s="59"/>
      <c r="C664" s="26"/>
      <c r="D664" s="59"/>
      <c r="E664" s="483"/>
      <c r="F664" s="370">
        <v>0</v>
      </c>
      <c r="G664" s="371"/>
      <c r="I664" s="489"/>
    </row>
    <row r="665" s="322" customFormat="1" ht="19.5" customHeight="1" spans="2:9">
      <c r="B665" s="59" t="s">
        <v>706</v>
      </c>
      <c r="C665" s="26" t="s">
        <v>406</v>
      </c>
      <c r="D665" s="59" t="s">
        <v>225</v>
      </c>
      <c r="E665" s="483">
        <v>215</v>
      </c>
      <c r="F665" s="507">
        <v>1740</v>
      </c>
      <c r="G665" s="371">
        <f>E665*F665</f>
        <v>374100</v>
      </c>
      <c r="I665" s="489"/>
    </row>
    <row r="666" s="322" customFormat="1" ht="19.5" customHeight="1" spans="2:9">
      <c r="B666" s="59"/>
      <c r="C666" s="26"/>
      <c r="D666" s="59"/>
      <c r="E666" s="483"/>
      <c r="F666" s="507">
        <v>0</v>
      </c>
      <c r="G666" s="371"/>
      <c r="I666" s="489"/>
    </row>
    <row r="667" s="322" customFormat="1" ht="19.5" customHeight="1" spans="2:9">
      <c r="B667" s="59" t="s">
        <v>707</v>
      </c>
      <c r="C667" s="26" t="s">
        <v>408</v>
      </c>
      <c r="D667" s="59" t="s">
        <v>225</v>
      </c>
      <c r="E667" s="483">
        <v>865</v>
      </c>
      <c r="F667" s="507">
        <v>1740</v>
      </c>
      <c r="G667" s="371">
        <f>E667*F667</f>
        <v>1505100</v>
      </c>
      <c r="I667" s="489"/>
    </row>
    <row r="668" s="322" customFormat="1" ht="19.5" customHeight="1" spans="2:9">
      <c r="B668" s="59"/>
      <c r="C668" s="26"/>
      <c r="D668" s="59"/>
      <c r="E668" s="483"/>
      <c r="F668" s="370">
        <v>0</v>
      </c>
      <c r="G668" s="371"/>
      <c r="I668" s="489"/>
    </row>
    <row r="669" s="322" customFormat="1" ht="19.5" customHeight="1" spans="2:9">
      <c r="B669" s="59" t="s">
        <v>708</v>
      </c>
      <c r="C669" s="26" t="s">
        <v>410</v>
      </c>
      <c r="D669" s="59" t="s">
        <v>225</v>
      </c>
      <c r="E669" s="483">
        <v>375</v>
      </c>
      <c r="F669" s="370">
        <v>1474</v>
      </c>
      <c r="G669" s="371">
        <f>E669*F669</f>
        <v>552750</v>
      </c>
      <c r="I669" s="489"/>
    </row>
    <row r="670" s="322" customFormat="1" ht="19.5" customHeight="1" spans="2:9">
      <c r="B670" s="59"/>
      <c r="C670" s="26"/>
      <c r="D670" s="59"/>
      <c r="E670" s="483"/>
      <c r="F670" s="370">
        <v>0</v>
      </c>
      <c r="G670" s="371"/>
      <c r="I670" s="489"/>
    </row>
    <row r="671" s="322" customFormat="1" ht="19.5" customHeight="1" spans="2:9">
      <c r="B671" s="59" t="s">
        <v>709</v>
      </c>
      <c r="C671" s="26" t="s">
        <v>672</v>
      </c>
      <c r="D671" s="59" t="s">
        <v>225</v>
      </c>
      <c r="E671" s="483">
        <v>1000</v>
      </c>
      <c r="F671" s="370">
        <v>1474</v>
      </c>
      <c r="G671" s="371">
        <f>E671*F671</f>
        <v>1474000</v>
      </c>
      <c r="I671" s="489"/>
    </row>
    <row r="672" s="322" customFormat="1" ht="19.5" customHeight="1" spans="2:9">
      <c r="B672" s="59"/>
      <c r="C672" s="26"/>
      <c r="D672" s="59"/>
      <c r="E672" s="483"/>
      <c r="F672" s="370">
        <v>0</v>
      </c>
      <c r="G672" s="371"/>
      <c r="I672" s="489"/>
    </row>
    <row r="673" s="322" customFormat="1" ht="36.75" customHeight="1" spans="2:9">
      <c r="B673" s="67" t="s">
        <v>710</v>
      </c>
      <c r="C673" s="265" t="s">
        <v>418</v>
      </c>
      <c r="D673" s="67" t="s">
        <v>225</v>
      </c>
      <c r="E673" s="486">
        <v>420</v>
      </c>
      <c r="F673" s="375">
        <v>1474</v>
      </c>
      <c r="G673" s="376">
        <f>E673*F673</f>
        <v>619080</v>
      </c>
      <c r="I673" s="489"/>
    </row>
    <row r="674" s="322" customFormat="1" ht="18.75" customHeight="1" spans="2:9">
      <c r="B674" s="59"/>
      <c r="C674" s="26"/>
      <c r="D674" s="59"/>
      <c r="E674" s="483"/>
      <c r="F674" s="370">
        <v>0</v>
      </c>
      <c r="G674" s="371"/>
      <c r="I674" s="489"/>
    </row>
    <row r="675" s="322" customFormat="1" ht="18.75" customHeight="1" spans="2:9">
      <c r="B675" s="59" t="s">
        <v>711</v>
      </c>
      <c r="C675" s="26" t="s">
        <v>424</v>
      </c>
      <c r="D675" s="59" t="s">
        <v>225</v>
      </c>
      <c r="E675" s="483">
        <v>40</v>
      </c>
      <c r="F675" s="370">
        <v>1474</v>
      </c>
      <c r="G675" s="371">
        <f>E675*F675</f>
        <v>58960</v>
      </c>
      <c r="I675" s="489"/>
    </row>
    <row r="676" s="322" customFormat="1" ht="18.75" customHeight="1" spans="2:9">
      <c r="B676" s="59"/>
      <c r="C676" s="26"/>
      <c r="D676" s="59"/>
      <c r="E676" s="483"/>
      <c r="F676" s="370">
        <v>0</v>
      </c>
      <c r="G676" s="371"/>
      <c r="I676" s="489"/>
    </row>
    <row r="677" s="322" customFormat="1" ht="18.75" customHeight="1" spans="2:9">
      <c r="B677" s="59" t="s">
        <v>712</v>
      </c>
      <c r="C677" s="77" t="s">
        <v>713</v>
      </c>
      <c r="D677" s="59"/>
      <c r="E677" s="483"/>
      <c r="F677" s="370">
        <v>0</v>
      </c>
      <c r="G677" s="371"/>
      <c r="I677" s="489"/>
    </row>
    <row r="678" s="322" customFormat="1" ht="18.75" customHeight="1" spans="2:9">
      <c r="B678" s="59"/>
      <c r="C678" s="80"/>
      <c r="D678" s="59"/>
      <c r="E678" s="483"/>
      <c r="F678" s="370">
        <v>0</v>
      </c>
      <c r="G678" s="371"/>
      <c r="I678" s="489"/>
    </row>
    <row r="679" s="322" customFormat="1" ht="18.75" customHeight="1" spans="2:9">
      <c r="B679" s="59" t="s">
        <v>714</v>
      </c>
      <c r="C679" s="192" t="s">
        <v>642</v>
      </c>
      <c r="D679" s="59" t="s">
        <v>225</v>
      </c>
      <c r="E679" s="483">
        <v>280</v>
      </c>
      <c r="F679" s="370">
        <v>1149</v>
      </c>
      <c r="G679" s="371">
        <f>E679*F679</f>
        <v>321720</v>
      </c>
      <c r="I679" s="489"/>
    </row>
    <row r="680" s="322" customFormat="1" ht="18.75" customHeight="1" spans="2:9">
      <c r="B680" s="59"/>
      <c r="C680" s="26"/>
      <c r="D680" s="59"/>
      <c r="E680" s="483"/>
      <c r="F680" s="370">
        <v>0</v>
      </c>
      <c r="G680" s="371"/>
      <c r="I680" s="489"/>
    </row>
    <row r="681" s="322" customFormat="1" ht="18.75" customHeight="1" spans="2:9">
      <c r="B681" s="59" t="s">
        <v>715</v>
      </c>
      <c r="C681" s="192" t="s">
        <v>404</v>
      </c>
      <c r="D681" s="59" t="s">
        <v>225</v>
      </c>
      <c r="E681" s="483">
        <v>250</v>
      </c>
      <c r="F681" s="370">
        <v>1498</v>
      </c>
      <c r="G681" s="371">
        <f>E681*F681</f>
        <v>374500</v>
      </c>
      <c r="I681" s="489"/>
    </row>
    <row r="682" s="322" customFormat="1" ht="18.75" customHeight="1" spans="2:9">
      <c r="B682" s="59"/>
      <c r="C682" s="26"/>
      <c r="D682" s="59"/>
      <c r="E682" s="483"/>
      <c r="F682" s="370">
        <v>0</v>
      </c>
      <c r="G682" s="371"/>
      <c r="I682" s="489"/>
    </row>
    <row r="683" s="322" customFormat="1" ht="18.75" customHeight="1" spans="2:9">
      <c r="B683" s="59" t="s">
        <v>716</v>
      </c>
      <c r="C683" s="26" t="s">
        <v>406</v>
      </c>
      <c r="D683" s="59" t="s">
        <v>225</v>
      </c>
      <c r="E683" s="483">
        <v>215</v>
      </c>
      <c r="F683" s="507">
        <v>1768</v>
      </c>
      <c r="G683" s="371">
        <f>E683*F683</f>
        <v>380120</v>
      </c>
      <c r="I683" s="489"/>
    </row>
    <row r="684" s="322" customFormat="1" ht="18.75" customHeight="1" spans="2:9">
      <c r="B684" s="59"/>
      <c r="C684" s="26"/>
      <c r="D684" s="59"/>
      <c r="E684" s="483"/>
      <c r="F684" s="507">
        <v>0</v>
      </c>
      <c r="G684" s="371"/>
      <c r="I684" s="489"/>
    </row>
    <row r="685" s="322" customFormat="1" ht="18.75" customHeight="1" spans="2:9">
      <c r="B685" s="59" t="s">
        <v>717</v>
      </c>
      <c r="C685" s="26" t="s">
        <v>408</v>
      </c>
      <c r="D685" s="59" t="s">
        <v>225</v>
      </c>
      <c r="E685" s="483">
        <v>228</v>
      </c>
      <c r="F685" s="507">
        <v>1768</v>
      </c>
      <c r="G685" s="371">
        <f>E685*F685</f>
        <v>403104</v>
      </c>
      <c r="I685" s="489"/>
    </row>
    <row r="686" s="322" customFormat="1" ht="18.75" customHeight="1" spans="2:9">
      <c r="B686" s="59"/>
      <c r="C686" s="26"/>
      <c r="D686" s="59"/>
      <c r="E686" s="483"/>
      <c r="F686" s="370">
        <v>0</v>
      </c>
      <c r="G686" s="371"/>
      <c r="I686" s="489"/>
    </row>
    <row r="687" s="322" customFormat="1" ht="18.75" customHeight="1" spans="2:9">
      <c r="B687" s="59" t="s">
        <v>718</v>
      </c>
      <c r="C687" s="26" t="s">
        <v>410</v>
      </c>
      <c r="D687" s="59" t="s">
        <v>225</v>
      </c>
      <c r="E687" s="62">
        <v>375</v>
      </c>
      <c r="F687" s="370">
        <v>1498</v>
      </c>
      <c r="G687" s="371">
        <f>E687*F687</f>
        <v>561750</v>
      </c>
      <c r="I687" s="489"/>
    </row>
    <row r="688" s="322" customFormat="1" ht="18.75" customHeight="1" spans="2:9">
      <c r="B688" s="59"/>
      <c r="C688" s="26"/>
      <c r="D688" s="59"/>
      <c r="E688" s="483"/>
      <c r="F688" s="370">
        <v>0</v>
      </c>
      <c r="G688" s="371"/>
      <c r="I688" s="489"/>
    </row>
    <row r="689" s="322" customFormat="1" ht="18.75" customHeight="1" spans="2:9">
      <c r="B689" s="59" t="s">
        <v>719</v>
      </c>
      <c r="C689" s="26" t="s">
        <v>672</v>
      </c>
      <c r="D689" s="59" t="s">
        <v>225</v>
      </c>
      <c r="E689" s="483">
        <v>144</v>
      </c>
      <c r="F689" s="370">
        <v>1498</v>
      </c>
      <c r="G689" s="371">
        <f>E689*F689</f>
        <v>215712</v>
      </c>
      <c r="I689" s="489"/>
    </row>
    <row r="690" s="322" customFormat="1" ht="18.75" customHeight="1" spans="2:9">
      <c r="B690" s="59"/>
      <c r="C690" s="26"/>
      <c r="D690" s="59"/>
      <c r="E690" s="483"/>
      <c r="F690" s="370">
        <v>0</v>
      </c>
      <c r="G690" s="371"/>
      <c r="I690" s="489"/>
    </row>
    <row r="691" s="322" customFormat="1" ht="18.75" customHeight="1" spans="2:9">
      <c r="B691" s="59" t="s">
        <v>720</v>
      </c>
      <c r="C691" s="26" t="s">
        <v>424</v>
      </c>
      <c r="D691" s="59" t="s">
        <v>225</v>
      </c>
      <c r="E691" s="483">
        <v>40</v>
      </c>
      <c r="F691" s="370">
        <v>1498</v>
      </c>
      <c r="G691" s="371">
        <f>E691*F691</f>
        <v>59920</v>
      </c>
      <c r="I691" s="489"/>
    </row>
    <row r="692" s="322" customFormat="1" ht="18.75" customHeight="1" spans="2:9">
      <c r="B692" s="59"/>
      <c r="C692" s="26"/>
      <c r="D692" s="59"/>
      <c r="E692" s="483"/>
      <c r="F692" s="370">
        <v>0</v>
      </c>
      <c r="G692" s="371"/>
      <c r="I692" s="489"/>
    </row>
    <row r="693" s="322" customFormat="1" ht="18.75" customHeight="1" spans="2:9">
      <c r="B693" s="59" t="s">
        <v>721</v>
      </c>
      <c r="C693" s="80" t="s">
        <v>722</v>
      </c>
      <c r="D693" s="59"/>
      <c r="E693" s="483"/>
      <c r="F693" s="370">
        <v>0</v>
      </c>
      <c r="G693" s="371"/>
      <c r="I693" s="489"/>
    </row>
    <row r="694" s="322" customFormat="1" ht="18.75" customHeight="1" spans="2:9">
      <c r="B694" s="59"/>
      <c r="C694" s="80"/>
      <c r="D694" s="59"/>
      <c r="E694" s="483"/>
      <c r="F694" s="370">
        <v>0</v>
      </c>
      <c r="G694" s="371"/>
      <c r="I694" s="489"/>
    </row>
    <row r="695" s="322" customFormat="1" ht="18.75" customHeight="1" spans="2:9">
      <c r="B695" s="59" t="s">
        <v>723</v>
      </c>
      <c r="C695" s="192" t="s">
        <v>642</v>
      </c>
      <c r="D695" s="59" t="s">
        <v>225</v>
      </c>
      <c r="E695" s="483">
        <v>280</v>
      </c>
      <c r="F695" s="370">
        <v>1166</v>
      </c>
      <c r="G695" s="371">
        <f>E695*F695</f>
        <v>326480</v>
      </c>
      <c r="I695" s="489"/>
    </row>
    <row r="696" s="322" customFormat="1" ht="18.75" customHeight="1" spans="2:9">
      <c r="B696" s="59"/>
      <c r="C696" s="26"/>
      <c r="D696" s="59"/>
      <c r="E696" s="483"/>
      <c r="F696" s="370">
        <v>0</v>
      </c>
      <c r="G696" s="371"/>
      <c r="I696" s="489"/>
    </row>
    <row r="697" s="322" customFormat="1" ht="18.75" customHeight="1" spans="2:9">
      <c r="B697" s="59" t="s">
        <v>724</v>
      </c>
      <c r="C697" s="192" t="s">
        <v>404</v>
      </c>
      <c r="D697" s="59" t="s">
        <v>225</v>
      </c>
      <c r="E697" s="483">
        <v>250</v>
      </c>
      <c r="F697" s="370">
        <v>1522</v>
      </c>
      <c r="G697" s="371">
        <f>E697*F697</f>
        <v>380500</v>
      </c>
      <c r="I697" s="489"/>
    </row>
    <row r="698" s="322" customFormat="1" ht="18.75" customHeight="1" spans="2:9">
      <c r="B698" s="59"/>
      <c r="C698" s="26"/>
      <c r="D698" s="59"/>
      <c r="E698" s="483"/>
      <c r="F698" s="370">
        <v>0</v>
      </c>
      <c r="G698" s="371"/>
      <c r="I698" s="489"/>
    </row>
    <row r="699" s="322" customFormat="1" ht="18.75" customHeight="1" spans="2:9">
      <c r="B699" s="59" t="s">
        <v>725</v>
      </c>
      <c r="C699" s="26" t="s">
        <v>406</v>
      </c>
      <c r="D699" s="59" t="s">
        <v>225</v>
      </c>
      <c r="E699" s="483">
        <v>215</v>
      </c>
      <c r="F699" s="507">
        <v>1798</v>
      </c>
      <c r="G699" s="371">
        <f>E699*F699</f>
        <v>386570</v>
      </c>
      <c r="I699" s="489"/>
    </row>
    <row r="700" s="322" customFormat="1" ht="18.75" customHeight="1" spans="2:9">
      <c r="B700" s="59"/>
      <c r="C700" s="26"/>
      <c r="D700" s="59"/>
      <c r="E700" s="483"/>
      <c r="F700" s="507">
        <v>0</v>
      </c>
      <c r="G700" s="371"/>
      <c r="I700" s="489"/>
    </row>
    <row r="701" s="322" customFormat="1" ht="18.75" customHeight="1" spans="2:9">
      <c r="B701" s="59" t="s">
        <v>726</v>
      </c>
      <c r="C701" s="26" t="s">
        <v>408</v>
      </c>
      <c r="D701" s="59" t="s">
        <v>225</v>
      </c>
      <c r="E701" s="483">
        <v>228</v>
      </c>
      <c r="F701" s="507">
        <v>1798</v>
      </c>
      <c r="G701" s="371">
        <f>E701*F701</f>
        <v>409944</v>
      </c>
      <c r="I701" s="489"/>
    </row>
    <row r="702" s="322" customFormat="1" ht="18.75" customHeight="1" spans="2:9">
      <c r="B702" s="59"/>
      <c r="C702" s="26"/>
      <c r="D702" s="59"/>
      <c r="E702" s="483"/>
      <c r="F702" s="370">
        <v>0</v>
      </c>
      <c r="G702" s="371"/>
      <c r="I702" s="489"/>
    </row>
    <row r="703" s="322" customFormat="1" ht="18.75" customHeight="1" spans="2:9">
      <c r="B703" s="59" t="s">
        <v>727</v>
      </c>
      <c r="C703" s="26" t="s">
        <v>410</v>
      </c>
      <c r="D703" s="59" t="s">
        <v>225</v>
      </c>
      <c r="E703" s="62">
        <v>375</v>
      </c>
      <c r="F703" s="370">
        <v>1522</v>
      </c>
      <c r="G703" s="371">
        <f>E703*F703</f>
        <v>570750</v>
      </c>
      <c r="I703" s="489"/>
    </row>
    <row r="704" s="322" customFormat="1" ht="18.75" customHeight="1" spans="2:9">
      <c r="B704" s="59"/>
      <c r="C704" s="26"/>
      <c r="D704" s="59"/>
      <c r="E704" s="483"/>
      <c r="F704" s="370">
        <v>0</v>
      </c>
      <c r="G704" s="371"/>
      <c r="I704" s="489"/>
    </row>
    <row r="705" s="322" customFormat="1" ht="18.75" customHeight="1" spans="2:9">
      <c r="B705" s="59" t="s">
        <v>728</v>
      </c>
      <c r="C705" s="26" t="s">
        <v>672</v>
      </c>
      <c r="D705" s="59" t="s">
        <v>225</v>
      </c>
      <c r="E705" s="483">
        <v>159</v>
      </c>
      <c r="F705" s="370">
        <v>1522</v>
      </c>
      <c r="G705" s="371">
        <f>E705*F705</f>
        <v>241998</v>
      </c>
      <c r="I705" s="489"/>
    </row>
    <row r="706" s="322" customFormat="1" ht="18.75" customHeight="1" spans="2:9">
      <c r="B706" s="59"/>
      <c r="C706" s="26"/>
      <c r="D706" s="59"/>
      <c r="E706" s="483"/>
      <c r="F706" s="370">
        <v>0</v>
      </c>
      <c r="G706" s="371"/>
      <c r="I706" s="489"/>
    </row>
    <row r="707" s="322" customFormat="1" ht="18.75" customHeight="1" spans="2:9">
      <c r="B707" s="59" t="s">
        <v>729</v>
      </c>
      <c r="C707" s="26" t="s">
        <v>424</v>
      </c>
      <c r="D707" s="59" t="s">
        <v>225</v>
      </c>
      <c r="E707" s="483">
        <v>22</v>
      </c>
      <c r="F707" s="370">
        <v>1522</v>
      </c>
      <c r="G707" s="371">
        <f>E707*F707</f>
        <v>33484</v>
      </c>
      <c r="I707" s="489"/>
    </row>
    <row r="708" s="322" customFormat="1" ht="18.75" customHeight="1" spans="2:9">
      <c r="B708" s="59"/>
      <c r="C708" s="26"/>
      <c r="D708" s="59"/>
      <c r="E708" s="483"/>
      <c r="F708" s="370">
        <v>0</v>
      </c>
      <c r="G708" s="371"/>
      <c r="I708" s="489"/>
    </row>
    <row r="709" s="322" customFormat="1" ht="18.75" customHeight="1" spans="2:9">
      <c r="B709" s="59" t="s">
        <v>730</v>
      </c>
      <c r="C709" s="77" t="s">
        <v>731</v>
      </c>
      <c r="D709" s="59"/>
      <c r="E709" s="483"/>
      <c r="F709" s="370">
        <v>0</v>
      </c>
      <c r="G709" s="371"/>
      <c r="I709" s="489"/>
    </row>
    <row r="710" s="322" customFormat="1" ht="18.75" customHeight="1" spans="2:9">
      <c r="B710" s="59"/>
      <c r="C710" s="80"/>
      <c r="D710" s="59"/>
      <c r="E710" s="483"/>
      <c r="F710" s="370">
        <v>0</v>
      </c>
      <c r="G710" s="371"/>
      <c r="I710" s="489"/>
    </row>
    <row r="711" s="322" customFormat="1" ht="18.75" customHeight="1" spans="2:9">
      <c r="B711" s="59" t="s">
        <v>732</v>
      </c>
      <c r="C711" s="26" t="s">
        <v>554</v>
      </c>
      <c r="D711" s="59" t="s">
        <v>225</v>
      </c>
      <c r="E711" s="483">
        <v>1035</v>
      </c>
      <c r="F711" s="370">
        <v>1545</v>
      </c>
      <c r="G711" s="371">
        <f>E711*F711</f>
        <v>1599075</v>
      </c>
      <c r="I711" s="489"/>
    </row>
    <row r="712" s="322" customFormat="1" ht="18.75" customHeight="1" spans="2:9">
      <c r="B712" s="59"/>
      <c r="C712" s="26"/>
      <c r="D712" s="59"/>
      <c r="E712" s="483"/>
      <c r="F712" s="370">
        <v>0</v>
      </c>
      <c r="G712" s="371"/>
      <c r="I712" s="489"/>
    </row>
    <row r="713" s="322" customFormat="1" ht="18.75" customHeight="1" spans="2:9">
      <c r="B713" s="59" t="s">
        <v>733</v>
      </c>
      <c r="C713" s="26" t="s">
        <v>556</v>
      </c>
      <c r="D713" s="59" t="s">
        <v>225</v>
      </c>
      <c r="E713" s="483">
        <v>444</v>
      </c>
      <c r="F713" s="370">
        <v>1545</v>
      </c>
      <c r="G713" s="371">
        <f>E713*F713</f>
        <v>685980</v>
      </c>
      <c r="I713" s="489"/>
    </row>
    <row r="714" s="322" customFormat="1" ht="18.75" customHeight="1" spans="2:9">
      <c r="B714" s="59"/>
      <c r="C714" s="26"/>
      <c r="D714" s="59"/>
      <c r="E714" s="483"/>
      <c r="F714" s="370">
        <v>0</v>
      </c>
      <c r="G714" s="371"/>
      <c r="I714" s="489"/>
    </row>
    <row r="715" s="322" customFormat="1" ht="31.5" customHeight="1" spans="2:9">
      <c r="B715" s="59" t="s">
        <v>734</v>
      </c>
      <c r="C715" s="252" t="s">
        <v>418</v>
      </c>
      <c r="D715" s="59" t="s">
        <v>225</v>
      </c>
      <c r="E715" s="483">
        <v>266</v>
      </c>
      <c r="F715" s="370">
        <v>1545</v>
      </c>
      <c r="G715" s="371">
        <f>E715*F715</f>
        <v>410970</v>
      </c>
      <c r="I715" s="489"/>
    </row>
    <row r="716" s="322" customFormat="1" ht="18.75" customHeight="1" spans="2:9">
      <c r="B716" s="59"/>
      <c r="C716" s="252"/>
      <c r="D716" s="59"/>
      <c r="E716" s="483"/>
      <c r="F716" s="370">
        <v>0</v>
      </c>
      <c r="G716" s="371"/>
      <c r="I716" s="489"/>
    </row>
    <row r="717" s="322" customFormat="1" ht="18.75" customHeight="1" spans="2:9">
      <c r="B717" s="59" t="s">
        <v>735</v>
      </c>
      <c r="C717" s="26" t="s">
        <v>424</v>
      </c>
      <c r="D717" s="59" t="s">
        <v>225</v>
      </c>
      <c r="E717" s="483">
        <v>20</v>
      </c>
      <c r="F717" s="370">
        <v>1545</v>
      </c>
      <c r="G717" s="371">
        <f>E717*F717</f>
        <v>30900</v>
      </c>
      <c r="I717" s="489"/>
    </row>
    <row r="718" s="322" customFormat="1" ht="18.75" customHeight="1" spans="2:9">
      <c r="B718" s="59"/>
      <c r="C718" s="252"/>
      <c r="D718" s="59"/>
      <c r="E718" s="483"/>
      <c r="F718" s="370">
        <v>0</v>
      </c>
      <c r="G718" s="371"/>
      <c r="I718" s="489"/>
    </row>
    <row r="719" s="322" customFormat="1" ht="24" customHeight="1" spans="2:9">
      <c r="B719" s="67" t="s">
        <v>736</v>
      </c>
      <c r="C719" s="263" t="s">
        <v>457</v>
      </c>
      <c r="D719" s="67" t="s">
        <v>225</v>
      </c>
      <c r="E719" s="486">
        <v>32</v>
      </c>
      <c r="F719" s="375">
        <v>1037</v>
      </c>
      <c r="G719" s="376">
        <f>E719*F719</f>
        <v>33184</v>
      </c>
      <c r="I719" s="489"/>
    </row>
    <row r="720" s="322" customFormat="1" ht="18.75" customHeight="1" spans="2:9">
      <c r="B720" s="59"/>
      <c r="C720" s="26"/>
      <c r="D720" s="59"/>
      <c r="E720" s="483"/>
      <c r="F720" s="370">
        <v>0</v>
      </c>
      <c r="G720" s="371"/>
      <c r="I720" s="489"/>
    </row>
    <row r="721" s="322" customFormat="1" ht="18.75" customHeight="1" spans="2:9">
      <c r="B721" s="59" t="s">
        <v>737</v>
      </c>
      <c r="C721" s="26" t="s">
        <v>561</v>
      </c>
      <c r="D721" s="59" t="s">
        <v>225</v>
      </c>
      <c r="E721" s="483">
        <v>59</v>
      </c>
      <c r="F721" s="370">
        <v>1545</v>
      </c>
      <c r="G721" s="371">
        <f>E721*F721</f>
        <v>91155</v>
      </c>
      <c r="I721" s="489"/>
    </row>
    <row r="722" s="322" customFormat="1" ht="18.75" customHeight="1" spans="2:9">
      <c r="B722" s="59"/>
      <c r="C722" s="26"/>
      <c r="D722" s="59"/>
      <c r="E722" s="483"/>
      <c r="F722" s="370">
        <v>0</v>
      </c>
      <c r="G722" s="371"/>
      <c r="I722" s="489"/>
    </row>
    <row r="723" s="322" customFormat="1" ht="18.75" customHeight="1" spans="2:9">
      <c r="B723" s="59" t="s">
        <v>738</v>
      </c>
      <c r="C723" s="26" t="s">
        <v>410</v>
      </c>
      <c r="D723" s="59" t="s">
        <v>225</v>
      </c>
      <c r="E723" s="483">
        <v>35</v>
      </c>
      <c r="F723" s="370">
        <v>1545</v>
      </c>
      <c r="G723" s="371">
        <f>E723*F723</f>
        <v>54075</v>
      </c>
      <c r="I723" s="489"/>
    </row>
    <row r="724" s="322" customFormat="1" ht="18.75" customHeight="1" spans="2:9">
      <c r="B724" s="59"/>
      <c r="C724" s="26"/>
      <c r="D724" s="59"/>
      <c r="E724" s="483"/>
      <c r="F724" s="370">
        <v>0</v>
      </c>
      <c r="G724" s="371"/>
      <c r="I724" s="489"/>
    </row>
    <row r="725" s="322" customFormat="1" ht="30.75" customHeight="1" spans="2:9">
      <c r="B725" s="59" t="s">
        <v>739</v>
      </c>
      <c r="C725" s="26" t="s">
        <v>564</v>
      </c>
      <c r="D725" s="59" t="s">
        <v>225</v>
      </c>
      <c r="E725" s="483">
        <v>207</v>
      </c>
      <c r="F725" s="370">
        <v>1545</v>
      </c>
      <c r="G725" s="371">
        <f>E725*F725</f>
        <v>319815</v>
      </c>
      <c r="I725" s="489"/>
    </row>
    <row r="726" s="322" customFormat="1" ht="18.75" customHeight="1" spans="2:9">
      <c r="B726" s="59"/>
      <c r="C726" s="26"/>
      <c r="D726" s="59"/>
      <c r="E726" s="483"/>
      <c r="F726" s="370">
        <v>0</v>
      </c>
      <c r="G726" s="371"/>
      <c r="I726" s="489"/>
    </row>
    <row r="727" s="322" customFormat="1" ht="18.75" customHeight="1" spans="2:9">
      <c r="B727" s="59" t="s">
        <v>740</v>
      </c>
      <c r="C727" s="26" t="s">
        <v>424</v>
      </c>
      <c r="D727" s="59" t="s">
        <v>225</v>
      </c>
      <c r="E727" s="483">
        <v>20</v>
      </c>
      <c r="F727" s="370">
        <v>1545</v>
      </c>
      <c r="G727" s="371">
        <f>E727*F727</f>
        <v>30900</v>
      </c>
      <c r="I727" s="489"/>
    </row>
    <row r="728" s="322" customFormat="1" ht="18.75" customHeight="1" spans="2:9">
      <c r="B728" s="59"/>
      <c r="C728" s="26"/>
      <c r="D728" s="59"/>
      <c r="E728" s="483"/>
      <c r="F728" s="370">
        <v>0</v>
      </c>
      <c r="G728" s="371"/>
      <c r="I728" s="489"/>
    </row>
    <row r="729" s="322" customFormat="1" ht="18.75" customHeight="1" spans="2:9">
      <c r="B729" s="59" t="s">
        <v>741</v>
      </c>
      <c r="C729" s="77" t="s">
        <v>567</v>
      </c>
      <c r="D729" s="59"/>
      <c r="E729" s="483"/>
      <c r="F729" s="370">
        <v>0</v>
      </c>
      <c r="G729" s="371"/>
      <c r="I729" s="489"/>
    </row>
    <row r="730" s="322" customFormat="1" ht="18.75" customHeight="1" spans="2:9">
      <c r="B730" s="59"/>
      <c r="C730" s="77"/>
      <c r="D730" s="59"/>
      <c r="E730" s="483"/>
      <c r="F730" s="370">
        <v>0</v>
      </c>
      <c r="G730" s="371"/>
      <c r="I730" s="489"/>
    </row>
    <row r="731" s="322" customFormat="1" ht="18.75" customHeight="1" spans="2:9">
      <c r="B731" s="59" t="s">
        <v>742</v>
      </c>
      <c r="C731" s="192" t="s">
        <v>569</v>
      </c>
      <c r="D731" s="59" t="s">
        <v>225</v>
      </c>
      <c r="E731" s="483">
        <v>89</v>
      </c>
      <c r="F731" s="370">
        <v>1569</v>
      </c>
      <c r="G731" s="371">
        <f>E731*F731</f>
        <v>139641</v>
      </c>
      <c r="I731" s="489"/>
    </row>
    <row r="732" s="322" customFormat="1" ht="18.75" customHeight="1" spans="2:9">
      <c r="B732" s="59"/>
      <c r="C732" s="192"/>
      <c r="D732" s="59"/>
      <c r="E732" s="483"/>
      <c r="F732" s="370">
        <v>0</v>
      </c>
      <c r="G732" s="371"/>
      <c r="I732" s="489"/>
    </row>
    <row r="733" s="322" customFormat="1" ht="18.75" customHeight="1" spans="2:9">
      <c r="B733" s="59" t="s">
        <v>743</v>
      </c>
      <c r="C733" s="192" t="s">
        <v>289</v>
      </c>
      <c r="D733" s="59" t="s">
        <v>225</v>
      </c>
      <c r="E733" s="483">
        <v>156</v>
      </c>
      <c r="F733" s="370">
        <v>1569</v>
      </c>
      <c r="G733" s="371">
        <f>E733*F733</f>
        <v>244764</v>
      </c>
      <c r="I733" s="489"/>
    </row>
    <row r="734" s="322" customFormat="1" ht="18.75" customHeight="1" spans="2:9">
      <c r="B734" s="59"/>
      <c r="C734" s="192"/>
      <c r="D734" s="59"/>
      <c r="E734" s="483"/>
      <c r="F734" s="370">
        <v>0</v>
      </c>
      <c r="G734" s="371"/>
      <c r="I734" s="489"/>
    </row>
    <row r="735" s="322" customFormat="1" ht="18.75" customHeight="1" spans="2:9">
      <c r="B735" s="59" t="s">
        <v>744</v>
      </c>
      <c r="C735" s="192" t="s">
        <v>291</v>
      </c>
      <c r="D735" s="59" t="s">
        <v>225</v>
      </c>
      <c r="E735" s="483">
        <v>83</v>
      </c>
      <c r="F735" s="370">
        <v>1569</v>
      </c>
      <c r="G735" s="371">
        <f>E735*F735</f>
        <v>130227</v>
      </c>
      <c r="I735" s="489"/>
    </row>
    <row r="736" s="322" customFormat="1" ht="18.75" customHeight="1" spans="2:9">
      <c r="B736" s="59"/>
      <c r="C736" s="192"/>
      <c r="D736" s="59"/>
      <c r="E736" s="483"/>
      <c r="F736" s="370">
        <v>0</v>
      </c>
      <c r="G736" s="371"/>
      <c r="I736" s="489"/>
    </row>
    <row r="737" s="322" customFormat="1" ht="18.75" customHeight="1" spans="2:9">
      <c r="B737" s="59" t="s">
        <v>745</v>
      </c>
      <c r="C737" s="192" t="s">
        <v>293</v>
      </c>
      <c r="D737" s="59" t="s">
        <v>225</v>
      </c>
      <c r="E737" s="483">
        <v>11</v>
      </c>
      <c r="F737" s="370">
        <v>1569</v>
      </c>
      <c r="G737" s="371">
        <f>E737*F737</f>
        <v>17259</v>
      </c>
      <c r="I737" s="489"/>
    </row>
    <row r="738" s="322" customFormat="1" ht="18.75" customHeight="1" spans="2:9">
      <c r="B738" s="59"/>
      <c r="C738" s="26"/>
      <c r="D738" s="59"/>
      <c r="E738" s="483"/>
      <c r="F738" s="370">
        <v>0</v>
      </c>
      <c r="G738" s="371"/>
      <c r="I738" s="489"/>
    </row>
    <row r="739" s="322" customFormat="1" ht="18.75" customHeight="1" spans="2:9">
      <c r="B739" s="59" t="s">
        <v>746</v>
      </c>
      <c r="C739" s="509" t="s">
        <v>747</v>
      </c>
      <c r="D739" s="59"/>
      <c r="E739" s="483"/>
      <c r="F739" s="370">
        <v>0</v>
      </c>
      <c r="G739" s="371"/>
      <c r="I739" s="489"/>
    </row>
    <row r="740" s="322" customFormat="1" ht="18.75" customHeight="1" spans="2:9">
      <c r="B740" s="59"/>
      <c r="C740" s="226"/>
      <c r="D740" s="59"/>
      <c r="E740" s="483"/>
      <c r="F740" s="370">
        <v>0</v>
      </c>
      <c r="G740" s="371"/>
      <c r="I740" s="489"/>
    </row>
    <row r="741" s="322" customFormat="1" ht="57.75" customHeight="1" spans="2:9">
      <c r="B741" s="59" t="s">
        <v>746</v>
      </c>
      <c r="C741" s="80" t="s">
        <v>748</v>
      </c>
      <c r="D741" s="59"/>
      <c r="E741" s="483"/>
      <c r="F741" s="370">
        <v>0</v>
      </c>
      <c r="G741" s="371"/>
      <c r="I741" s="489"/>
    </row>
    <row r="742" s="322" customFormat="1" ht="18.75" customHeight="1" spans="2:9">
      <c r="B742" s="59"/>
      <c r="C742" s="80"/>
      <c r="D742" s="59"/>
      <c r="E742" s="483"/>
      <c r="F742" s="370">
        <v>0</v>
      </c>
      <c r="G742" s="371"/>
      <c r="I742" s="489"/>
    </row>
    <row r="743" s="322" customFormat="1" ht="18.75" customHeight="1" spans="2:9">
      <c r="B743" s="59" t="s">
        <v>749</v>
      </c>
      <c r="C743" s="200" t="s">
        <v>750</v>
      </c>
      <c r="D743" s="59"/>
      <c r="E743" s="483"/>
      <c r="F743" s="370">
        <v>0</v>
      </c>
      <c r="G743" s="371"/>
      <c r="I743" s="489"/>
    </row>
    <row r="744" s="322" customFormat="1" ht="18.75" customHeight="1" spans="2:9">
      <c r="B744" s="59"/>
      <c r="C744" s="71" t="s">
        <v>222</v>
      </c>
      <c r="D744" s="59"/>
      <c r="E744" s="483"/>
      <c r="F744" s="370">
        <v>0</v>
      </c>
      <c r="G744" s="371"/>
      <c r="I744" s="489"/>
    </row>
    <row r="745" s="322" customFormat="1" ht="10.5" customHeight="1" spans="2:9">
      <c r="B745" s="59"/>
      <c r="C745" s="26"/>
      <c r="D745" s="59"/>
      <c r="E745" s="483"/>
      <c r="F745" s="370">
        <v>0</v>
      </c>
      <c r="G745" s="371"/>
      <c r="I745" s="489"/>
    </row>
    <row r="746" s="322" customFormat="1" ht="18.75" customHeight="1" spans="2:9">
      <c r="B746" s="59" t="s">
        <v>751</v>
      </c>
      <c r="C746" s="192" t="s">
        <v>224</v>
      </c>
      <c r="D746" s="59" t="s">
        <v>752</v>
      </c>
      <c r="E746" s="483">
        <v>21630</v>
      </c>
      <c r="F746" s="370">
        <v>195</v>
      </c>
      <c r="G746" s="371">
        <f>E746*F746</f>
        <v>4217850</v>
      </c>
      <c r="I746" s="489"/>
    </row>
    <row r="747" s="322" customFormat="1" ht="18.75" customHeight="1" spans="2:9">
      <c r="B747" s="59"/>
      <c r="C747" s="71"/>
      <c r="D747" s="59"/>
      <c r="E747" s="483"/>
      <c r="F747" s="371">
        <v>0</v>
      </c>
      <c r="G747" s="371"/>
      <c r="I747" s="489"/>
    </row>
    <row r="748" s="322" customFormat="1" ht="18.75" customHeight="1" spans="2:9">
      <c r="B748" s="59" t="s">
        <v>753</v>
      </c>
      <c r="C748" s="192" t="s">
        <v>227</v>
      </c>
      <c r="D748" s="59" t="s">
        <v>752</v>
      </c>
      <c r="E748" s="483">
        <v>2069</v>
      </c>
      <c r="F748" s="370">
        <v>195</v>
      </c>
      <c r="G748" s="371">
        <f>E748*F748</f>
        <v>403455</v>
      </c>
      <c r="I748" s="489"/>
    </row>
    <row r="749" s="322" customFormat="1" ht="18.75" customHeight="1" spans="2:9">
      <c r="B749" s="59"/>
      <c r="C749" s="192"/>
      <c r="D749" s="59"/>
      <c r="E749" s="483"/>
      <c r="F749" s="370">
        <v>0</v>
      </c>
      <c r="G749" s="371"/>
      <c r="I749" s="489"/>
    </row>
    <row r="750" s="322" customFormat="1" ht="31.5" customHeight="1" spans="2:9">
      <c r="B750" s="59" t="s">
        <v>754</v>
      </c>
      <c r="C750" s="192" t="s">
        <v>269</v>
      </c>
      <c r="D750" s="59" t="s">
        <v>752</v>
      </c>
      <c r="E750" s="483">
        <v>36161</v>
      </c>
      <c r="F750" s="370">
        <v>195</v>
      </c>
      <c r="G750" s="371">
        <f>E750*F750</f>
        <v>7051395</v>
      </c>
      <c r="I750" s="489"/>
    </row>
    <row r="751" s="322" customFormat="1" ht="18.75" customHeight="1" spans="2:9">
      <c r="B751" s="59"/>
      <c r="C751" s="192"/>
      <c r="D751" s="59"/>
      <c r="E751" s="483"/>
      <c r="F751" s="370">
        <v>0</v>
      </c>
      <c r="G751" s="371"/>
      <c r="I751" s="489"/>
    </row>
    <row r="752" s="322" customFormat="1" ht="18.75" customHeight="1" spans="2:9">
      <c r="B752" s="59" t="s">
        <v>755</v>
      </c>
      <c r="C752" s="192" t="s">
        <v>271</v>
      </c>
      <c r="D752" s="59" t="s">
        <v>752</v>
      </c>
      <c r="E752" s="483">
        <v>14564</v>
      </c>
      <c r="F752" s="370">
        <v>195</v>
      </c>
      <c r="G752" s="371">
        <f>E752*F752</f>
        <v>2839980</v>
      </c>
      <c r="I752" s="489"/>
    </row>
    <row r="753" s="322" customFormat="1" ht="18.75" customHeight="1" spans="2:9">
      <c r="B753" s="59"/>
      <c r="C753" s="192"/>
      <c r="D753" s="59"/>
      <c r="E753" s="483"/>
      <c r="F753" s="370">
        <v>0</v>
      </c>
      <c r="G753" s="371"/>
      <c r="I753" s="489"/>
    </row>
    <row r="754" s="322" customFormat="1" ht="18.75" customHeight="1" spans="2:9">
      <c r="B754" s="59" t="s">
        <v>756</v>
      </c>
      <c r="C754" s="192" t="s">
        <v>273</v>
      </c>
      <c r="D754" s="59" t="s">
        <v>752</v>
      </c>
      <c r="E754" s="483">
        <v>2221</v>
      </c>
      <c r="F754" s="370">
        <v>195</v>
      </c>
      <c r="G754" s="371">
        <f>E754*F754</f>
        <v>433095</v>
      </c>
      <c r="I754" s="489"/>
    </row>
    <row r="755" s="322" customFormat="1" ht="18.75" customHeight="1" spans="2:9">
      <c r="B755" s="59"/>
      <c r="C755" s="192"/>
      <c r="D755" s="59"/>
      <c r="E755" s="483"/>
      <c r="F755" s="370">
        <v>0</v>
      </c>
      <c r="G755" s="371"/>
      <c r="I755" s="489"/>
    </row>
    <row r="756" s="322" customFormat="1" ht="18.75" customHeight="1" spans="2:9">
      <c r="B756" s="59" t="s">
        <v>757</v>
      </c>
      <c r="C756" s="192" t="s">
        <v>275</v>
      </c>
      <c r="D756" s="59" t="s">
        <v>752</v>
      </c>
      <c r="E756" s="483">
        <v>2030</v>
      </c>
      <c r="F756" s="370">
        <v>195</v>
      </c>
      <c r="G756" s="371">
        <f>E756*F756</f>
        <v>395850</v>
      </c>
      <c r="I756" s="489"/>
    </row>
    <row r="757" s="322" customFormat="1" ht="18.75" customHeight="1" spans="2:9">
      <c r="B757" s="59"/>
      <c r="C757" s="192"/>
      <c r="D757" s="59"/>
      <c r="E757" s="483"/>
      <c r="F757" s="370">
        <v>0</v>
      </c>
      <c r="G757" s="371"/>
      <c r="I757" s="489"/>
    </row>
    <row r="758" s="322" customFormat="1" ht="18.75" customHeight="1" spans="2:9">
      <c r="B758" s="59" t="s">
        <v>758</v>
      </c>
      <c r="C758" s="192" t="s">
        <v>277</v>
      </c>
      <c r="D758" s="59" t="s">
        <v>752</v>
      </c>
      <c r="E758" s="483">
        <v>676</v>
      </c>
      <c r="F758" s="370">
        <v>195</v>
      </c>
      <c r="G758" s="371">
        <f>E758*F758</f>
        <v>131820</v>
      </c>
      <c r="I758" s="489"/>
    </row>
    <row r="759" s="322" customFormat="1" ht="18.75" customHeight="1" spans="2:9">
      <c r="B759" s="59"/>
      <c r="C759" s="192"/>
      <c r="D759" s="59"/>
      <c r="E759" s="483"/>
      <c r="F759" s="370">
        <v>0</v>
      </c>
      <c r="G759" s="371"/>
      <c r="I759" s="489"/>
    </row>
    <row r="760" s="322" customFormat="1" ht="18.75" customHeight="1" spans="2:9">
      <c r="B760" s="59" t="s">
        <v>759</v>
      </c>
      <c r="C760" s="192" t="s">
        <v>279</v>
      </c>
      <c r="D760" s="59" t="s">
        <v>752</v>
      </c>
      <c r="E760" s="483">
        <v>13095</v>
      </c>
      <c r="F760" s="370">
        <v>195</v>
      </c>
      <c r="G760" s="371">
        <f>E760*F760</f>
        <v>2553525</v>
      </c>
      <c r="I760" s="489"/>
    </row>
    <row r="761" s="322" customFormat="1" ht="18.75" customHeight="1" spans="2:9">
      <c r="B761" s="59"/>
      <c r="C761" s="192"/>
      <c r="D761" s="59"/>
      <c r="E761" s="483"/>
      <c r="F761" s="370">
        <v>0</v>
      </c>
      <c r="G761" s="371"/>
      <c r="I761" s="489"/>
    </row>
    <row r="762" s="322" customFormat="1" ht="31.5" customHeight="1" spans="2:9">
      <c r="B762" s="67" t="s">
        <v>760</v>
      </c>
      <c r="C762" s="263" t="s">
        <v>281</v>
      </c>
      <c r="D762" s="67" t="s">
        <v>752</v>
      </c>
      <c r="E762" s="486">
        <v>258</v>
      </c>
      <c r="F762" s="375">
        <v>195</v>
      </c>
      <c r="G762" s="376">
        <f>E762*F762</f>
        <v>50310</v>
      </c>
      <c r="I762" s="489"/>
    </row>
    <row r="763" s="322" customFormat="1" ht="18.75" customHeight="1" spans="2:9">
      <c r="B763" s="59"/>
      <c r="C763" s="71"/>
      <c r="D763" s="59"/>
      <c r="E763" s="483"/>
      <c r="F763" s="370">
        <v>0</v>
      </c>
      <c r="G763" s="371"/>
      <c r="I763" s="489"/>
    </row>
    <row r="764" s="322" customFormat="1" ht="18.75" customHeight="1" spans="2:9">
      <c r="B764" s="59" t="s">
        <v>761</v>
      </c>
      <c r="C764" s="71" t="s">
        <v>237</v>
      </c>
      <c r="D764" s="59"/>
      <c r="E764" s="483"/>
      <c r="F764" s="370">
        <v>0</v>
      </c>
      <c r="G764" s="371"/>
      <c r="I764" s="489"/>
    </row>
    <row r="765" s="322" customFormat="1" ht="18.75" customHeight="1" spans="2:9">
      <c r="B765" s="59"/>
      <c r="C765" s="71"/>
      <c r="D765" s="59"/>
      <c r="E765" s="483"/>
      <c r="F765" s="370">
        <v>0</v>
      </c>
      <c r="G765" s="371"/>
      <c r="I765" s="489"/>
    </row>
    <row r="766" s="322" customFormat="1" ht="18.75" customHeight="1" spans="2:9">
      <c r="B766" s="59" t="s">
        <v>762</v>
      </c>
      <c r="C766" s="192" t="s">
        <v>224</v>
      </c>
      <c r="D766" s="59" t="s">
        <v>752</v>
      </c>
      <c r="E766" s="483">
        <v>6655</v>
      </c>
      <c r="F766" s="370">
        <v>195</v>
      </c>
      <c r="G766" s="371">
        <f>E766*F766</f>
        <v>1297725</v>
      </c>
      <c r="I766" s="489"/>
    </row>
    <row r="767" s="322" customFormat="1" ht="18.75" customHeight="1" spans="2:9">
      <c r="B767" s="59"/>
      <c r="C767" s="71"/>
      <c r="D767" s="59"/>
      <c r="E767" s="483"/>
      <c r="F767" s="370">
        <v>0</v>
      </c>
      <c r="G767" s="371"/>
      <c r="I767" s="489"/>
    </row>
    <row r="768" s="322" customFormat="1" ht="18.75" customHeight="1" spans="2:9">
      <c r="B768" s="59" t="s">
        <v>763</v>
      </c>
      <c r="C768" s="192" t="s">
        <v>240</v>
      </c>
      <c r="D768" s="59" t="s">
        <v>752</v>
      </c>
      <c r="E768" s="483">
        <v>13460</v>
      </c>
      <c r="F768" s="370">
        <v>195</v>
      </c>
      <c r="G768" s="371">
        <f>E768*F768</f>
        <v>2624700</v>
      </c>
      <c r="I768" s="489"/>
    </row>
    <row r="769" s="322" customFormat="1" ht="18.75" customHeight="1" spans="2:9">
      <c r="B769" s="59"/>
      <c r="C769" s="192"/>
      <c r="D769" s="59"/>
      <c r="E769" s="483"/>
      <c r="F769" s="371">
        <v>0</v>
      </c>
      <c r="G769" s="371"/>
      <c r="I769" s="489"/>
    </row>
    <row r="770" s="322" customFormat="1" ht="18.75" customHeight="1" spans="2:9">
      <c r="B770" s="59" t="s">
        <v>764</v>
      </c>
      <c r="C770" s="192" t="s">
        <v>300</v>
      </c>
      <c r="D770" s="59" t="s">
        <v>752</v>
      </c>
      <c r="E770" s="483">
        <v>33295</v>
      </c>
      <c r="F770" s="370">
        <v>195</v>
      </c>
      <c r="G770" s="371">
        <f>E770*F770</f>
        <v>6492525</v>
      </c>
      <c r="I770" s="489"/>
    </row>
    <row r="771" s="322" customFormat="1" ht="18.75" customHeight="1" spans="2:9">
      <c r="B771" s="59"/>
      <c r="C771" s="192"/>
      <c r="D771" s="59"/>
      <c r="E771" s="483"/>
      <c r="F771" s="371">
        <v>0</v>
      </c>
      <c r="G771" s="371"/>
      <c r="I771" s="489"/>
    </row>
    <row r="772" s="322" customFormat="1" ht="18.75" customHeight="1" spans="2:9">
      <c r="B772" s="59" t="s">
        <v>765</v>
      </c>
      <c r="C772" s="192" t="s">
        <v>277</v>
      </c>
      <c r="D772" s="59" t="s">
        <v>752</v>
      </c>
      <c r="E772" s="483">
        <v>1428</v>
      </c>
      <c r="F772" s="370">
        <v>195</v>
      </c>
      <c r="G772" s="371">
        <f>E772*F772</f>
        <v>278460</v>
      </c>
      <c r="I772" s="489"/>
    </row>
    <row r="773" s="322" customFormat="1" ht="18.75" customHeight="1" spans="2:9">
      <c r="B773" s="59"/>
      <c r="C773" s="26"/>
      <c r="D773" s="59"/>
      <c r="E773" s="483"/>
      <c r="F773" s="370">
        <v>0</v>
      </c>
      <c r="G773" s="371"/>
      <c r="I773" s="489"/>
    </row>
    <row r="774" s="322" customFormat="1" ht="18.75" customHeight="1" spans="2:9">
      <c r="B774" s="59" t="s">
        <v>766</v>
      </c>
      <c r="C774" s="192" t="s">
        <v>303</v>
      </c>
      <c r="D774" s="59" t="s">
        <v>752</v>
      </c>
      <c r="E774" s="483">
        <v>1032</v>
      </c>
      <c r="F774" s="370">
        <v>195</v>
      </c>
      <c r="G774" s="371">
        <f>E774*F774</f>
        <v>201240</v>
      </c>
      <c r="I774" s="489"/>
    </row>
    <row r="775" s="322" customFormat="1" ht="18.75" customHeight="1" spans="2:9">
      <c r="B775" s="59"/>
      <c r="C775" s="26"/>
      <c r="D775" s="59"/>
      <c r="E775" s="483"/>
      <c r="F775" s="370">
        <v>0</v>
      </c>
      <c r="G775" s="371"/>
      <c r="I775" s="489"/>
    </row>
    <row r="776" s="322" customFormat="1" ht="18.75" customHeight="1" spans="2:9">
      <c r="B776" s="59" t="s">
        <v>767</v>
      </c>
      <c r="C776" s="192" t="s">
        <v>279</v>
      </c>
      <c r="D776" s="59" t="s">
        <v>752</v>
      </c>
      <c r="E776" s="483">
        <v>6215</v>
      </c>
      <c r="F776" s="370">
        <v>195</v>
      </c>
      <c r="G776" s="371">
        <f>E776*F776</f>
        <v>1211925</v>
      </c>
      <c r="I776" s="489"/>
    </row>
    <row r="777" s="322" customFormat="1" ht="18.75" customHeight="1" spans="2:9">
      <c r="B777" s="59"/>
      <c r="C777" s="26"/>
      <c r="D777" s="59"/>
      <c r="E777" s="483"/>
      <c r="F777" s="370">
        <v>0</v>
      </c>
      <c r="G777" s="371"/>
      <c r="I777" s="489"/>
    </row>
    <row r="778" s="322" customFormat="1" ht="18.75" customHeight="1" spans="2:9">
      <c r="B778" s="59" t="s">
        <v>768</v>
      </c>
      <c r="C778" s="192" t="s">
        <v>306</v>
      </c>
      <c r="D778" s="59" t="s">
        <v>752</v>
      </c>
      <c r="E778" s="483">
        <v>172</v>
      </c>
      <c r="F778" s="370">
        <v>195</v>
      </c>
      <c r="G778" s="371">
        <f>E778*F778</f>
        <v>33540</v>
      </c>
      <c r="I778" s="489"/>
    </row>
    <row r="779" s="322" customFormat="1" ht="18.75" customHeight="1" spans="2:9">
      <c r="B779" s="59"/>
      <c r="C779" s="71"/>
      <c r="D779" s="59"/>
      <c r="E779" s="483"/>
      <c r="F779" s="370">
        <v>0</v>
      </c>
      <c r="G779" s="371"/>
      <c r="I779" s="489"/>
    </row>
    <row r="780" s="322" customFormat="1" ht="18.75" customHeight="1" spans="2:9">
      <c r="B780" s="59" t="s">
        <v>769</v>
      </c>
      <c r="C780" s="200" t="s">
        <v>770</v>
      </c>
      <c r="D780" s="59"/>
      <c r="E780" s="483"/>
      <c r="F780" s="370">
        <v>0</v>
      </c>
      <c r="G780" s="371"/>
      <c r="I780" s="489"/>
    </row>
    <row r="781" s="322" customFormat="1" ht="18.75" customHeight="1" spans="2:9">
      <c r="B781" s="59"/>
      <c r="C781" s="80"/>
      <c r="D781" s="59"/>
      <c r="E781" s="483"/>
      <c r="F781" s="370">
        <v>0</v>
      </c>
      <c r="G781" s="371"/>
      <c r="I781" s="489"/>
    </row>
    <row r="782" s="322" customFormat="1" ht="18.75" customHeight="1" spans="2:9">
      <c r="B782" s="59" t="s">
        <v>771</v>
      </c>
      <c r="C782" s="80" t="s">
        <v>772</v>
      </c>
      <c r="D782" s="226"/>
      <c r="E782" s="483"/>
      <c r="F782" s="370">
        <v>0</v>
      </c>
      <c r="G782" s="371"/>
      <c r="I782" s="489"/>
    </row>
    <row r="783" s="322" customFormat="1" ht="18.75" customHeight="1" spans="2:9">
      <c r="B783" s="59"/>
      <c r="C783" s="26"/>
      <c r="D783" s="59"/>
      <c r="E783" s="483"/>
      <c r="F783" s="370">
        <v>0</v>
      </c>
      <c r="G783" s="371"/>
      <c r="I783" s="489"/>
    </row>
    <row r="784" s="322" customFormat="1" ht="18.75" customHeight="1" spans="2:9">
      <c r="B784" s="59" t="s">
        <v>773</v>
      </c>
      <c r="C784" s="192" t="s">
        <v>400</v>
      </c>
      <c r="D784" s="59" t="s">
        <v>752</v>
      </c>
      <c r="E784" s="483">
        <v>1300</v>
      </c>
      <c r="F784" s="370">
        <v>195</v>
      </c>
      <c r="G784" s="371">
        <f>E784*F784</f>
        <v>253500</v>
      </c>
      <c r="I784" s="489"/>
    </row>
    <row r="785" s="322" customFormat="1" ht="18.75" customHeight="1" spans="2:9">
      <c r="B785" s="59"/>
      <c r="C785" s="26"/>
      <c r="D785" s="59"/>
      <c r="E785" s="483"/>
      <c r="F785" s="370">
        <v>0</v>
      </c>
      <c r="G785" s="371"/>
      <c r="I785" s="489"/>
    </row>
    <row r="786" s="322" customFormat="1" ht="18.75" customHeight="1" spans="2:9">
      <c r="B786" s="59" t="s">
        <v>774</v>
      </c>
      <c r="C786" s="192" t="s">
        <v>402</v>
      </c>
      <c r="D786" s="59" t="s">
        <v>752</v>
      </c>
      <c r="E786" s="483">
        <v>28333</v>
      </c>
      <c r="F786" s="370">
        <v>195</v>
      </c>
      <c r="G786" s="371">
        <f>E786*F786</f>
        <v>5524935</v>
      </c>
      <c r="I786" s="489"/>
    </row>
    <row r="787" s="322" customFormat="1" ht="18.75" customHeight="1" spans="2:9">
      <c r="B787" s="59"/>
      <c r="C787" s="26"/>
      <c r="D787" s="59"/>
      <c r="E787" s="483"/>
      <c r="F787" s="370">
        <v>0</v>
      </c>
      <c r="G787" s="371"/>
      <c r="I787" s="489"/>
    </row>
    <row r="788" s="322" customFormat="1" ht="18.75" customHeight="1" spans="2:9">
      <c r="B788" s="59" t="s">
        <v>775</v>
      </c>
      <c r="C788" s="192" t="s">
        <v>404</v>
      </c>
      <c r="D788" s="59" t="s">
        <v>752</v>
      </c>
      <c r="E788" s="483">
        <v>3432</v>
      </c>
      <c r="F788" s="370">
        <v>195</v>
      </c>
      <c r="G788" s="371">
        <f>E788*F788</f>
        <v>669240</v>
      </c>
      <c r="I788" s="489"/>
    </row>
    <row r="789" s="322" customFormat="1" ht="18.75" customHeight="1" spans="2:9">
      <c r="B789" s="59"/>
      <c r="C789" s="26"/>
      <c r="D789" s="59"/>
      <c r="E789" s="483"/>
      <c r="F789" s="370">
        <v>0</v>
      </c>
      <c r="G789" s="371"/>
      <c r="I789" s="489"/>
    </row>
    <row r="790" s="322" customFormat="1" ht="30.75" customHeight="1" spans="2:9">
      <c r="B790" s="59" t="s">
        <v>776</v>
      </c>
      <c r="C790" s="26" t="s">
        <v>777</v>
      </c>
      <c r="D790" s="59" t="s">
        <v>752</v>
      </c>
      <c r="E790" s="483">
        <v>23814</v>
      </c>
      <c r="F790" s="370">
        <v>195</v>
      </c>
      <c r="G790" s="371">
        <f>E790*F790</f>
        <v>4643730</v>
      </c>
      <c r="I790" s="489"/>
    </row>
    <row r="791" s="322" customFormat="1" ht="18.75" customHeight="1" spans="2:9">
      <c r="B791" s="59"/>
      <c r="C791" s="26"/>
      <c r="D791" s="59"/>
      <c r="E791" s="483"/>
      <c r="F791" s="370">
        <v>0</v>
      </c>
      <c r="G791" s="371"/>
      <c r="I791" s="489"/>
    </row>
    <row r="792" s="322" customFormat="1" ht="18.75" customHeight="1" spans="2:9">
      <c r="B792" s="59" t="s">
        <v>778</v>
      </c>
      <c r="C792" s="26" t="s">
        <v>408</v>
      </c>
      <c r="D792" s="59" t="s">
        <v>752</v>
      </c>
      <c r="E792" s="483">
        <v>20786</v>
      </c>
      <c r="F792" s="370">
        <v>195</v>
      </c>
      <c r="G792" s="371">
        <f>E792*F792</f>
        <v>4053270</v>
      </c>
      <c r="I792" s="489"/>
    </row>
    <row r="793" s="322" customFormat="1" ht="18.75" customHeight="1" spans="2:9">
      <c r="B793" s="59"/>
      <c r="C793" s="26"/>
      <c r="D793" s="59"/>
      <c r="E793" s="483"/>
      <c r="F793" s="370">
        <v>0</v>
      </c>
      <c r="G793" s="371"/>
      <c r="I793" s="489"/>
    </row>
    <row r="794" s="322" customFormat="1" ht="18.75" customHeight="1" spans="2:9">
      <c r="B794" s="59" t="s">
        <v>779</v>
      </c>
      <c r="C794" s="26" t="s">
        <v>410</v>
      </c>
      <c r="D794" s="59" t="s">
        <v>752</v>
      </c>
      <c r="E794" s="483">
        <v>6528</v>
      </c>
      <c r="F794" s="370">
        <v>195</v>
      </c>
      <c r="G794" s="371">
        <f>E794*F794</f>
        <v>1272960</v>
      </c>
      <c r="I794" s="489"/>
    </row>
    <row r="795" s="322" customFormat="1" ht="18.75" customHeight="1" spans="2:9">
      <c r="B795" s="59"/>
      <c r="C795" s="26"/>
      <c r="D795" s="59"/>
      <c r="E795" s="483"/>
      <c r="F795" s="370">
        <v>0</v>
      </c>
      <c r="G795" s="371"/>
      <c r="I795" s="489"/>
    </row>
    <row r="796" s="322" customFormat="1" ht="18.75" customHeight="1" spans="2:9">
      <c r="B796" s="59" t="s">
        <v>780</v>
      </c>
      <c r="C796" s="26" t="s">
        <v>412</v>
      </c>
      <c r="D796" s="59" t="s">
        <v>752</v>
      </c>
      <c r="E796" s="483">
        <v>855</v>
      </c>
      <c r="F796" s="370">
        <v>195</v>
      </c>
      <c r="G796" s="371">
        <f>E796*F796</f>
        <v>166725</v>
      </c>
      <c r="I796" s="489"/>
    </row>
    <row r="797" s="322" customFormat="1" ht="18.75" customHeight="1" spans="2:9">
      <c r="B797" s="59"/>
      <c r="C797" s="26"/>
      <c r="D797" s="59"/>
      <c r="E797" s="483"/>
      <c r="F797" s="370">
        <v>0</v>
      </c>
      <c r="G797" s="371"/>
      <c r="I797" s="489"/>
    </row>
    <row r="798" s="322" customFormat="1" ht="18.75" customHeight="1" spans="2:9">
      <c r="B798" s="59" t="s">
        <v>781</v>
      </c>
      <c r="C798" s="252" t="s">
        <v>416</v>
      </c>
      <c r="D798" s="59" t="s">
        <v>752</v>
      </c>
      <c r="E798" s="483">
        <v>12939</v>
      </c>
      <c r="F798" s="370">
        <v>195</v>
      </c>
      <c r="G798" s="371">
        <f>E798*F798</f>
        <v>2523105</v>
      </c>
      <c r="I798" s="489"/>
    </row>
    <row r="799" s="322" customFormat="1" ht="18.75" customHeight="1" spans="2:9">
      <c r="B799" s="59"/>
      <c r="C799" s="26"/>
      <c r="D799" s="59"/>
      <c r="E799" s="483"/>
      <c r="F799" s="370">
        <v>0</v>
      </c>
      <c r="G799" s="371"/>
      <c r="I799" s="489"/>
    </row>
    <row r="800" s="322" customFormat="1" ht="30.75" customHeight="1" spans="2:9">
      <c r="B800" s="59" t="s">
        <v>782</v>
      </c>
      <c r="C800" s="252" t="s">
        <v>418</v>
      </c>
      <c r="D800" s="59" t="s">
        <v>752</v>
      </c>
      <c r="E800" s="483">
        <v>1316</v>
      </c>
      <c r="F800" s="370">
        <v>195</v>
      </c>
      <c r="G800" s="371">
        <f>E800*F800</f>
        <v>256620</v>
      </c>
      <c r="I800" s="489"/>
    </row>
    <row r="801" s="322" customFormat="1" ht="18.75" customHeight="1" spans="2:9">
      <c r="B801" s="59"/>
      <c r="C801" s="26"/>
      <c r="D801" s="59"/>
      <c r="E801" s="483"/>
      <c r="F801" s="370">
        <v>0</v>
      </c>
      <c r="G801" s="371"/>
      <c r="I801" s="489"/>
    </row>
    <row r="802" s="322" customFormat="1" ht="18.75" customHeight="1" spans="2:9">
      <c r="B802" s="59" t="s">
        <v>783</v>
      </c>
      <c r="C802" s="252" t="s">
        <v>420</v>
      </c>
      <c r="D802" s="59" t="s">
        <v>752</v>
      </c>
      <c r="E802" s="483">
        <v>7167</v>
      </c>
      <c r="F802" s="370">
        <v>195</v>
      </c>
      <c r="G802" s="371">
        <f>E802*F802</f>
        <v>1397565</v>
      </c>
      <c r="I802" s="489"/>
    </row>
    <row r="803" s="322" customFormat="1" ht="18.75" customHeight="1" spans="2:9">
      <c r="B803" s="59"/>
      <c r="C803" s="26"/>
      <c r="D803" s="59"/>
      <c r="E803" s="483"/>
      <c r="F803" s="370">
        <v>0</v>
      </c>
      <c r="G803" s="371"/>
      <c r="I803" s="489"/>
    </row>
    <row r="804" s="322" customFormat="1" ht="18.75" customHeight="1" spans="2:9">
      <c r="B804" s="59" t="s">
        <v>784</v>
      </c>
      <c r="C804" s="252" t="s">
        <v>422</v>
      </c>
      <c r="D804" s="59" t="s">
        <v>752</v>
      </c>
      <c r="E804" s="483">
        <v>1018</v>
      </c>
      <c r="F804" s="370">
        <v>195</v>
      </c>
      <c r="G804" s="371">
        <f>E804*F804</f>
        <v>198510</v>
      </c>
      <c r="I804" s="489"/>
    </row>
    <row r="805" s="322" customFormat="1" ht="18.75" customHeight="1" spans="2:9">
      <c r="B805" s="59"/>
      <c r="C805" s="26"/>
      <c r="D805" s="59"/>
      <c r="E805" s="483"/>
      <c r="F805" s="370">
        <v>0</v>
      </c>
      <c r="G805" s="371"/>
      <c r="I805" s="489"/>
    </row>
    <row r="806" s="322" customFormat="1" ht="37.5" customHeight="1" spans="2:9">
      <c r="B806" s="67" t="s">
        <v>785</v>
      </c>
      <c r="C806" s="31" t="s">
        <v>424</v>
      </c>
      <c r="D806" s="67" t="s">
        <v>752</v>
      </c>
      <c r="E806" s="486">
        <v>600</v>
      </c>
      <c r="F806" s="375">
        <v>195</v>
      </c>
      <c r="G806" s="376">
        <f>E806*F806</f>
        <v>117000</v>
      </c>
      <c r="I806" s="489"/>
    </row>
    <row r="807" s="322" customFormat="1" ht="15.75" customHeight="1" spans="2:9">
      <c r="B807" s="59"/>
      <c r="C807" s="26"/>
      <c r="D807" s="59"/>
      <c r="E807" s="483"/>
      <c r="F807" s="370">
        <v>0</v>
      </c>
      <c r="G807" s="371"/>
      <c r="I807" s="489"/>
    </row>
    <row r="808" s="322" customFormat="1" ht="28.5" customHeight="1" spans="2:9">
      <c r="B808" s="59"/>
      <c r="C808" s="71" t="s">
        <v>284</v>
      </c>
      <c r="D808" s="59"/>
      <c r="E808" s="483"/>
      <c r="F808" s="370">
        <v>0</v>
      </c>
      <c r="G808" s="371"/>
      <c r="I808" s="489"/>
    </row>
    <row r="809" s="322" customFormat="1" ht="18.75" customHeight="1" spans="2:9">
      <c r="B809" s="59" t="s">
        <v>786</v>
      </c>
      <c r="C809" s="192" t="s">
        <v>287</v>
      </c>
      <c r="D809" s="59" t="s">
        <v>752</v>
      </c>
      <c r="E809" s="483">
        <v>3661</v>
      </c>
      <c r="F809" s="370">
        <v>195</v>
      </c>
      <c r="G809" s="371">
        <f>E809*F809</f>
        <v>713895</v>
      </c>
      <c r="I809" s="489"/>
    </row>
    <row r="810" s="322" customFormat="1" ht="18.75" customHeight="1" spans="2:9">
      <c r="B810" s="59"/>
      <c r="C810" s="192"/>
      <c r="D810" s="59"/>
      <c r="E810" s="483"/>
      <c r="F810" s="370">
        <v>0</v>
      </c>
      <c r="G810" s="371"/>
      <c r="I810" s="489"/>
    </row>
    <row r="811" s="322" customFormat="1" ht="18.75" customHeight="1" spans="2:9">
      <c r="B811" s="59" t="s">
        <v>787</v>
      </c>
      <c r="C811" s="192" t="s">
        <v>289</v>
      </c>
      <c r="D811" s="59" t="s">
        <v>752</v>
      </c>
      <c r="E811" s="483">
        <v>6596</v>
      </c>
      <c r="F811" s="370">
        <v>195</v>
      </c>
      <c r="G811" s="371">
        <f>E811*F811</f>
        <v>1286220</v>
      </c>
      <c r="I811" s="489"/>
    </row>
    <row r="812" s="322" customFormat="1" ht="18.75" customHeight="1" spans="2:9">
      <c r="B812" s="59"/>
      <c r="C812" s="192"/>
      <c r="D812" s="59"/>
      <c r="E812" s="483"/>
      <c r="F812" s="370">
        <v>0</v>
      </c>
      <c r="G812" s="371"/>
      <c r="I812" s="489"/>
    </row>
    <row r="813" s="322" customFormat="1" ht="18.75" customHeight="1" spans="2:9">
      <c r="B813" s="59" t="s">
        <v>788</v>
      </c>
      <c r="C813" s="192" t="s">
        <v>291</v>
      </c>
      <c r="D813" s="59" t="s">
        <v>752</v>
      </c>
      <c r="E813" s="483">
        <v>3376</v>
      </c>
      <c r="F813" s="370">
        <v>195</v>
      </c>
      <c r="G813" s="371">
        <f>E813*F813</f>
        <v>658320</v>
      </c>
      <c r="I813" s="489"/>
    </row>
    <row r="814" s="322" customFormat="1" ht="18.75" customHeight="1" spans="2:9">
      <c r="B814" s="59"/>
      <c r="C814" s="192"/>
      <c r="D814" s="59"/>
      <c r="E814" s="483"/>
      <c r="F814" s="370">
        <v>0</v>
      </c>
      <c r="G814" s="371"/>
      <c r="I814" s="489"/>
    </row>
    <row r="815" s="322" customFormat="1" ht="18.75" customHeight="1" spans="2:9">
      <c r="B815" s="59" t="s">
        <v>789</v>
      </c>
      <c r="C815" s="192" t="s">
        <v>293</v>
      </c>
      <c r="D815" s="59" t="s">
        <v>752</v>
      </c>
      <c r="E815" s="483">
        <v>826</v>
      </c>
      <c r="F815" s="370">
        <v>195</v>
      </c>
      <c r="G815" s="371">
        <f>E815*F815</f>
        <v>161070</v>
      </c>
      <c r="I815" s="489"/>
    </row>
    <row r="816" s="322" customFormat="1" ht="18.75" customHeight="1" spans="2:9">
      <c r="B816" s="59"/>
      <c r="C816" s="26"/>
      <c r="D816" s="59"/>
      <c r="E816" s="483"/>
      <c r="F816" s="370">
        <v>0</v>
      </c>
      <c r="G816" s="371"/>
      <c r="I816" s="489"/>
    </row>
    <row r="817" s="322" customFormat="1" ht="18.75" customHeight="1" spans="2:9">
      <c r="B817" s="59" t="s">
        <v>790</v>
      </c>
      <c r="C817" s="77" t="s">
        <v>430</v>
      </c>
      <c r="D817" s="59"/>
      <c r="E817" s="483"/>
      <c r="F817" s="370">
        <v>0</v>
      </c>
      <c r="G817" s="371"/>
      <c r="I817" s="489"/>
    </row>
    <row r="818" s="322" customFormat="1" ht="18.75" customHeight="1" spans="2:9">
      <c r="B818" s="59"/>
      <c r="C818" s="26"/>
      <c r="D818" s="59"/>
      <c r="E818" s="483"/>
      <c r="F818" s="370">
        <v>0</v>
      </c>
      <c r="G818" s="371"/>
      <c r="I818" s="489"/>
    </row>
    <row r="819" s="322" customFormat="1" ht="18.75" customHeight="1" spans="2:9">
      <c r="B819" s="59" t="s">
        <v>791</v>
      </c>
      <c r="C819" s="192" t="s">
        <v>432</v>
      </c>
      <c r="D819" s="59" t="s">
        <v>752</v>
      </c>
      <c r="E819" s="483">
        <v>60079</v>
      </c>
      <c r="F819" s="370">
        <v>195</v>
      </c>
      <c r="G819" s="371">
        <f>E819*F819</f>
        <v>11715405</v>
      </c>
      <c r="I819" s="489"/>
    </row>
    <row r="820" s="322" customFormat="1" ht="18.75" customHeight="1" spans="2:9">
      <c r="B820" s="59"/>
      <c r="C820" s="26"/>
      <c r="D820" s="59"/>
      <c r="E820" s="483"/>
      <c r="F820" s="370">
        <v>0</v>
      </c>
      <c r="G820" s="371"/>
      <c r="I820" s="489"/>
    </row>
    <row r="821" s="322" customFormat="1" ht="18.75" customHeight="1" spans="2:9">
      <c r="B821" s="59" t="s">
        <v>792</v>
      </c>
      <c r="C821" s="192" t="s">
        <v>404</v>
      </c>
      <c r="D821" s="59" t="s">
        <v>752</v>
      </c>
      <c r="E821" s="483">
        <v>4170</v>
      </c>
      <c r="F821" s="370">
        <v>195</v>
      </c>
      <c r="G821" s="371">
        <f>E821*F821</f>
        <v>813150</v>
      </c>
      <c r="I821" s="489"/>
    </row>
    <row r="822" s="322" customFormat="1" ht="18.75" customHeight="1" spans="2:9">
      <c r="B822" s="59"/>
      <c r="C822" s="26"/>
      <c r="D822" s="59"/>
      <c r="E822" s="483"/>
      <c r="F822" s="370">
        <v>0</v>
      </c>
      <c r="G822" s="371"/>
      <c r="I822" s="489"/>
    </row>
    <row r="823" s="322" customFormat="1" ht="30.75" customHeight="1" spans="2:9">
      <c r="B823" s="59" t="s">
        <v>793</v>
      </c>
      <c r="C823" s="26" t="s">
        <v>777</v>
      </c>
      <c r="D823" s="59" t="s">
        <v>752</v>
      </c>
      <c r="E823" s="483">
        <v>23814</v>
      </c>
      <c r="F823" s="370">
        <v>195</v>
      </c>
      <c r="G823" s="371">
        <f>E823*F823</f>
        <v>4643730</v>
      </c>
      <c r="I823" s="489"/>
    </row>
    <row r="824" s="322" customFormat="1" ht="18.75" customHeight="1" spans="2:9">
      <c r="B824" s="59"/>
      <c r="C824" s="26"/>
      <c r="D824" s="59"/>
      <c r="E824" s="483"/>
      <c r="F824" s="370">
        <v>0</v>
      </c>
      <c r="G824" s="371"/>
      <c r="I824" s="489"/>
    </row>
    <row r="825" s="322" customFormat="1" ht="18.75" customHeight="1" spans="2:9">
      <c r="B825" s="59" t="s">
        <v>794</v>
      </c>
      <c r="C825" s="26" t="s">
        <v>408</v>
      </c>
      <c r="D825" s="59" t="s">
        <v>752</v>
      </c>
      <c r="E825" s="483">
        <v>19278</v>
      </c>
      <c r="F825" s="370">
        <v>195</v>
      </c>
      <c r="G825" s="371">
        <f>E825*F825</f>
        <v>3759210</v>
      </c>
      <c r="I825" s="489"/>
    </row>
    <row r="826" s="322" customFormat="1" ht="18.75" customHeight="1" spans="2:9">
      <c r="B826" s="59"/>
      <c r="C826" s="26"/>
      <c r="D826" s="59"/>
      <c r="E826" s="483"/>
      <c r="F826" s="370">
        <v>0</v>
      </c>
      <c r="G826" s="371"/>
      <c r="I826" s="489"/>
    </row>
    <row r="827" s="322" customFormat="1" ht="18.75" customHeight="1" spans="2:9">
      <c r="B827" s="59" t="s">
        <v>795</v>
      </c>
      <c r="C827" s="26" t="s">
        <v>410</v>
      </c>
      <c r="D827" s="59" t="s">
        <v>752</v>
      </c>
      <c r="E827" s="483">
        <v>4830</v>
      </c>
      <c r="F827" s="370">
        <v>195</v>
      </c>
      <c r="G827" s="371">
        <f>E827*F827</f>
        <v>941850</v>
      </c>
      <c r="I827" s="489"/>
    </row>
    <row r="828" s="322" customFormat="1" ht="18.75" customHeight="1" spans="2:9">
      <c r="B828" s="59"/>
      <c r="C828" s="26"/>
      <c r="D828" s="59"/>
      <c r="E828" s="483"/>
      <c r="F828" s="370">
        <v>0</v>
      </c>
      <c r="G828" s="371"/>
      <c r="I828" s="489"/>
    </row>
    <row r="829" s="322" customFormat="1" ht="18.75" customHeight="1" spans="2:9">
      <c r="B829" s="59" t="s">
        <v>796</v>
      </c>
      <c r="C829" s="26" t="s">
        <v>439</v>
      </c>
      <c r="D829" s="59" t="s">
        <v>752</v>
      </c>
      <c r="E829" s="483">
        <v>5279</v>
      </c>
      <c r="F829" s="370">
        <v>195</v>
      </c>
      <c r="G829" s="371">
        <f>E829*F829</f>
        <v>1029405</v>
      </c>
      <c r="I829" s="489"/>
    </row>
    <row r="830" s="322" customFormat="1" ht="18.75" customHeight="1" spans="2:9">
      <c r="B830" s="59"/>
      <c r="C830" s="26"/>
      <c r="D830" s="59"/>
      <c r="E830" s="483"/>
      <c r="F830" s="370">
        <v>0</v>
      </c>
      <c r="G830" s="371"/>
      <c r="I830" s="489"/>
    </row>
    <row r="831" s="322" customFormat="1" ht="18.75" customHeight="1" spans="2:9">
      <c r="B831" s="59" t="s">
        <v>797</v>
      </c>
      <c r="C831" s="26" t="s">
        <v>412</v>
      </c>
      <c r="D831" s="59" t="s">
        <v>752</v>
      </c>
      <c r="E831" s="483">
        <v>855</v>
      </c>
      <c r="F831" s="370">
        <v>195</v>
      </c>
      <c r="G831" s="371">
        <f>E831*F831</f>
        <v>166725</v>
      </c>
      <c r="I831" s="489"/>
    </row>
    <row r="832" s="322" customFormat="1" ht="18.75" customHeight="1" spans="2:9">
      <c r="B832" s="59"/>
      <c r="C832" s="26"/>
      <c r="D832" s="59"/>
      <c r="E832" s="483"/>
      <c r="F832" s="370">
        <v>0</v>
      </c>
      <c r="G832" s="371"/>
      <c r="I832" s="489"/>
    </row>
    <row r="833" s="322" customFormat="1" ht="18.75" customHeight="1" spans="2:9">
      <c r="B833" s="59" t="s">
        <v>798</v>
      </c>
      <c r="C833" s="26" t="s">
        <v>443</v>
      </c>
      <c r="D833" s="59" t="s">
        <v>752</v>
      </c>
      <c r="E833" s="483">
        <v>945</v>
      </c>
      <c r="F833" s="370">
        <v>195</v>
      </c>
      <c r="G833" s="371">
        <f>E833*F833</f>
        <v>184275</v>
      </c>
      <c r="I833" s="489"/>
    </row>
    <row r="834" s="322" customFormat="1" ht="18.75" customHeight="1" spans="2:9">
      <c r="B834" s="59"/>
      <c r="C834" s="26"/>
      <c r="D834" s="59"/>
      <c r="E834" s="483"/>
      <c r="F834" s="370">
        <v>0</v>
      </c>
      <c r="G834" s="371"/>
      <c r="I834" s="489"/>
    </row>
    <row r="835" s="322" customFormat="1" ht="18.75" customHeight="1" spans="2:9">
      <c r="B835" s="59" t="s">
        <v>799</v>
      </c>
      <c r="C835" s="26" t="s">
        <v>445</v>
      </c>
      <c r="D835" s="59" t="s">
        <v>752</v>
      </c>
      <c r="E835" s="483">
        <v>951</v>
      </c>
      <c r="F835" s="370">
        <v>195</v>
      </c>
      <c r="G835" s="371">
        <f>E835*F835</f>
        <v>185445</v>
      </c>
      <c r="I835" s="489"/>
    </row>
    <row r="836" s="322" customFormat="1" ht="18.75" customHeight="1" spans="2:9">
      <c r="B836" s="59"/>
      <c r="C836" s="26"/>
      <c r="D836" s="59"/>
      <c r="E836" s="483"/>
      <c r="F836" s="370">
        <v>0</v>
      </c>
      <c r="G836" s="371"/>
      <c r="I836" s="489"/>
    </row>
    <row r="837" s="322" customFormat="1" ht="18.75" customHeight="1" spans="2:9">
      <c r="B837" s="59" t="s">
        <v>800</v>
      </c>
      <c r="C837" s="26" t="s">
        <v>424</v>
      </c>
      <c r="D837" s="59" t="s">
        <v>752</v>
      </c>
      <c r="E837" s="483">
        <v>800</v>
      </c>
      <c r="F837" s="370">
        <v>195</v>
      </c>
      <c r="G837" s="371">
        <f>E837*F837</f>
        <v>156000</v>
      </c>
      <c r="I837" s="489"/>
    </row>
    <row r="838" s="322" customFormat="1" ht="18.75" customHeight="1" spans="2:9">
      <c r="B838" s="59"/>
      <c r="C838" s="26"/>
      <c r="D838" s="59"/>
      <c r="E838" s="483"/>
      <c r="F838" s="370">
        <v>0</v>
      </c>
      <c r="G838" s="371"/>
      <c r="I838" s="489"/>
    </row>
    <row r="839" s="322" customFormat="1" ht="18.75" customHeight="1" spans="2:9">
      <c r="B839" s="59" t="s">
        <v>801</v>
      </c>
      <c r="C839" s="26" t="s">
        <v>448</v>
      </c>
      <c r="D839" s="59" t="s">
        <v>752</v>
      </c>
      <c r="E839" s="483">
        <v>27</v>
      </c>
      <c r="F839" s="370">
        <v>195</v>
      </c>
      <c r="G839" s="371">
        <f>E839*F839</f>
        <v>5265</v>
      </c>
      <c r="I839" s="489"/>
    </row>
    <row r="840" s="322" customFormat="1" ht="18.75" customHeight="1" spans="2:9">
      <c r="B840" s="59"/>
      <c r="C840" s="26"/>
      <c r="D840" s="59"/>
      <c r="E840" s="483"/>
      <c r="F840" s="370">
        <v>0</v>
      </c>
      <c r="G840" s="371"/>
      <c r="I840" s="489"/>
    </row>
    <row r="841" s="322" customFormat="1" ht="18.75" customHeight="1" spans="2:9">
      <c r="B841" s="59" t="s">
        <v>802</v>
      </c>
      <c r="C841" s="26" t="s">
        <v>450</v>
      </c>
      <c r="D841" s="59" t="s">
        <v>752</v>
      </c>
      <c r="E841" s="483">
        <v>67</v>
      </c>
      <c r="F841" s="370">
        <v>195</v>
      </c>
      <c r="G841" s="371">
        <f>E841*F841</f>
        <v>13065</v>
      </c>
      <c r="I841" s="489"/>
    </row>
    <row r="842" s="322" customFormat="1" ht="18.75" customHeight="1" spans="2:9">
      <c r="B842" s="59"/>
      <c r="C842" s="252"/>
      <c r="D842" s="59"/>
      <c r="E842" s="483"/>
      <c r="F842" s="370">
        <v>0</v>
      </c>
      <c r="G842" s="371"/>
      <c r="I842" s="489"/>
    </row>
    <row r="843" s="322" customFormat="1" ht="18.75" customHeight="1" spans="2:9">
      <c r="B843" s="59" t="s">
        <v>803</v>
      </c>
      <c r="C843" s="77" t="s">
        <v>455</v>
      </c>
      <c r="D843" s="59"/>
      <c r="E843" s="483"/>
      <c r="F843" s="370">
        <v>0</v>
      </c>
      <c r="G843" s="371"/>
      <c r="I843" s="489"/>
    </row>
    <row r="844" s="322" customFormat="1" ht="18.75" customHeight="1" spans="2:9">
      <c r="B844" s="59"/>
      <c r="C844" s="80"/>
      <c r="D844" s="59"/>
      <c r="E844" s="483"/>
      <c r="F844" s="370">
        <v>0</v>
      </c>
      <c r="G844" s="371"/>
      <c r="I844" s="489"/>
    </row>
    <row r="845" s="322" customFormat="1" ht="18.75" customHeight="1" spans="2:9">
      <c r="B845" s="59" t="s">
        <v>804</v>
      </c>
      <c r="C845" s="192" t="s">
        <v>457</v>
      </c>
      <c r="D845" s="59" t="s">
        <v>752</v>
      </c>
      <c r="E845" s="483">
        <v>55683</v>
      </c>
      <c r="F845" s="370">
        <v>199</v>
      </c>
      <c r="G845" s="371">
        <f>E845*F845</f>
        <v>11080917</v>
      </c>
      <c r="I845" s="489"/>
    </row>
    <row r="846" s="322" customFormat="1" ht="18.75" customHeight="1" spans="2:9">
      <c r="B846" s="59"/>
      <c r="C846" s="26"/>
      <c r="D846" s="59"/>
      <c r="E846" s="483"/>
      <c r="F846" s="370">
        <v>0</v>
      </c>
      <c r="G846" s="371"/>
      <c r="I846" s="489"/>
    </row>
    <row r="847" s="322" customFormat="1" ht="18.75" customHeight="1" spans="2:9">
      <c r="B847" s="59" t="s">
        <v>805</v>
      </c>
      <c r="C847" s="192" t="s">
        <v>404</v>
      </c>
      <c r="D847" s="59" t="s">
        <v>752</v>
      </c>
      <c r="E847" s="483">
        <v>3518</v>
      </c>
      <c r="F847" s="370">
        <v>199</v>
      </c>
      <c r="G847" s="371">
        <f>E847*F847</f>
        <v>700082</v>
      </c>
      <c r="I847" s="489"/>
    </row>
    <row r="848" s="322" customFormat="1" ht="18.75" customHeight="1" spans="2:9">
      <c r="B848" s="59"/>
      <c r="C848" s="26"/>
      <c r="D848" s="59"/>
      <c r="E848" s="483"/>
      <c r="F848" s="370">
        <v>0</v>
      </c>
      <c r="G848" s="371"/>
      <c r="I848" s="489"/>
    </row>
    <row r="849" s="322" customFormat="1" ht="30" customHeight="1" spans="2:9">
      <c r="B849" s="59" t="s">
        <v>806</v>
      </c>
      <c r="C849" s="26" t="s">
        <v>777</v>
      </c>
      <c r="D849" s="59" t="s">
        <v>752</v>
      </c>
      <c r="E849" s="483">
        <v>53424</v>
      </c>
      <c r="F849" s="370">
        <v>199</v>
      </c>
      <c r="G849" s="371">
        <f>E849*F849</f>
        <v>10631376</v>
      </c>
      <c r="I849" s="489"/>
    </row>
    <row r="850" s="322" customFormat="1" ht="18.75" customHeight="1" spans="2:9">
      <c r="B850" s="59"/>
      <c r="C850" s="26"/>
      <c r="D850" s="59"/>
      <c r="E850" s="483"/>
      <c r="F850" s="370">
        <v>0</v>
      </c>
      <c r="G850" s="371"/>
      <c r="I850" s="489"/>
    </row>
    <row r="851" s="322" customFormat="1" ht="25.5" customHeight="1" spans="2:9">
      <c r="B851" s="67" t="s">
        <v>807</v>
      </c>
      <c r="C851" s="31" t="s">
        <v>408</v>
      </c>
      <c r="D851" s="67" t="s">
        <v>752</v>
      </c>
      <c r="E851" s="486">
        <v>37247</v>
      </c>
      <c r="F851" s="375">
        <v>199</v>
      </c>
      <c r="G851" s="376">
        <f>E851*F851</f>
        <v>7412153</v>
      </c>
      <c r="I851" s="489"/>
    </row>
    <row r="852" s="322" customFormat="1" ht="18.75" customHeight="1" spans="2:9">
      <c r="B852" s="59"/>
      <c r="C852" s="26"/>
      <c r="D852" s="59"/>
      <c r="E852" s="483"/>
      <c r="F852" s="370">
        <v>0</v>
      </c>
      <c r="G852" s="371"/>
      <c r="I852" s="489"/>
    </row>
    <row r="853" s="322" customFormat="1" ht="18.75" customHeight="1" spans="2:9">
      <c r="B853" s="59" t="s">
        <v>808</v>
      </c>
      <c r="C853" s="26" t="s">
        <v>410</v>
      </c>
      <c r="D853" s="59" t="s">
        <v>752</v>
      </c>
      <c r="E853" s="483">
        <v>4830</v>
      </c>
      <c r="F853" s="370">
        <v>199</v>
      </c>
      <c r="G853" s="371">
        <f>E853*F853</f>
        <v>961170</v>
      </c>
      <c r="I853" s="489"/>
    </row>
    <row r="854" s="322" customFormat="1" ht="18.75" customHeight="1" spans="2:9">
      <c r="B854" s="59"/>
      <c r="C854" s="26"/>
      <c r="D854" s="59"/>
      <c r="E854" s="483"/>
      <c r="F854" s="370">
        <v>0</v>
      </c>
      <c r="G854" s="371"/>
      <c r="I854" s="489"/>
    </row>
    <row r="855" s="322" customFormat="1" ht="18.75" customHeight="1" spans="2:9">
      <c r="B855" s="59" t="s">
        <v>809</v>
      </c>
      <c r="C855" s="26" t="s">
        <v>412</v>
      </c>
      <c r="D855" s="59" t="s">
        <v>752</v>
      </c>
      <c r="E855" s="483">
        <v>8240</v>
      </c>
      <c r="F855" s="370">
        <v>199</v>
      </c>
      <c r="G855" s="371">
        <f>E855*F855</f>
        <v>1639760</v>
      </c>
      <c r="I855" s="489"/>
    </row>
    <row r="856" s="322" customFormat="1" ht="18.75" customHeight="1" spans="2:9">
      <c r="B856" s="59"/>
      <c r="C856" s="26"/>
      <c r="D856" s="59"/>
      <c r="E856" s="483"/>
      <c r="F856" s="370">
        <v>0</v>
      </c>
      <c r="G856" s="371"/>
      <c r="I856" s="489"/>
    </row>
    <row r="857" s="322" customFormat="1" ht="30" customHeight="1" spans="2:9">
      <c r="B857" s="59" t="s">
        <v>810</v>
      </c>
      <c r="C857" s="26" t="s">
        <v>414</v>
      </c>
      <c r="D857" s="59" t="s">
        <v>752</v>
      </c>
      <c r="E857" s="483">
        <v>1742</v>
      </c>
      <c r="F857" s="370">
        <v>199</v>
      </c>
      <c r="G857" s="371">
        <f>E857*F857</f>
        <v>346658</v>
      </c>
      <c r="I857" s="489"/>
    </row>
    <row r="858" s="322" customFormat="1" ht="18.75" customHeight="1" spans="2:9">
      <c r="B858" s="59"/>
      <c r="C858" s="26"/>
      <c r="D858" s="59"/>
      <c r="E858" s="483"/>
      <c r="F858" s="370">
        <v>0</v>
      </c>
      <c r="G858" s="371"/>
      <c r="I858" s="489"/>
    </row>
    <row r="859" s="322" customFormat="1" ht="32.25" customHeight="1" spans="2:9">
      <c r="B859" s="59" t="s">
        <v>811</v>
      </c>
      <c r="C859" s="252" t="s">
        <v>418</v>
      </c>
      <c r="D859" s="59" t="s">
        <v>752</v>
      </c>
      <c r="E859" s="483">
        <v>420</v>
      </c>
      <c r="F859" s="370">
        <v>199</v>
      </c>
      <c r="G859" s="371">
        <f>E859*F859</f>
        <v>83580</v>
      </c>
      <c r="I859" s="489"/>
    </row>
    <row r="860" s="322" customFormat="1" ht="18.75" customHeight="1" spans="2:9">
      <c r="B860" s="59"/>
      <c r="C860" s="26"/>
      <c r="D860" s="59"/>
      <c r="E860" s="483"/>
      <c r="F860" s="370">
        <v>0</v>
      </c>
      <c r="G860" s="371"/>
      <c r="I860" s="489"/>
    </row>
    <row r="861" s="322" customFormat="1" ht="18.75" customHeight="1" spans="2:9">
      <c r="B861" s="59" t="s">
        <v>812</v>
      </c>
      <c r="C861" s="26" t="s">
        <v>424</v>
      </c>
      <c r="D861" s="59" t="s">
        <v>752</v>
      </c>
      <c r="E861" s="483">
        <v>800</v>
      </c>
      <c r="F861" s="370">
        <v>199</v>
      </c>
      <c r="G861" s="371">
        <f>E861*F861</f>
        <v>159200</v>
      </c>
      <c r="I861" s="489"/>
    </row>
    <row r="862" s="322" customFormat="1" ht="18.75" customHeight="1" spans="2:9">
      <c r="B862" s="59"/>
      <c r="C862" s="252"/>
      <c r="D862" s="59"/>
      <c r="E862" s="483"/>
      <c r="F862" s="370">
        <v>0</v>
      </c>
      <c r="G862" s="371"/>
      <c r="I862" s="489"/>
    </row>
    <row r="863" s="322" customFormat="1" ht="18.75" customHeight="1" spans="2:9">
      <c r="B863" s="59" t="s">
        <v>813</v>
      </c>
      <c r="C863" s="77" t="s">
        <v>470</v>
      </c>
      <c r="D863" s="59"/>
      <c r="E863" s="483"/>
      <c r="F863" s="370">
        <v>0</v>
      </c>
      <c r="G863" s="371"/>
      <c r="I863" s="489"/>
    </row>
    <row r="864" s="322" customFormat="1" ht="18.75" customHeight="1" spans="2:9">
      <c r="B864" s="59"/>
      <c r="C864" s="80"/>
      <c r="D864" s="59"/>
      <c r="E864" s="483"/>
      <c r="F864" s="370">
        <v>0</v>
      </c>
      <c r="G864" s="371"/>
      <c r="I864" s="489"/>
    </row>
    <row r="865" s="322" customFormat="1" ht="18.75" customHeight="1" spans="2:9">
      <c r="B865" s="59" t="s">
        <v>814</v>
      </c>
      <c r="C865" s="192" t="s">
        <v>457</v>
      </c>
      <c r="D865" s="59" t="s">
        <v>752</v>
      </c>
      <c r="E865" s="483">
        <v>40888</v>
      </c>
      <c r="F865" s="370">
        <v>203</v>
      </c>
      <c r="G865" s="371">
        <f>E865*F865</f>
        <v>8300264</v>
      </c>
      <c r="I865" s="489"/>
    </row>
    <row r="866" s="322" customFormat="1" ht="18.75" customHeight="1" spans="2:9">
      <c r="B866" s="59"/>
      <c r="C866" s="26"/>
      <c r="D866" s="59"/>
      <c r="E866" s="483"/>
      <c r="F866" s="370">
        <v>0</v>
      </c>
      <c r="G866" s="371"/>
      <c r="I866" s="489"/>
    </row>
    <row r="867" s="322" customFormat="1" ht="18.75" customHeight="1" spans="2:9">
      <c r="B867" s="59" t="s">
        <v>815</v>
      </c>
      <c r="C867" s="192" t="s">
        <v>404</v>
      </c>
      <c r="D867" s="59" t="s">
        <v>752</v>
      </c>
      <c r="E867" s="483">
        <v>3518</v>
      </c>
      <c r="F867" s="370">
        <v>203</v>
      </c>
      <c r="G867" s="371">
        <f>E867*F867</f>
        <v>714154</v>
      </c>
      <c r="I867" s="489"/>
    </row>
    <row r="868" s="322" customFormat="1" ht="18.75" customHeight="1" spans="2:9">
      <c r="B868" s="59"/>
      <c r="C868" s="26"/>
      <c r="D868" s="59"/>
      <c r="E868" s="483"/>
      <c r="F868" s="370">
        <v>0</v>
      </c>
      <c r="G868" s="371"/>
      <c r="I868" s="489"/>
    </row>
    <row r="869" s="322" customFormat="1" ht="31.5" customHeight="1" spans="2:9">
      <c r="B869" s="59" t="s">
        <v>816</v>
      </c>
      <c r="C869" s="26" t="s">
        <v>777</v>
      </c>
      <c r="D869" s="59" t="s">
        <v>752</v>
      </c>
      <c r="E869" s="483">
        <v>44877</v>
      </c>
      <c r="F869" s="370">
        <v>203</v>
      </c>
      <c r="G869" s="371">
        <f>E869*F869</f>
        <v>9110031</v>
      </c>
      <c r="I869" s="489"/>
    </row>
    <row r="870" s="322" customFormat="1" ht="18.75" customHeight="1" spans="2:9">
      <c r="B870" s="59"/>
      <c r="C870" s="26"/>
      <c r="D870" s="59"/>
      <c r="E870" s="483"/>
      <c r="F870" s="370">
        <v>0</v>
      </c>
      <c r="G870" s="371"/>
      <c r="I870" s="489"/>
    </row>
    <row r="871" s="322" customFormat="1" ht="18.75" customHeight="1" spans="2:9">
      <c r="B871" s="59" t="s">
        <v>817</v>
      </c>
      <c r="C871" s="26" t="s">
        <v>408</v>
      </c>
      <c r="D871" s="59" t="s">
        <v>752</v>
      </c>
      <c r="E871" s="483">
        <v>38080</v>
      </c>
      <c r="F871" s="370">
        <v>203</v>
      </c>
      <c r="G871" s="371">
        <f>E871*F871</f>
        <v>7730240</v>
      </c>
      <c r="I871" s="489"/>
    </row>
    <row r="872" s="322" customFormat="1" ht="18.75" customHeight="1" spans="2:9">
      <c r="B872" s="59"/>
      <c r="C872" s="26"/>
      <c r="D872" s="59"/>
      <c r="E872" s="483"/>
      <c r="F872" s="370">
        <v>0</v>
      </c>
      <c r="G872" s="371"/>
      <c r="I872" s="489"/>
    </row>
    <row r="873" s="322" customFormat="1" ht="18.75" customHeight="1" spans="2:9">
      <c r="B873" s="59" t="s">
        <v>818</v>
      </c>
      <c r="C873" s="26" t="s">
        <v>410</v>
      </c>
      <c r="D873" s="59" t="s">
        <v>752</v>
      </c>
      <c r="E873" s="483">
        <v>4830</v>
      </c>
      <c r="F873" s="370">
        <v>203</v>
      </c>
      <c r="G873" s="371">
        <f>E873*F873</f>
        <v>980490</v>
      </c>
      <c r="I873" s="489"/>
    </row>
    <row r="874" s="322" customFormat="1" ht="18.75" customHeight="1" spans="2:9">
      <c r="B874" s="59"/>
      <c r="C874" s="26"/>
      <c r="D874" s="59"/>
      <c r="E874" s="483"/>
      <c r="F874" s="370">
        <v>0</v>
      </c>
      <c r="G874" s="371"/>
      <c r="I874" s="489"/>
    </row>
    <row r="875" s="322" customFormat="1" ht="18.75" customHeight="1" spans="2:9">
      <c r="B875" s="59" t="s">
        <v>819</v>
      </c>
      <c r="C875" s="26" t="s">
        <v>412</v>
      </c>
      <c r="D875" s="59" t="s">
        <v>752</v>
      </c>
      <c r="E875" s="483">
        <v>12978</v>
      </c>
      <c r="F875" s="370">
        <v>203</v>
      </c>
      <c r="G875" s="371">
        <f>E875*F875</f>
        <v>2634534</v>
      </c>
      <c r="I875" s="489"/>
    </row>
    <row r="876" s="322" customFormat="1" ht="18.75" customHeight="1" spans="2:9">
      <c r="B876" s="59"/>
      <c r="C876" s="26"/>
      <c r="D876" s="59"/>
      <c r="E876" s="483"/>
      <c r="F876" s="370">
        <v>0</v>
      </c>
      <c r="G876" s="371"/>
      <c r="I876" s="489"/>
    </row>
    <row r="877" s="322" customFormat="1" ht="30.75" customHeight="1" spans="2:9">
      <c r="B877" s="59" t="s">
        <v>820</v>
      </c>
      <c r="C877" s="252" t="s">
        <v>418</v>
      </c>
      <c r="D877" s="59" t="s">
        <v>752</v>
      </c>
      <c r="E877" s="483">
        <v>924</v>
      </c>
      <c r="F877" s="370">
        <v>203</v>
      </c>
      <c r="G877" s="371">
        <f>E877*F877</f>
        <v>187572</v>
      </c>
      <c r="I877" s="489"/>
    </row>
    <row r="878" s="322" customFormat="1" ht="18.75" customHeight="1" spans="2:9">
      <c r="B878" s="59"/>
      <c r="C878" s="26"/>
      <c r="D878" s="59"/>
      <c r="E878" s="483"/>
      <c r="F878" s="370">
        <v>0</v>
      </c>
      <c r="G878" s="371"/>
      <c r="I878" s="489"/>
    </row>
    <row r="879" s="322" customFormat="1" ht="18.75" customHeight="1" spans="2:9">
      <c r="B879" s="59" t="s">
        <v>821</v>
      </c>
      <c r="C879" s="26" t="s">
        <v>424</v>
      </c>
      <c r="D879" s="59" t="s">
        <v>752</v>
      </c>
      <c r="E879" s="483">
        <v>600</v>
      </c>
      <c r="F879" s="370">
        <v>203</v>
      </c>
      <c r="G879" s="371">
        <f>E879*F879</f>
        <v>121800</v>
      </c>
      <c r="I879" s="489"/>
    </row>
    <row r="880" s="322" customFormat="1" ht="18.75" customHeight="1" spans="2:9">
      <c r="B880" s="59"/>
      <c r="C880" s="252"/>
      <c r="D880" s="59"/>
      <c r="E880" s="483"/>
      <c r="F880" s="370">
        <v>0</v>
      </c>
      <c r="G880" s="371"/>
      <c r="I880" s="489"/>
    </row>
    <row r="881" s="322" customFormat="1" ht="18.75" customHeight="1" spans="2:9">
      <c r="B881" s="59" t="s">
        <v>822</v>
      </c>
      <c r="C881" s="77" t="s">
        <v>483</v>
      </c>
      <c r="D881" s="59"/>
      <c r="E881" s="483"/>
      <c r="F881" s="370">
        <v>0</v>
      </c>
      <c r="G881" s="371"/>
      <c r="I881" s="489"/>
    </row>
    <row r="882" s="322" customFormat="1" ht="18.75" customHeight="1" spans="2:9">
      <c r="B882" s="59"/>
      <c r="C882" s="80"/>
      <c r="D882" s="59"/>
      <c r="E882" s="483"/>
      <c r="F882" s="370">
        <v>0</v>
      </c>
      <c r="G882" s="371"/>
      <c r="I882" s="489"/>
    </row>
    <row r="883" s="322" customFormat="1" ht="18.75" customHeight="1" spans="2:9">
      <c r="B883" s="59" t="s">
        <v>823</v>
      </c>
      <c r="C883" s="192" t="s">
        <v>457</v>
      </c>
      <c r="D883" s="59" t="s">
        <v>752</v>
      </c>
      <c r="E883" s="483">
        <v>32549</v>
      </c>
      <c r="F883" s="370">
        <v>207</v>
      </c>
      <c r="G883" s="371">
        <f>E883*F883</f>
        <v>6737643</v>
      </c>
      <c r="I883" s="489"/>
    </row>
    <row r="884" s="322" customFormat="1" ht="18.75" customHeight="1" spans="2:9">
      <c r="B884" s="59"/>
      <c r="C884" s="26"/>
      <c r="D884" s="59"/>
      <c r="E884" s="483"/>
      <c r="F884" s="370">
        <v>0</v>
      </c>
      <c r="G884" s="371"/>
      <c r="I884" s="489"/>
    </row>
    <row r="885" s="322" customFormat="1" ht="18.75" customHeight="1" spans="2:9">
      <c r="B885" s="59" t="s">
        <v>824</v>
      </c>
      <c r="C885" s="192" t="s">
        <v>404</v>
      </c>
      <c r="D885" s="59" t="s">
        <v>752</v>
      </c>
      <c r="E885" s="483">
        <v>3150</v>
      </c>
      <c r="F885" s="370">
        <v>207</v>
      </c>
      <c r="G885" s="371">
        <f>E885*F885</f>
        <v>652050</v>
      </c>
      <c r="I885" s="489"/>
    </row>
    <row r="886" s="322" customFormat="1" ht="18.75" customHeight="1" spans="2:9">
      <c r="B886" s="59"/>
      <c r="C886" s="26"/>
      <c r="D886" s="59"/>
      <c r="E886" s="483"/>
      <c r="F886" s="370">
        <v>0</v>
      </c>
      <c r="G886" s="371"/>
      <c r="H886" s="508"/>
      <c r="I886" s="489"/>
    </row>
    <row r="887" s="322" customFormat="1" ht="32.25" customHeight="1" spans="2:9">
      <c r="B887" s="59" t="s">
        <v>825</v>
      </c>
      <c r="C887" s="26" t="s">
        <v>777</v>
      </c>
      <c r="D887" s="59" t="s">
        <v>752</v>
      </c>
      <c r="E887" s="483">
        <v>21504</v>
      </c>
      <c r="F887" s="370">
        <v>207</v>
      </c>
      <c r="G887" s="371">
        <f>E887*F887</f>
        <v>4451328</v>
      </c>
      <c r="H887" s="508"/>
      <c r="I887" s="489"/>
    </row>
    <row r="888" s="322" customFormat="1" ht="18.75" customHeight="1" spans="2:9">
      <c r="B888" s="59"/>
      <c r="C888" s="26"/>
      <c r="D888" s="59"/>
      <c r="E888" s="483"/>
      <c r="F888" s="370">
        <v>0</v>
      </c>
      <c r="G888" s="371"/>
      <c r="H888" s="508"/>
      <c r="I888" s="489"/>
    </row>
    <row r="889" s="322" customFormat="1" ht="18.75" customHeight="1" spans="2:9">
      <c r="B889" s="59" t="s">
        <v>826</v>
      </c>
      <c r="C889" s="26" t="s">
        <v>408</v>
      </c>
      <c r="D889" s="59" t="s">
        <v>752</v>
      </c>
      <c r="E889" s="483">
        <v>46529</v>
      </c>
      <c r="F889" s="370">
        <v>207</v>
      </c>
      <c r="G889" s="371">
        <f>E889*F889</f>
        <v>9631503</v>
      </c>
      <c r="H889" s="508"/>
      <c r="I889" s="489"/>
    </row>
    <row r="890" s="322" customFormat="1" ht="18.75" customHeight="1" spans="2:9">
      <c r="B890" s="59"/>
      <c r="C890" s="26"/>
      <c r="D890" s="59"/>
      <c r="E890" s="483"/>
      <c r="F890" s="370">
        <v>0</v>
      </c>
      <c r="G890" s="371"/>
      <c r="H890" s="508"/>
      <c r="I890" s="489"/>
    </row>
    <row r="891" s="322" customFormat="1" ht="18.75" customHeight="1" spans="2:9">
      <c r="B891" s="59" t="s">
        <v>827</v>
      </c>
      <c r="C891" s="26" t="s">
        <v>410</v>
      </c>
      <c r="D891" s="59" t="s">
        <v>752</v>
      </c>
      <c r="E891" s="483">
        <v>4830</v>
      </c>
      <c r="F891" s="370">
        <v>207</v>
      </c>
      <c r="G891" s="371">
        <f>E891*F891</f>
        <v>999810</v>
      </c>
      <c r="H891" s="508"/>
      <c r="I891" s="489"/>
    </row>
    <row r="892" s="322" customFormat="1" ht="18.75" customHeight="1" spans="2:9">
      <c r="B892" s="59"/>
      <c r="C892" s="26"/>
      <c r="D892" s="59"/>
      <c r="E892" s="483"/>
      <c r="F892" s="370">
        <v>0</v>
      </c>
      <c r="G892" s="371"/>
      <c r="I892" s="489"/>
    </row>
    <row r="893" s="322" customFormat="1" ht="31.5" customHeight="1" spans="2:9">
      <c r="B893" s="67" t="s">
        <v>828</v>
      </c>
      <c r="C893" s="31" t="s">
        <v>412</v>
      </c>
      <c r="D893" s="67" t="s">
        <v>752</v>
      </c>
      <c r="E893" s="486">
        <v>18643</v>
      </c>
      <c r="F893" s="375">
        <v>207</v>
      </c>
      <c r="G893" s="376">
        <f>E893*F893</f>
        <v>3859101</v>
      </c>
      <c r="I893" s="489"/>
    </row>
    <row r="894" s="322" customFormat="1" ht="18.75" customHeight="1" spans="2:9">
      <c r="B894" s="59"/>
      <c r="C894" s="26"/>
      <c r="D894" s="59"/>
      <c r="E894" s="483"/>
      <c r="F894" s="370">
        <v>0</v>
      </c>
      <c r="G894" s="371"/>
      <c r="I894" s="489"/>
    </row>
    <row r="895" s="322" customFormat="1" ht="33" customHeight="1" spans="2:9">
      <c r="B895" s="59" t="s">
        <v>829</v>
      </c>
      <c r="C895" s="252" t="s">
        <v>418</v>
      </c>
      <c r="D895" s="59" t="s">
        <v>752</v>
      </c>
      <c r="E895" s="483">
        <v>588</v>
      </c>
      <c r="F895" s="370">
        <v>207</v>
      </c>
      <c r="G895" s="371">
        <f>E895*F895</f>
        <v>121716</v>
      </c>
      <c r="I895" s="489"/>
    </row>
    <row r="896" s="322" customFormat="1" ht="18.75" customHeight="1" spans="2:9">
      <c r="B896" s="59"/>
      <c r="C896" s="26"/>
      <c r="D896" s="59"/>
      <c r="E896" s="483"/>
      <c r="F896" s="370">
        <v>0</v>
      </c>
      <c r="G896" s="371"/>
      <c r="I896" s="489"/>
    </row>
    <row r="897" s="322" customFormat="1" ht="18.75" customHeight="1" spans="2:9">
      <c r="B897" s="59" t="s">
        <v>830</v>
      </c>
      <c r="C897" s="26" t="s">
        <v>424</v>
      </c>
      <c r="D897" s="59" t="s">
        <v>752</v>
      </c>
      <c r="E897" s="483">
        <v>600</v>
      </c>
      <c r="F897" s="370">
        <v>207</v>
      </c>
      <c r="G897" s="371">
        <f>E897*F897</f>
        <v>124200</v>
      </c>
      <c r="I897" s="489"/>
    </row>
    <row r="898" s="322" customFormat="1" ht="18.75" customHeight="1" spans="2:9">
      <c r="B898" s="59"/>
      <c r="C898" s="252"/>
      <c r="D898" s="59"/>
      <c r="E898" s="483"/>
      <c r="F898" s="370">
        <v>0</v>
      </c>
      <c r="G898" s="371"/>
      <c r="I898" s="489"/>
    </row>
    <row r="899" s="322" customFormat="1" ht="18.75" customHeight="1" spans="2:9">
      <c r="B899" s="59" t="s">
        <v>831</v>
      </c>
      <c r="C899" s="77" t="s">
        <v>495</v>
      </c>
      <c r="D899" s="59"/>
      <c r="E899" s="483"/>
      <c r="F899" s="370">
        <v>0</v>
      </c>
      <c r="G899" s="371"/>
      <c r="I899" s="489"/>
    </row>
    <row r="900" s="322" customFormat="1" ht="18.75" customHeight="1" spans="2:9">
      <c r="B900" s="59"/>
      <c r="C900" s="252"/>
      <c r="D900" s="59"/>
      <c r="E900" s="483"/>
      <c r="F900" s="370">
        <v>0</v>
      </c>
      <c r="G900" s="371"/>
      <c r="I900" s="489"/>
    </row>
    <row r="901" s="322" customFormat="1" ht="18.75" customHeight="1" spans="2:9">
      <c r="B901" s="59" t="s">
        <v>832</v>
      </c>
      <c r="C901" s="192" t="s">
        <v>457</v>
      </c>
      <c r="D901" s="59" t="s">
        <v>752</v>
      </c>
      <c r="E901" s="483">
        <v>28783</v>
      </c>
      <c r="F901" s="370">
        <v>211</v>
      </c>
      <c r="G901" s="371">
        <f>E901*F901</f>
        <v>6073213</v>
      </c>
      <c r="I901" s="489"/>
    </row>
    <row r="902" s="322" customFormat="1" ht="18.75" customHeight="1" spans="2:9">
      <c r="B902" s="59"/>
      <c r="C902" s="26"/>
      <c r="D902" s="59"/>
      <c r="E902" s="483"/>
      <c r="F902" s="370">
        <v>0</v>
      </c>
      <c r="G902" s="371"/>
      <c r="I902" s="489"/>
    </row>
    <row r="903" s="322" customFormat="1" ht="18.75" customHeight="1" spans="2:9">
      <c r="B903" s="59" t="s">
        <v>833</v>
      </c>
      <c r="C903" s="192" t="s">
        <v>404</v>
      </c>
      <c r="D903" s="59" t="s">
        <v>752</v>
      </c>
      <c r="E903" s="483">
        <v>3150</v>
      </c>
      <c r="F903" s="370">
        <v>211</v>
      </c>
      <c r="G903" s="371">
        <f>E903*F903</f>
        <v>664650</v>
      </c>
      <c r="I903" s="489"/>
    </row>
    <row r="904" s="322" customFormat="1" ht="18.75" customHeight="1" spans="2:9">
      <c r="B904" s="59"/>
      <c r="C904" s="26"/>
      <c r="D904" s="59"/>
      <c r="E904" s="483"/>
      <c r="F904" s="370">
        <v>0</v>
      </c>
      <c r="G904" s="371"/>
      <c r="I904" s="489"/>
    </row>
    <row r="905" s="322" customFormat="1" ht="31.5" customHeight="1" spans="2:9">
      <c r="B905" s="59" t="s">
        <v>834</v>
      </c>
      <c r="C905" s="26" t="s">
        <v>777</v>
      </c>
      <c r="D905" s="59" t="s">
        <v>752</v>
      </c>
      <c r="E905" s="483">
        <v>22706</v>
      </c>
      <c r="F905" s="370">
        <v>211</v>
      </c>
      <c r="G905" s="371">
        <f>E905*F905</f>
        <v>4790966</v>
      </c>
      <c r="I905" s="489"/>
    </row>
    <row r="906" s="322" customFormat="1" ht="18.75" customHeight="1" spans="2:9">
      <c r="B906" s="59"/>
      <c r="C906" s="26"/>
      <c r="D906" s="59"/>
      <c r="E906" s="483"/>
      <c r="F906" s="370">
        <v>0</v>
      </c>
      <c r="G906" s="371"/>
      <c r="I906" s="489"/>
    </row>
    <row r="907" s="322" customFormat="1" ht="18.75" customHeight="1" spans="2:9">
      <c r="B907" s="59" t="s">
        <v>835</v>
      </c>
      <c r="C907" s="26" t="s">
        <v>408</v>
      </c>
      <c r="D907" s="59" t="s">
        <v>752</v>
      </c>
      <c r="E907" s="483">
        <v>20635</v>
      </c>
      <c r="F907" s="370">
        <v>211</v>
      </c>
      <c r="G907" s="371">
        <f>E907*F907</f>
        <v>4353985</v>
      </c>
      <c r="I907" s="489"/>
    </row>
    <row r="908" s="322" customFormat="1" ht="18.75" customHeight="1" spans="2:9">
      <c r="B908" s="59"/>
      <c r="C908" s="26"/>
      <c r="D908" s="59"/>
      <c r="E908" s="483"/>
      <c r="F908" s="370">
        <v>0</v>
      </c>
      <c r="G908" s="371"/>
      <c r="I908" s="489"/>
    </row>
    <row r="909" s="322" customFormat="1" ht="18.75" customHeight="1" spans="2:9">
      <c r="B909" s="59" t="s">
        <v>836</v>
      </c>
      <c r="C909" s="26" t="s">
        <v>410</v>
      </c>
      <c r="D909" s="59" t="s">
        <v>752</v>
      </c>
      <c r="E909" s="483">
        <v>4830</v>
      </c>
      <c r="F909" s="370">
        <v>211</v>
      </c>
      <c r="G909" s="371">
        <f>E909*F909</f>
        <v>1019130</v>
      </c>
      <c r="I909" s="489"/>
    </row>
    <row r="910" s="322" customFormat="1" ht="18.75" customHeight="1" spans="2:9">
      <c r="B910" s="59"/>
      <c r="C910" s="26"/>
      <c r="D910" s="59"/>
      <c r="E910" s="483"/>
      <c r="F910" s="370">
        <v>0</v>
      </c>
      <c r="G910" s="371"/>
      <c r="I910" s="489"/>
    </row>
    <row r="911" s="322" customFormat="1" ht="18.75" customHeight="1" spans="2:9">
      <c r="B911" s="59" t="s">
        <v>837</v>
      </c>
      <c r="C911" s="26" t="s">
        <v>412</v>
      </c>
      <c r="D911" s="59" t="s">
        <v>752</v>
      </c>
      <c r="E911" s="483">
        <v>4429</v>
      </c>
      <c r="F911" s="370">
        <v>211</v>
      </c>
      <c r="G911" s="371">
        <f>E911*F911</f>
        <v>934519</v>
      </c>
      <c r="I911" s="489"/>
    </row>
    <row r="912" s="322" customFormat="1" ht="18.75" customHeight="1" spans="2:9">
      <c r="B912" s="59"/>
      <c r="C912" s="26"/>
      <c r="D912" s="59"/>
      <c r="E912" s="483"/>
      <c r="F912" s="370">
        <v>0</v>
      </c>
      <c r="G912" s="371"/>
      <c r="I912" s="489"/>
    </row>
    <row r="913" s="322" customFormat="1" ht="18.75" customHeight="1" spans="2:9">
      <c r="B913" s="59" t="s">
        <v>838</v>
      </c>
      <c r="C913" s="26" t="s">
        <v>424</v>
      </c>
      <c r="D913" s="59" t="s">
        <v>752</v>
      </c>
      <c r="E913" s="483">
        <v>600</v>
      </c>
      <c r="F913" s="370">
        <v>211</v>
      </c>
      <c r="G913" s="371">
        <f>E913*F913</f>
        <v>126600</v>
      </c>
      <c r="I913" s="489"/>
    </row>
    <row r="914" s="322" customFormat="1" ht="18.75" customHeight="1" spans="2:9">
      <c r="B914" s="59"/>
      <c r="C914" s="252"/>
      <c r="D914" s="59"/>
      <c r="E914" s="483"/>
      <c r="F914" s="370">
        <v>0</v>
      </c>
      <c r="G914" s="371"/>
      <c r="I914" s="489"/>
    </row>
    <row r="915" s="322" customFormat="1" ht="18.75" customHeight="1" spans="2:9">
      <c r="B915" s="59" t="s">
        <v>839</v>
      </c>
      <c r="C915" s="77" t="s">
        <v>506</v>
      </c>
      <c r="D915" s="59"/>
      <c r="E915" s="483"/>
      <c r="F915" s="370">
        <v>0</v>
      </c>
      <c r="G915" s="371"/>
      <c r="I915" s="489"/>
    </row>
    <row r="916" s="322" customFormat="1" ht="18.75" customHeight="1" spans="2:9">
      <c r="B916" s="59"/>
      <c r="C916" s="252"/>
      <c r="D916" s="59"/>
      <c r="E916" s="483"/>
      <c r="F916" s="370">
        <v>0</v>
      </c>
      <c r="G916" s="371"/>
      <c r="I916" s="489"/>
    </row>
    <row r="917" s="322" customFormat="1" ht="18.75" customHeight="1" spans="2:9">
      <c r="B917" s="59" t="s">
        <v>840</v>
      </c>
      <c r="C917" s="192" t="s">
        <v>457</v>
      </c>
      <c r="D917" s="59" t="s">
        <v>752</v>
      </c>
      <c r="E917" s="483">
        <v>28783</v>
      </c>
      <c r="F917" s="370">
        <v>214</v>
      </c>
      <c r="G917" s="371">
        <f>E917*F917</f>
        <v>6159562</v>
      </c>
      <c r="I917" s="489"/>
    </row>
    <row r="918" s="322" customFormat="1" ht="18.75" customHeight="1" spans="2:9">
      <c r="B918" s="59"/>
      <c r="C918" s="26"/>
      <c r="D918" s="59"/>
      <c r="E918" s="483"/>
      <c r="F918" s="370">
        <v>0</v>
      </c>
      <c r="G918" s="371"/>
      <c r="I918" s="489"/>
    </row>
    <row r="919" s="322" customFormat="1" ht="18.75" customHeight="1" spans="2:9">
      <c r="B919" s="59" t="s">
        <v>841</v>
      </c>
      <c r="C919" s="192" t="s">
        <v>404</v>
      </c>
      <c r="D919" s="59" t="s">
        <v>752</v>
      </c>
      <c r="E919" s="483">
        <v>3150</v>
      </c>
      <c r="F919" s="370">
        <v>214</v>
      </c>
      <c r="G919" s="371">
        <f>E919*F919</f>
        <v>674100</v>
      </c>
      <c r="I919" s="489"/>
    </row>
    <row r="920" s="322" customFormat="1" ht="18.75" customHeight="1" spans="2:9">
      <c r="B920" s="59"/>
      <c r="C920" s="26"/>
      <c r="D920" s="59"/>
      <c r="E920" s="483"/>
      <c r="F920" s="370">
        <v>0</v>
      </c>
      <c r="G920" s="371"/>
      <c r="I920" s="489"/>
    </row>
    <row r="921" s="322" customFormat="1" ht="33.75" customHeight="1" spans="2:9">
      <c r="B921" s="59" t="s">
        <v>842</v>
      </c>
      <c r="C921" s="26" t="s">
        <v>777</v>
      </c>
      <c r="D921" s="59" t="s">
        <v>752</v>
      </c>
      <c r="E921" s="483">
        <v>22706</v>
      </c>
      <c r="F921" s="370">
        <v>214</v>
      </c>
      <c r="G921" s="371">
        <f>E921*F921</f>
        <v>4859084</v>
      </c>
      <c r="I921" s="489"/>
    </row>
    <row r="922" s="322" customFormat="1" ht="19.5" customHeight="1" spans="2:9">
      <c r="B922" s="59"/>
      <c r="C922" s="26"/>
      <c r="D922" s="59"/>
      <c r="E922" s="483"/>
      <c r="F922" s="370">
        <v>0</v>
      </c>
      <c r="G922" s="371"/>
      <c r="I922" s="489"/>
    </row>
    <row r="923" s="322" customFormat="1" ht="18.75" customHeight="1" spans="2:9">
      <c r="B923" s="59" t="s">
        <v>843</v>
      </c>
      <c r="C923" s="26" t="s">
        <v>408</v>
      </c>
      <c r="D923" s="59" t="s">
        <v>752</v>
      </c>
      <c r="E923" s="483">
        <v>20587</v>
      </c>
      <c r="F923" s="370">
        <v>214</v>
      </c>
      <c r="G923" s="371">
        <f>E923*F923</f>
        <v>4405618</v>
      </c>
      <c r="I923" s="489"/>
    </row>
    <row r="924" s="322" customFormat="1" ht="18.75" customHeight="1" spans="2:9">
      <c r="B924" s="59"/>
      <c r="C924" s="26"/>
      <c r="D924" s="59"/>
      <c r="E924" s="483"/>
      <c r="F924" s="370">
        <v>0</v>
      </c>
      <c r="G924" s="371"/>
      <c r="I924" s="489"/>
    </row>
    <row r="925" s="322" customFormat="1" ht="18.75" customHeight="1" spans="2:9">
      <c r="B925" s="59" t="s">
        <v>844</v>
      </c>
      <c r="C925" s="26" t="s">
        <v>410</v>
      </c>
      <c r="D925" s="59" t="s">
        <v>752</v>
      </c>
      <c r="E925" s="483">
        <v>4830</v>
      </c>
      <c r="F925" s="370">
        <v>214</v>
      </c>
      <c r="G925" s="371">
        <f>E925*F925</f>
        <v>1033620</v>
      </c>
      <c r="I925" s="489"/>
    </row>
    <row r="926" s="322" customFormat="1" ht="18.75" customHeight="1" spans="2:9">
      <c r="B926" s="59"/>
      <c r="C926" s="26"/>
      <c r="D926" s="59"/>
      <c r="E926" s="483"/>
      <c r="F926" s="370">
        <v>0</v>
      </c>
      <c r="G926" s="371"/>
      <c r="I926" s="489"/>
    </row>
    <row r="927" s="322" customFormat="1" ht="18.75" customHeight="1" spans="2:9">
      <c r="B927" s="59" t="s">
        <v>845</v>
      </c>
      <c r="C927" s="26" t="s">
        <v>412</v>
      </c>
      <c r="D927" s="59" t="s">
        <v>752</v>
      </c>
      <c r="E927" s="483">
        <v>4429</v>
      </c>
      <c r="F927" s="370">
        <v>214</v>
      </c>
      <c r="G927" s="371">
        <f>E927*F927</f>
        <v>947806</v>
      </c>
      <c r="I927" s="489"/>
    </row>
    <row r="928" s="322" customFormat="1" ht="18.75" customHeight="1" spans="2:9">
      <c r="B928" s="59"/>
      <c r="C928" s="26"/>
      <c r="D928" s="59"/>
      <c r="E928" s="483"/>
      <c r="F928" s="370">
        <v>0</v>
      </c>
      <c r="G928" s="371"/>
      <c r="I928" s="489"/>
    </row>
    <row r="929" s="322" customFormat="1" ht="18.75" customHeight="1" spans="2:9">
      <c r="B929" s="59" t="s">
        <v>846</v>
      </c>
      <c r="C929" s="26" t="s">
        <v>424</v>
      </c>
      <c r="D929" s="59" t="s">
        <v>752</v>
      </c>
      <c r="E929" s="483">
        <v>400</v>
      </c>
      <c r="F929" s="370">
        <v>214</v>
      </c>
      <c r="G929" s="371">
        <f>E929*F929</f>
        <v>85600</v>
      </c>
      <c r="I929" s="489"/>
    </row>
    <row r="930" s="322" customFormat="1" ht="18.75" customHeight="1" spans="2:9">
      <c r="B930" s="59"/>
      <c r="C930" s="252"/>
      <c r="D930" s="59"/>
      <c r="E930" s="483"/>
      <c r="F930" s="370">
        <v>0</v>
      </c>
      <c r="G930" s="371"/>
      <c r="I930" s="489"/>
    </row>
    <row r="931" s="322" customFormat="1" ht="24" customHeight="1" spans="2:9">
      <c r="B931" s="59" t="s">
        <v>847</v>
      </c>
      <c r="C931" s="77" t="s">
        <v>517</v>
      </c>
      <c r="D931" s="59"/>
      <c r="E931" s="483"/>
      <c r="F931" s="370">
        <v>0</v>
      </c>
      <c r="G931" s="371"/>
      <c r="I931" s="489"/>
    </row>
    <row r="932" s="322" customFormat="1" ht="18.75" customHeight="1" spans="2:9">
      <c r="B932" s="59" t="s">
        <v>848</v>
      </c>
      <c r="C932" s="192" t="s">
        <v>457</v>
      </c>
      <c r="D932" s="59" t="s">
        <v>752</v>
      </c>
      <c r="E932" s="483">
        <v>11298</v>
      </c>
      <c r="F932" s="370">
        <v>218</v>
      </c>
      <c r="G932" s="371">
        <f>E932*F932</f>
        <v>2462964</v>
      </c>
      <c r="I932" s="489"/>
    </row>
    <row r="933" s="322" customFormat="1" ht="18.75" customHeight="1" spans="2:9">
      <c r="B933" s="59"/>
      <c r="C933" s="26"/>
      <c r="D933" s="59"/>
      <c r="E933" s="483"/>
      <c r="F933" s="370">
        <v>0</v>
      </c>
      <c r="G933" s="371"/>
      <c r="I933" s="489"/>
    </row>
    <row r="934" s="322" customFormat="1" ht="18.75" customHeight="1" spans="2:9">
      <c r="B934" s="59" t="s">
        <v>849</v>
      </c>
      <c r="C934" s="192" t="s">
        <v>404</v>
      </c>
      <c r="D934" s="59" t="s">
        <v>752</v>
      </c>
      <c r="E934" s="483">
        <v>3150</v>
      </c>
      <c r="F934" s="370">
        <v>218</v>
      </c>
      <c r="G934" s="371">
        <f>E934*F934</f>
        <v>686700</v>
      </c>
      <c r="I934" s="489"/>
    </row>
    <row r="935" s="322" customFormat="1" ht="18.75" customHeight="1" spans="2:9">
      <c r="B935" s="59"/>
      <c r="C935" s="26"/>
      <c r="D935" s="59"/>
      <c r="E935" s="483"/>
      <c r="F935" s="370">
        <v>0</v>
      </c>
      <c r="G935" s="371"/>
      <c r="I935" s="489"/>
    </row>
    <row r="936" s="322" customFormat="1" ht="38.25" customHeight="1" spans="2:9">
      <c r="B936" s="67" t="s">
        <v>850</v>
      </c>
      <c r="C936" s="31" t="s">
        <v>777</v>
      </c>
      <c r="D936" s="67" t="s">
        <v>752</v>
      </c>
      <c r="E936" s="486">
        <v>9483</v>
      </c>
      <c r="F936" s="375">
        <v>218</v>
      </c>
      <c r="G936" s="376">
        <f>E936*F936</f>
        <v>2067294</v>
      </c>
      <c r="I936" s="489"/>
    </row>
    <row r="937" s="322" customFormat="1" ht="18.75" customHeight="1" spans="2:9">
      <c r="B937" s="59"/>
      <c r="C937" s="26"/>
      <c r="D937" s="59"/>
      <c r="E937" s="483"/>
      <c r="F937" s="370">
        <v>0</v>
      </c>
      <c r="G937" s="371"/>
      <c r="I937" s="489"/>
    </row>
    <row r="938" s="322" customFormat="1" ht="18.75" customHeight="1" spans="2:9">
      <c r="B938" s="59" t="s">
        <v>851</v>
      </c>
      <c r="C938" s="26" t="s">
        <v>408</v>
      </c>
      <c r="D938" s="59" t="s">
        <v>752</v>
      </c>
      <c r="E938" s="483">
        <v>40579</v>
      </c>
      <c r="F938" s="370">
        <v>218</v>
      </c>
      <c r="G938" s="371">
        <f>E938*F938</f>
        <v>8846222</v>
      </c>
      <c r="I938" s="489"/>
    </row>
    <row r="939" s="322" customFormat="1" ht="18.75" customHeight="1" spans="2:9">
      <c r="B939" s="59"/>
      <c r="C939" s="26"/>
      <c r="D939" s="59"/>
      <c r="E939" s="483"/>
      <c r="F939" s="370">
        <v>0</v>
      </c>
      <c r="G939" s="371"/>
      <c r="I939" s="489"/>
    </row>
    <row r="940" s="322" customFormat="1" ht="18.75" customHeight="1" spans="2:9">
      <c r="B940" s="59" t="s">
        <v>852</v>
      </c>
      <c r="C940" s="26" t="s">
        <v>410</v>
      </c>
      <c r="D940" s="59" t="s">
        <v>752</v>
      </c>
      <c r="E940" s="483">
        <v>4830</v>
      </c>
      <c r="F940" s="370">
        <v>218</v>
      </c>
      <c r="G940" s="371">
        <f>E940*F940</f>
        <v>1052940</v>
      </c>
      <c r="I940" s="489"/>
    </row>
    <row r="941" s="322" customFormat="1" ht="18.75" customHeight="1" spans="2:9">
      <c r="B941" s="59"/>
      <c r="C941" s="26"/>
      <c r="D941" s="59"/>
      <c r="E941" s="483"/>
      <c r="F941" s="370">
        <v>0</v>
      </c>
      <c r="G941" s="371"/>
      <c r="I941" s="489"/>
    </row>
    <row r="942" s="322" customFormat="1" ht="18.75" customHeight="1" spans="2:9">
      <c r="B942" s="59" t="s">
        <v>853</v>
      </c>
      <c r="C942" s="26" t="s">
        <v>412</v>
      </c>
      <c r="D942" s="59" t="s">
        <v>752</v>
      </c>
      <c r="E942" s="483">
        <v>13184</v>
      </c>
      <c r="F942" s="370">
        <v>218</v>
      </c>
      <c r="G942" s="371">
        <f>E942*F942</f>
        <v>2874112</v>
      </c>
      <c r="I942" s="489"/>
    </row>
    <row r="943" s="322" customFormat="1" ht="18.75" customHeight="1" spans="2:9">
      <c r="B943" s="59"/>
      <c r="C943" s="26"/>
      <c r="D943" s="59"/>
      <c r="E943" s="483"/>
      <c r="F943" s="370">
        <v>0</v>
      </c>
      <c r="G943" s="371"/>
      <c r="I943" s="489"/>
    </row>
    <row r="944" s="322" customFormat="1" ht="31.5" customHeight="1" spans="2:9">
      <c r="B944" s="59" t="s">
        <v>854</v>
      </c>
      <c r="C944" s="252" t="s">
        <v>418</v>
      </c>
      <c r="D944" s="59" t="s">
        <v>752</v>
      </c>
      <c r="E944" s="483">
        <v>1260</v>
      </c>
      <c r="F944" s="370">
        <v>218</v>
      </c>
      <c r="G944" s="371">
        <f>E944*F944</f>
        <v>274680</v>
      </c>
      <c r="I944" s="489"/>
    </row>
    <row r="945" s="322" customFormat="1" ht="18.75" customHeight="1" spans="2:9">
      <c r="B945" s="59"/>
      <c r="C945" s="26"/>
      <c r="D945" s="59"/>
      <c r="E945" s="483"/>
      <c r="F945" s="370">
        <v>0</v>
      </c>
      <c r="G945" s="371"/>
      <c r="I945" s="489"/>
    </row>
    <row r="946" s="322" customFormat="1" ht="18.75" customHeight="1" spans="2:9">
      <c r="B946" s="59" t="s">
        <v>855</v>
      </c>
      <c r="C946" s="26" t="s">
        <v>424</v>
      </c>
      <c r="D946" s="59" t="s">
        <v>752</v>
      </c>
      <c r="E946" s="483">
        <v>420</v>
      </c>
      <c r="F946" s="370">
        <v>218</v>
      </c>
      <c r="G946" s="371">
        <f>E946*F946</f>
        <v>91560</v>
      </c>
      <c r="I946" s="489"/>
    </row>
    <row r="947" s="322" customFormat="1" ht="18.75" customHeight="1" spans="2:9">
      <c r="B947" s="59"/>
      <c r="C947" s="252"/>
      <c r="D947" s="59"/>
      <c r="E947" s="483"/>
      <c r="F947" s="370">
        <v>0</v>
      </c>
      <c r="G947" s="371"/>
      <c r="I947" s="489"/>
    </row>
    <row r="948" s="322" customFormat="1" ht="18.75" customHeight="1" spans="2:9">
      <c r="B948" s="59" t="s">
        <v>856</v>
      </c>
      <c r="C948" s="77" t="s">
        <v>529</v>
      </c>
      <c r="D948" s="59"/>
      <c r="E948" s="483"/>
      <c r="F948" s="370">
        <v>0</v>
      </c>
      <c r="G948" s="371"/>
      <c r="I948" s="489"/>
    </row>
    <row r="949" s="322" customFormat="1" ht="18.75" customHeight="1" spans="2:9">
      <c r="B949" s="59"/>
      <c r="C949" s="252"/>
      <c r="D949" s="59"/>
      <c r="E949" s="483"/>
      <c r="F949" s="370">
        <v>0</v>
      </c>
      <c r="G949" s="371"/>
      <c r="I949" s="489"/>
    </row>
    <row r="950" s="322" customFormat="1" ht="18.75" customHeight="1" spans="2:9">
      <c r="B950" s="59" t="s">
        <v>857</v>
      </c>
      <c r="C950" s="192" t="s">
        <v>457</v>
      </c>
      <c r="D950" s="59" t="s">
        <v>752</v>
      </c>
      <c r="E950" s="483">
        <v>11298</v>
      </c>
      <c r="F950" s="370">
        <v>222</v>
      </c>
      <c r="G950" s="371">
        <f>E950*F950</f>
        <v>2508156</v>
      </c>
      <c r="I950" s="489"/>
    </row>
    <row r="951" s="322" customFormat="1" ht="18.75" customHeight="1" spans="2:9">
      <c r="B951" s="59"/>
      <c r="C951" s="26"/>
      <c r="D951" s="59"/>
      <c r="E951" s="483"/>
      <c r="F951" s="370">
        <v>0</v>
      </c>
      <c r="G951" s="371"/>
      <c r="I951" s="489"/>
    </row>
    <row r="952" s="322" customFormat="1" ht="18.75" customHeight="1" spans="2:9">
      <c r="B952" s="59" t="s">
        <v>858</v>
      </c>
      <c r="C952" s="192" t="s">
        <v>404</v>
      </c>
      <c r="D952" s="59" t="s">
        <v>752</v>
      </c>
      <c r="E952" s="483">
        <v>3150</v>
      </c>
      <c r="F952" s="370">
        <v>222</v>
      </c>
      <c r="G952" s="371">
        <f>E952*F952</f>
        <v>699300</v>
      </c>
      <c r="I952" s="489"/>
    </row>
    <row r="953" s="322" customFormat="1" ht="18.75" customHeight="1" spans="2:9">
      <c r="B953" s="59"/>
      <c r="C953" s="26"/>
      <c r="D953" s="59"/>
      <c r="E953" s="483"/>
      <c r="F953" s="370">
        <v>0</v>
      </c>
      <c r="G953" s="371"/>
      <c r="I953" s="489"/>
    </row>
    <row r="954" s="322" customFormat="1" ht="33.75" customHeight="1" spans="2:9">
      <c r="B954" s="59" t="s">
        <v>859</v>
      </c>
      <c r="C954" s="26" t="s">
        <v>777</v>
      </c>
      <c r="D954" s="59" t="s">
        <v>752</v>
      </c>
      <c r="E954" s="483">
        <v>9483</v>
      </c>
      <c r="F954" s="370">
        <v>222</v>
      </c>
      <c r="G954" s="371">
        <f>E954*F954</f>
        <v>2105226</v>
      </c>
      <c r="I954" s="489"/>
    </row>
    <row r="955" s="322" customFormat="1" ht="18.75" customHeight="1" spans="2:9">
      <c r="B955" s="59"/>
      <c r="C955" s="26"/>
      <c r="D955" s="59"/>
      <c r="E955" s="483"/>
      <c r="F955" s="370">
        <v>0</v>
      </c>
      <c r="G955" s="371"/>
      <c r="I955" s="489"/>
    </row>
    <row r="956" s="322" customFormat="1" ht="18.75" customHeight="1" spans="2:9">
      <c r="B956" s="59" t="s">
        <v>860</v>
      </c>
      <c r="C956" s="26" t="s">
        <v>408</v>
      </c>
      <c r="D956" s="59" t="s">
        <v>752</v>
      </c>
      <c r="E956" s="483">
        <v>11067</v>
      </c>
      <c r="F956" s="370">
        <v>222</v>
      </c>
      <c r="G956" s="371">
        <f>E956*F956</f>
        <v>2456874</v>
      </c>
      <c r="I956" s="489"/>
    </row>
    <row r="957" s="322" customFormat="1" ht="18.75" customHeight="1" spans="2:9">
      <c r="B957" s="59"/>
      <c r="C957" s="26"/>
      <c r="D957" s="59"/>
      <c r="E957" s="483"/>
      <c r="F957" s="370">
        <v>0</v>
      </c>
      <c r="G957" s="371"/>
      <c r="I957" s="489"/>
    </row>
    <row r="958" s="322" customFormat="1" ht="18.75" customHeight="1" spans="2:9">
      <c r="B958" s="59" t="s">
        <v>861</v>
      </c>
      <c r="C958" s="26" t="s">
        <v>410</v>
      </c>
      <c r="D958" s="59" t="s">
        <v>752</v>
      </c>
      <c r="E958" s="483">
        <v>4830</v>
      </c>
      <c r="F958" s="370">
        <v>222</v>
      </c>
      <c r="G958" s="371">
        <f>E958*F958</f>
        <v>1072260</v>
      </c>
      <c r="I958" s="489"/>
    </row>
    <row r="959" s="322" customFormat="1" ht="18.75" customHeight="1" spans="2:9">
      <c r="B959" s="59"/>
      <c r="C959" s="26"/>
      <c r="D959" s="59"/>
      <c r="E959" s="483"/>
      <c r="F959" s="370">
        <v>0</v>
      </c>
      <c r="G959" s="371"/>
      <c r="I959" s="489"/>
    </row>
    <row r="960" s="322" customFormat="1" ht="18.75" customHeight="1" spans="2:9">
      <c r="B960" s="59" t="s">
        <v>862</v>
      </c>
      <c r="C960" s="26" t="s">
        <v>412</v>
      </c>
      <c r="D960" s="59" t="s">
        <v>752</v>
      </c>
      <c r="E960" s="483">
        <v>1854</v>
      </c>
      <c r="F960" s="370">
        <v>222</v>
      </c>
      <c r="G960" s="371">
        <f>E960*F960</f>
        <v>411588</v>
      </c>
      <c r="I960" s="489"/>
    </row>
    <row r="961" s="322" customFormat="1" ht="18.75" customHeight="1" spans="2:9">
      <c r="B961" s="59"/>
      <c r="C961" s="26"/>
      <c r="D961" s="59"/>
      <c r="E961" s="483"/>
      <c r="F961" s="370">
        <v>0</v>
      </c>
      <c r="G961" s="371"/>
      <c r="I961" s="489"/>
    </row>
    <row r="962" s="322" customFormat="1" ht="18.75" customHeight="1" spans="2:9">
      <c r="B962" s="59" t="s">
        <v>863</v>
      </c>
      <c r="C962" s="26" t="s">
        <v>424</v>
      </c>
      <c r="D962" s="59" t="s">
        <v>752</v>
      </c>
      <c r="E962" s="483">
        <v>420</v>
      </c>
      <c r="F962" s="370">
        <v>222</v>
      </c>
      <c r="G962" s="371">
        <f>E962*F962</f>
        <v>93240</v>
      </c>
      <c r="I962" s="489"/>
    </row>
    <row r="963" s="322" customFormat="1" ht="18.75" customHeight="1" spans="2:9">
      <c r="B963" s="59"/>
      <c r="C963" s="26"/>
      <c r="D963" s="59"/>
      <c r="E963" s="483"/>
      <c r="F963" s="370">
        <v>0</v>
      </c>
      <c r="G963" s="371"/>
      <c r="I963" s="489"/>
    </row>
    <row r="964" s="322" customFormat="1" ht="18.75" customHeight="1" spans="2:9">
      <c r="B964" s="59" t="s">
        <v>864</v>
      </c>
      <c r="C964" s="77" t="s">
        <v>540</v>
      </c>
      <c r="D964" s="59"/>
      <c r="E964" s="483"/>
      <c r="F964" s="370">
        <v>0</v>
      </c>
      <c r="G964" s="371"/>
      <c r="I964" s="489"/>
    </row>
    <row r="965" s="322" customFormat="1" ht="18.75" customHeight="1" spans="2:9">
      <c r="B965" s="59"/>
      <c r="C965" s="252"/>
      <c r="D965" s="59"/>
      <c r="E965" s="483"/>
      <c r="F965" s="370">
        <v>0</v>
      </c>
      <c r="G965" s="371"/>
      <c r="I965" s="489"/>
    </row>
    <row r="966" s="322" customFormat="1" ht="18.75" customHeight="1" spans="2:9">
      <c r="B966" s="59" t="s">
        <v>865</v>
      </c>
      <c r="C966" s="192" t="s">
        <v>457</v>
      </c>
      <c r="D966" s="59" t="s">
        <v>752</v>
      </c>
      <c r="E966" s="483">
        <v>11298</v>
      </c>
      <c r="F966" s="370">
        <v>226</v>
      </c>
      <c r="G966" s="371">
        <f>E966*F966</f>
        <v>2553348</v>
      </c>
      <c r="I966" s="489"/>
    </row>
    <row r="967" s="322" customFormat="1" ht="18.75" customHeight="1" spans="2:9">
      <c r="B967" s="59"/>
      <c r="C967" s="26"/>
      <c r="D967" s="59"/>
      <c r="E967" s="483"/>
      <c r="F967" s="370">
        <v>0</v>
      </c>
      <c r="G967" s="371"/>
      <c r="I967" s="489"/>
    </row>
    <row r="968" s="322" customFormat="1" ht="18.75" customHeight="1" spans="2:9">
      <c r="B968" s="59" t="s">
        <v>866</v>
      </c>
      <c r="C968" s="192" t="s">
        <v>404</v>
      </c>
      <c r="D968" s="59" t="s">
        <v>752</v>
      </c>
      <c r="E968" s="483">
        <v>3150</v>
      </c>
      <c r="F968" s="370">
        <v>226</v>
      </c>
      <c r="G968" s="371">
        <f>E968*F968</f>
        <v>711900</v>
      </c>
      <c r="I968" s="489"/>
    </row>
    <row r="969" s="322" customFormat="1" ht="18.75" customHeight="1" spans="2:9">
      <c r="B969" s="59"/>
      <c r="C969" s="26"/>
      <c r="D969" s="59"/>
      <c r="E969" s="483"/>
      <c r="F969" s="370">
        <v>0</v>
      </c>
      <c r="G969" s="371"/>
      <c r="I969" s="489"/>
    </row>
    <row r="970" s="322" customFormat="1" ht="32.25" customHeight="1" spans="2:9">
      <c r="B970" s="59" t="s">
        <v>867</v>
      </c>
      <c r="C970" s="26" t="s">
        <v>777</v>
      </c>
      <c r="D970" s="59" t="s">
        <v>752</v>
      </c>
      <c r="E970" s="483">
        <v>9483</v>
      </c>
      <c r="F970" s="370">
        <v>226</v>
      </c>
      <c r="G970" s="371">
        <f>E970*F970</f>
        <v>2143158</v>
      </c>
      <c r="I970" s="489"/>
    </row>
    <row r="971" s="322" customFormat="1" ht="19.5" customHeight="1" spans="2:9">
      <c r="B971" s="59"/>
      <c r="C971" s="26"/>
      <c r="D971" s="59"/>
      <c r="E971" s="483"/>
      <c r="F971" s="370">
        <v>0</v>
      </c>
      <c r="G971" s="371"/>
      <c r="I971" s="489"/>
    </row>
    <row r="972" s="322" customFormat="1" ht="19.5" customHeight="1" spans="2:9">
      <c r="B972" s="59" t="s">
        <v>868</v>
      </c>
      <c r="C972" s="26" t="s">
        <v>408</v>
      </c>
      <c r="D972" s="59" t="s">
        <v>752</v>
      </c>
      <c r="E972" s="483">
        <v>11067</v>
      </c>
      <c r="F972" s="370">
        <v>226</v>
      </c>
      <c r="G972" s="371">
        <f>E972*F972</f>
        <v>2501142</v>
      </c>
      <c r="I972" s="489"/>
    </row>
    <row r="973" s="322" customFormat="1" ht="19.5" customHeight="1" spans="2:9">
      <c r="B973" s="59"/>
      <c r="C973" s="26"/>
      <c r="D973" s="59"/>
      <c r="E973" s="483"/>
      <c r="F973" s="370">
        <v>0</v>
      </c>
      <c r="G973" s="371"/>
      <c r="I973" s="489"/>
    </row>
    <row r="974" s="322" customFormat="1" ht="19.5" customHeight="1" spans="2:9">
      <c r="B974" s="59" t="s">
        <v>869</v>
      </c>
      <c r="C974" s="26" t="s">
        <v>410</v>
      </c>
      <c r="D974" s="59" t="s">
        <v>752</v>
      </c>
      <c r="E974" s="483">
        <v>4830</v>
      </c>
      <c r="F974" s="370">
        <v>226</v>
      </c>
      <c r="G974" s="371">
        <f>E974*F974</f>
        <v>1091580</v>
      </c>
      <c r="I974" s="489"/>
    </row>
    <row r="975" s="322" customFormat="1" ht="19.5" customHeight="1" spans="2:9">
      <c r="B975" s="59"/>
      <c r="C975" s="26"/>
      <c r="D975" s="59"/>
      <c r="E975" s="483"/>
      <c r="F975" s="370">
        <v>0</v>
      </c>
      <c r="G975" s="371"/>
      <c r="I975" s="489"/>
    </row>
    <row r="976" s="322" customFormat="1" ht="19.5" customHeight="1" spans="2:9">
      <c r="B976" s="59" t="s">
        <v>870</v>
      </c>
      <c r="C976" s="26" t="s">
        <v>412</v>
      </c>
      <c r="D976" s="59" t="s">
        <v>752</v>
      </c>
      <c r="E976" s="483">
        <v>2060</v>
      </c>
      <c r="F976" s="370">
        <v>226</v>
      </c>
      <c r="G976" s="371">
        <f>E976*F976</f>
        <v>465560</v>
      </c>
      <c r="I976" s="489"/>
    </row>
    <row r="977" s="322" customFormat="1" ht="19.5" customHeight="1" spans="2:9">
      <c r="B977" s="59"/>
      <c r="C977" s="26"/>
      <c r="D977" s="59"/>
      <c r="E977" s="483"/>
      <c r="F977" s="370">
        <v>0</v>
      </c>
      <c r="G977" s="371"/>
      <c r="I977" s="489"/>
    </row>
    <row r="978" s="322" customFormat="1" ht="27.75" customHeight="1" spans="2:9">
      <c r="B978" s="67" t="s">
        <v>871</v>
      </c>
      <c r="C978" s="31" t="s">
        <v>424</v>
      </c>
      <c r="D978" s="67" t="s">
        <v>752</v>
      </c>
      <c r="E978" s="486">
        <v>220</v>
      </c>
      <c r="F978" s="375">
        <v>226</v>
      </c>
      <c r="G978" s="376">
        <f>E978*F978</f>
        <v>49720</v>
      </c>
      <c r="I978" s="489"/>
    </row>
    <row r="979" s="322" customFormat="1" ht="19.5" customHeight="1" spans="2:9">
      <c r="B979" s="59"/>
      <c r="C979" s="26"/>
      <c r="D979" s="59"/>
      <c r="E979" s="483"/>
      <c r="F979" s="370">
        <v>0</v>
      </c>
      <c r="G979" s="371"/>
      <c r="I979" s="489"/>
    </row>
    <row r="980" s="322" customFormat="1" ht="19.5" customHeight="1" spans="2:9">
      <c r="B980" s="59" t="s">
        <v>872</v>
      </c>
      <c r="C980" s="77" t="s">
        <v>552</v>
      </c>
      <c r="D980" s="59"/>
      <c r="E980" s="483"/>
      <c r="F980" s="370">
        <v>0</v>
      </c>
      <c r="G980" s="371"/>
      <c r="I980" s="489"/>
    </row>
    <row r="981" s="322" customFormat="1" ht="19.5" customHeight="1" spans="2:9">
      <c r="B981" s="59"/>
      <c r="C981" s="26"/>
      <c r="D981" s="59"/>
      <c r="E981" s="483"/>
      <c r="F981" s="370">
        <v>0</v>
      </c>
      <c r="G981" s="371"/>
      <c r="I981" s="489"/>
    </row>
    <row r="982" s="322" customFormat="1" ht="19.5" customHeight="1" spans="2:9">
      <c r="B982" s="59" t="s">
        <v>873</v>
      </c>
      <c r="C982" s="26" t="s">
        <v>554</v>
      </c>
      <c r="D982" s="59" t="s">
        <v>752</v>
      </c>
      <c r="E982" s="483">
        <v>13585</v>
      </c>
      <c r="F982" s="370">
        <v>230</v>
      </c>
      <c r="G982" s="371">
        <f>E982*F982</f>
        <v>3124550</v>
      </c>
      <c r="I982" s="489"/>
    </row>
    <row r="983" s="322" customFormat="1" ht="19.5" customHeight="1" spans="2:9">
      <c r="B983" s="59"/>
      <c r="C983" s="26"/>
      <c r="D983" s="59"/>
      <c r="E983" s="483"/>
      <c r="F983" s="370">
        <v>0</v>
      </c>
      <c r="G983" s="371"/>
      <c r="I983" s="489"/>
    </row>
    <row r="984" s="322" customFormat="1" ht="19.5" customHeight="1" spans="2:9">
      <c r="B984" s="59" t="s">
        <v>874</v>
      </c>
      <c r="C984" s="26" t="s">
        <v>556</v>
      </c>
      <c r="D984" s="59" t="s">
        <v>752</v>
      </c>
      <c r="E984" s="483">
        <v>11706</v>
      </c>
      <c r="F984" s="370">
        <v>230</v>
      </c>
      <c r="G984" s="371">
        <f>E984*F984</f>
        <v>2692380</v>
      </c>
      <c r="I984" s="489"/>
    </row>
    <row r="985" s="322" customFormat="1" ht="19.5" customHeight="1" spans="2:9">
      <c r="B985" s="59"/>
      <c r="C985" s="26"/>
      <c r="D985" s="59"/>
      <c r="E985" s="483"/>
      <c r="F985" s="370">
        <v>0</v>
      </c>
      <c r="G985" s="371"/>
      <c r="I985" s="489"/>
    </row>
    <row r="986" s="322" customFormat="1" ht="30.75" customHeight="1" spans="2:9">
      <c r="B986" s="59" t="s">
        <v>875</v>
      </c>
      <c r="C986" s="252" t="s">
        <v>418</v>
      </c>
      <c r="D986" s="59" t="s">
        <v>752</v>
      </c>
      <c r="E986" s="483">
        <v>798</v>
      </c>
      <c r="F986" s="370">
        <v>230</v>
      </c>
      <c r="G986" s="371">
        <f>E986*F986</f>
        <v>183540</v>
      </c>
      <c r="I986" s="489"/>
    </row>
    <row r="987" s="322" customFormat="1" ht="18.75" customHeight="1" spans="2:9">
      <c r="B987" s="59"/>
      <c r="C987" s="252"/>
      <c r="D987" s="59"/>
      <c r="E987" s="483"/>
      <c r="F987" s="370">
        <v>0</v>
      </c>
      <c r="G987" s="371"/>
      <c r="I987" s="489"/>
    </row>
    <row r="988" s="322" customFormat="1" ht="18.75" customHeight="1" spans="2:9">
      <c r="B988" s="59" t="s">
        <v>876</v>
      </c>
      <c r="C988" s="26" t="s">
        <v>424</v>
      </c>
      <c r="D988" s="59" t="s">
        <v>752</v>
      </c>
      <c r="E988" s="483">
        <v>180</v>
      </c>
      <c r="F988" s="370">
        <v>230</v>
      </c>
      <c r="G988" s="371">
        <f>E988*F988</f>
        <v>41400</v>
      </c>
      <c r="I988" s="489"/>
    </row>
    <row r="989" s="322" customFormat="1" ht="18.75" customHeight="1" spans="2:9">
      <c r="B989" s="59"/>
      <c r="C989" s="252"/>
      <c r="D989" s="59"/>
      <c r="E989" s="483"/>
      <c r="F989" s="370">
        <v>0</v>
      </c>
      <c r="G989" s="371"/>
      <c r="I989" s="489"/>
    </row>
    <row r="990" s="322" customFormat="1" ht="18.75" customHeight="1" spans="2:9">
      <c r="B990" s="59"/>
      <c r="C990" s="510" t="s">
        <v>877</v>
      </c>
      <c r="D990" s="59"/>
      <c r="E990" s="483"/>
      <c r="F990" s="370">
        <v>0</v>
      </c>
      <c r="G990" s="371"/>
      <c r="I990" s="489"/>
    </row>
    <row r="991" s="322" customFormat="1" ht="18.75" customHeight="1" spans="2:9">
      <c r="B991" s="59" t="s">
        <v>878</v>
      </c>
      <c r="C991" s="192" t="s">
        <v>457</v>
      </c>
      <c r="D991" s="59" t="s">
        <v>752</v>
      </c>
      <c r="E991" s="483">
        <v>851</v>
      </c>
      <c r="F991" s="370">
        <v>233</v>
      </c>
      <c r="G991" s="371">
        <f>E991*F991</f>
        <v>198283</v>
      </c>
      <c r="I991" s="489"/>
    </row>
    <row r="992" s="322" customFormat="1" ht="18.75" customHeight="1" spans="2:9">
      <c r="B992" s="59"/>
      <c r="C992" s="26"/>
      <c r="D992" s="59"/>
      <c r="E992" s="483"/>
      <c r="F992" s="370">
        <v>0</v>
      </c>
      <c r="G992" s="371"/>
      <c r="I992" s="489"/>
    </row>
    <row r="993" s="322" customFormat="1" ht="18.75" customHeight="1" spans="2:9">
      <c r="B993" s="59" t="s">
        <v>879</v>
      </c>
      <c r="C993" s="26" t="s">
        <v>561</v>
      </c>
      <c r="D993" s="59" t="s">
        <v>752</v>
      </c>
      <c r="E993" s="483">
        <v>1522</v>
      </c>
      <c r="F993" s="370">
        <v>233</v>
      </c>
      <c r="G993" s="371">
        <f>E993*F993</f>
        <v>354626</v>
      </c>
      <c r="I993" s="489"/>
    </row>
    <row r="994" s="322" customFormat="1" ht="18.75" customHeight="1" spans="2:9">
      <c r="B994" s="59"/>
      <c r="C994" s="26"/>
      <c r="D994" s="59"/>
      <c r="E994" s="483"/>
      <c r="F994" s="370">
        <v>0</v>
      </c>
      <c r="G994" s="371"/>
      <c r="I994" s="489"/>
    </row>
    <row r="995" s="322" customFormat="1" ht="18.75" customHeight="1" spans="2:9">
      <c r="B995" s="59" t="s">
        <v>880</v>
      </c>
      <c r="C995" s="26" t="s">
        <v>410</v>
      </c>
      <c r="D995" s="59" t="s">
        <v>752</v>
      </c>
      <c r="E995" s="483">
        <v>3554</v>
      </c>
      <c r="F995" s="370">
        <v>233</v>
      </c>
      <c r="G995" s="371">
        <f>E995*F995</f>
        <v>828082</v>
      </c>
      <c r="I995" s="489"/>
    </row>
    <row r="996" s="322" customFormat="1" ht="18.75" customHeight="1" spans="2:9">
      <c r="B996" s="59"/>
      <c r="C996" s="26"/>
      <c r="D996" s="59"/>
      <c r="E996" s="483"/>
      <c r="F996" s="370">
        <v>0</v>
      </c>
      <c r="G996" s="371"/>
      <c r="I996" s="489"/>
    </row>
    <row r="997" s="322" customFormat="1" ht="30" customHeight="1" spans="2:9">
      <c r="B997" s="59" t="s">
        <v>881</v>
      </c>
      <c r="C997" s="26" t="s">
        <v>882</v>
      </c>
      <c r="D997" s="59" t="s">
        <v>752</v>
      </c>
      <c r="E997" s="483">
        <v>2717</v>
      </c>
      <c r="F997" s="370">
        <v>233</v>
      </c>
      <c r="G997" s="371">
        <f>E997*F997</f>
        <v>633061</v>
      </c>
      <c r="I997" s="489"/>
    </row>
    <row r="998" s="322" customFormat="1" ht="18.75" customHeight="1" spans="2:9">
      <c r="B998" s="59"/>
      <c r="C998" s="26"/>
      <c r="D998" s="59"/>
      <c r="E998" s="483"/>
      <c r="F998" s="370">
        <v>0</v>
      </c>
      <c r="G998" s="371"/>
      <c r="I998" s="489"/>
    </row>
    <row r="999" s="322" customFormat="1" ht="18.75" customHeight="1" spans="2:9">
      <c r="B999" s="59" t="s">
        <v>883</v>
      </c>
      <c r="C999" s="26" t="s">
        <v>424</v>
      </c>
      <c r="D999" s="59" t="s">
        <v>752</v>
      </c>
      <c r="E999" s="483">
        <v>180</v>
      </c>
      <c r="F999" s="370">
        <v>233</v>
      </c>
      <c r="G999" s="371">
        <f>E999*F999</f>
        <v>41940</v>
      </c>
      <c r="I999" s="489"/>
    </row>
    <row r="1000" s="322" customFormat="1" ht="18.75" customHeight="1" spans="2:9">
      <c r="B1000" s="59"/>
      <c r="C1000" s="26"/>
      <c r="D1000" s="59"/>
      <c r="E1000" s="483"/>
      <c r="F1000" s="370">
        <v>0</v>
      </c>
      <c r="G1000" s="371"/>
      <c r="I1000" s="489"/>
    </row>
    <row r="1001" s="322" customFormat="1" ht="18.75" customHeight="1" spans="2:9">
      <c r="B1001" s="59"/>
      <c r="C1001" s="77" t="s">
        <v>567</v>
      </c>
      <c r="D1001" s="59"/>
      <c r="E1001" s="483"/>
      <c r="F1001" s="370">
        <v>0</v>
      </c>
      <c r="G1001" s="371"/>
      <c r="I1001" s="489"/>
    </row>
    <row r="1002" s="322" customFormat="1" ht="18.75" customHeight="1" spans="2:9">
      <c r="B1002" s="59" t="s">
        <v>884</v>
      </c>
      <c r="C1002" s="192" t="s">
        <v>569</v>
      </c>
      <c r="D1002" s="59" t="s">
        <v>752</v>
      </c>
      <c r="E1002" s="483">
        <v>1294</v>
      </c>
      <c r="F1002" s="370">
        <v>233</v>
      </c>
      <c r="G1002" s="371">
        <f>E1002*F1002</f>
        <v>301502</v>
      </c>
      <c r="I1002" s="489"/>
    </row>
    <row r="1003" s="322" customFormat="1" ht="18.75" customHeight="1" spans="2:9">
      <c r="B1003" s="59"/>
      <c r="C1003" s="192"/>
      <c r="D1003" s="59"/>
      <c r="E1003" s="483"/>
      <c r="F1003" s="370">
        <v>0</v>
      </c>
      <c r="G1003" s="371"/>
      <c r="I1003" s="489"/>
    </row>
    <row r="1004" s="322" customFormat="1" ht="18.75" customHeight="1" spans="2:9">
      <c r="B1004" s="59" t="s">
        <v>885</v>
      </c>
      <c r="C1004" s="192" t="s">
        <v>289</v>
      </c>
      <c r="D1004" s="59" t="s">
        <v>752</v>
      </c>
      <c r="E1004" s="483">
        <v>3218</v>
      </c>
      <c r="F1004" s="370">
        <v>233</v>
      </c>
      <c r="G1004" s="371">
        <f>E1004*F1004</f>
        <v>749794</v>
      </c>
      <c r="I1004" s="489" t="s">
        <v>886</v>
      </c>
    </row>
    <row r="1005" s="322" customFormat="1" ht="18.75" customHeight="1" spans="2:9">
      <c r="B1005" s="59"/>
      <c r="C1005" s="192"/>
      <c r="D1005" s="59"/>
      <c r="E1005" s="483"/>
      <c r="F1005" s="370">
        <v>0</v>
      </c>
      <c r="G1005" s="371"/>
      <c r="I1005" s="489"/>
    </row>
    <row r="1006" s="322" customFormat="1" ht="18.75" customHeight="1" spans="2:9">
      <c r="B1006" s="59" t="s">
        <v>887</v>
      </c>
      <c r="C1006" s="192" t="s">
        <v>291</v>
      </c>
      <c r="D1006" s="59" t="s">
        <v>752</v>
      </c>
      <c r="E1006" s="483">
        <v>1551</v>
      </c>
      <c r="F1006" s="370">
        <v>233</v>
      </c>
      <c r="G1006" s="371">
        <f>E1006*F1006</f>
        <v>361383</v>
      </c>
      <c r="I1006" s="489"/>
    </row>
    <row r="1007" s="322" customFormat="1" ht="18.75" customHeight="1" spans="2:9">
      <c r="B1007" s="59"/>
      <c r="C1007" s="192"/>
      <c r="D1007" s="59"/>
      <c r="E1007" s="483"/>
      <c r="F1007" s="370">
        <v>0</v>
      </c>
      <c r="G1007" s="371"/>
      <c r="I1007" s="489"/>
    </row>
    <row r="1008" s="322" customFormat="1" ht="18.75" customHeight="1" spans="2:9">
      <c r="B1008" s="59" t="s">
        <v>888</v>
      </c>
      <c r="C1008" s="192" t="s">
        <v>293</v>
      </c>
      <c r="D1008" s="59" t="s">
        <v>752</v>
      </c>
      <c r="E1008" s="483">
        <v>207</v>
      </c>
      <c r="F1008" s="370">
        <v>233</v>
      </c>
      <c r="G1008" s="371">
        <f>E1008*F1008</f>
        <v>48231</v>
      </c>
      <c r="I1008" s="489"/>
    </row>
    <row r="1009" s="322" customFormat="1" ht="18.75" customHeight="1" spans="2:9">
      <c r="B1009" s="59"/>
      <c r="C1009" s="26"/>
      <c r="D1009" s="59"/>
      <c r="E1009" s="483"/>
      <c r="F1009" s="370">
        <v>0</v>
      </c>
      <c r="G1009" s="371"/>
      <c r="I1009" s="489"/>
    </row>
    <row r="1010" s="322" customFormat="1" ht="71.25" customHeight="1" spans="2:9">
      <c r="B1010" s="59" t="s">
        <v>889</v>
      </c>
      <c r="C1010" s="80" t="s">
        <v>890</v>
      </c>
      <c r="D1010" s="59"/>
      <c r="E1010" s="483"/>
      <c r="F1010" s="371">
        <v>0</v>
      </c>
      <c r="G1010" s="371"/>
      <c r="I1010" s="489"/>
    </row>
    <row r="1011" s="322" customFormat="1" spans="2:9">
      <c r="B1011" s="59"/>
      <c r="C1011" s="26"/>
      <c r="D1011" s="59"/>
      <c r="E1011" s="483"/>
      <c r="F1011" s="371">
        <v>0</v>
      </c>
      <c r="G1011" s="371"/>
      <c r="I1011" s="489"/>
    </row>
    <row r="1012" s="322" customFormat="1" ht="30.75" customHeight="1" spans="2:9">
      <c r="B1012" s="59" t="s">
        <v>891</v>
      </c>
      <c r="C1012" s="26" t="s">
        <v>892</v>
      </c>
      <c r="D1012" s="59" t="s">
        <v>752</v>
      </c>
      <c r="E1012" s="483">
        <v>100</v>
      </c>
      <c r="F1012" s="370">
        <v>203</v>
      </c>
      <c r="G1012" s="371">
        <f>E1012*F1012</f>
        <v>20300</v>
      </c>
      <c r="I1012" s="489"/>
    </row>
    <row r="1013" s="322" customFormat="1" spans="2:9">
      <c r="B1013" s="59"/>
      <c r="C1013" s="26"/>
      <c r="D1013" s="59"/>
      <c r="E1013" s="483"/>
      <c r="F1013" s="371">
        <v>0</v>
      </c>
      <c r="G1013" s="371"/>
      <c r="I1013" s="489"/>
    </row>
    <row r="1014" s="322" customFormat="1" ht="33.75" customHeight="1" spans="2:9">
      <c r="B1014" s="511" t="s">
        <v>893</v>
      </c>
      <c r="C1014" s="512" t="s">
        <v>894</v>
      </c>
      <c r="D1014" s="511" t="s">
        <v>895</v>
      </c>
      <c r="E1014" s="513">
        <v>12000</v>
      </c>
      <c r="F1014" s="514">
        <v>565</v>
      </c>
      <c r="G1014" s="515">
        <f>E1014*F1014</f>
        <v>6780000</v>
      </c>
      <c r="H1014" s="167" t="s">
        <v>579</v>
      </c>
      <c r="I1014" s="489"/>
    </row>
    <row r="1015" s="471" customFormat="1" spans="2:9">
      <c r="B1015" s="59"/>
      <c r="C1015" s="26"/>
      <c r="D1015" s="516"/>
      <c r="E1015" s="517"/>
      <c r="F1015" s="362"/>
      <c r="G1015" s="362"/>
      <c r="I1015" s="529"/>
    </row>
    <row r="1016" ht="26.25" customHeight="1" spans="2:7">
      <c r="B1016" s="518"/>
      <c r="C1016" s="363" t="s">
        <v>896</v>
      </c>
      <c r="D1016" s="258"/>
      <c r="E1016" s="519"/>
      <c r="F1016" s="496"/>
      <c r="G1016" s="457">
        <f>SUM(G11:G1014)</f>
        <v>627880545.816</v>
      </c>
    </row>
    <row r="1017" ht="14.55" spans="2:7">
      <c r="B1017" s="520"/>
      <c r="C1017" s="521"/>
      <c r="D1017" s="522"/>
      <c r="E1017" s="523"/>
      <c r="F1017" s="368"/>
      <c r="G1017" s="368"/>
    </row>
    <row r="1018" spans="2:5">
      <c r="B1018" s="524"/>
      <c r="C1018" s="525"/>
      <c r="D1018" s="526"/>
      <c r="E1018" s="527"/>
    </row>
    <row r="1019" spans="2:5">
      <c r="B1019" s="524"/>
      <c r="C1019" s="525"/>
      <c r="D1019" s="526"/>
      <c r="E1019" s="527"/>
    </row>
    <row r="1020" spans="2:2">
      <c r="B1020" s="528"/>
    </row>
    <row r="1021" spans="2:2">
      <c r="B1021" s="528"/>
    </row>
    <row r="1022" spans="2:2">
      <c r="B1022" s="528"/>
    </row>
    <row r="1023" spans="2:2">
      <c r="B1023" s="528"/>
    </row>
    <row r="1024" spans="2:2">
      <c r="B1024" s="528"/>
    </row>
    <row r="1025" spans="2:2">
      <c r="B1025" s="528"/>
    </row>
    <row r="1026" spans="2:2">
      <c r="B1026" s="528"/>
    </row>
    <row r="1027" spans="2:2">
      <c r="B1027" s="528"/>
    </row>
    <row r="1028" spans="2:2">
      <c r="B1028" s="528"/>
    </row>
    <row r="1029" spans="2:2">
      <c r="B1029" s="528"/>
    </row>
    <row r="1030" spans="2:2">
      <c r="B1030" s="528"/>
    </row>
    <row r="1031" spans="2:2">
      <c r="B1031" s="528"/>
    </row>
    <row r="1032" spans="2:2">
      <c r="B1032" s="528"/>
    </row>
    <row r="1033" spans="2:2">
      <c r="B1033" s="528"/>
    </row>
    <row r="1034" spans="2:2">
      <c r="B1034" s="528"/>
    </row>
    <row r="1035" spans="2:2">
      <c r="B1035" s="528"/>
    </row>
  </sheetData>
  <mergeCells count="3">
    <mergeCell ref="B2:G2"/>
    <mergeCell ref="B3:G3"/>
    <mergeCell ref="B4:C4"/>
  </mergeCells>
  <pageMargins left="0.85" right="0.1" top="0.35" bottom="0.3" header="0.3" footer="0.15"/>
  <pageSetup paperSize="9" scale="91" firstPageNumber="9" orientation="portrait" useFirstPageNumber="1"/>
  <headerFooter>
    <oddFooter>&amp;C&amp;P</oddFooter>
  </headerFooter>
  <rowBreaks count="8" manualBreakCount="8">
    <brk id="42" max="6" man="1"/>
    <brk id="86" max="6" man="1"/>
    <brk id="123" max="6" man="1"/>
    <brk id="245" max="6" man="1"/>
    <brk id="418" max="6" man="1"/>
    <brk id="542" max="6" man="1"/>
    <brk id="893" max="6" man="1"/>
    <brk id="978" max="6"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2:K48"/>
  <sheetViews>
    <sheetView view="pageBreakPreview" zoomScaleNormal="100" topLeftCell="A16" workbookViewId="0">
      <selection activeCell="K34" sqref="K34"/>
    </sheetView>
  </sheetViews>
  <sheetFormatPr defaultColWidth="10.287037037037" defaultRowHeight="13.8"/>
  <cols>
    <col min="1" max="1" width="9.13888888888889" style="441" customWidth="1"/>
    <col min="2" max="2" width="11.4259259259259" style="441" customWidth="1"/>
    <col min="3" max="3" width="39.4259259259259" style="441" customWidth="1"/>
    <col min="4" max="4" width="7.28703703703704" style="441" customWidth="1"/>
    <col min="5" max="5" width="11.1388888888889" style="351" customWidth="1"/>
    <col min="6" max="6" width="13" style="351" customWidth="1"/>
    <col min="7" max="7" width="17.1388888888889" style="351" customWidth="1"/>
    <col min="8" max="8" width="9.13888888888889" style="441"/>
    <col min="9" max="9" width="18.8518518518519" style="441" customWidth="1"/>
    <col min="10" max="16384" width="10.287037037037" style="441"/>
  </cols>
  <sheetData>
    <row r="2" s="439" customFormat="1" ht="21" customHeight="1" spans="2:7">
      <c r="B2" s="5" t="s">
        <v>20</v>
      </c>
      <c r="C2" s="5"/>
      <c r="D2" s="5"/>
      <c r="E2" s="5"/>
      <c r="F2" s="5"/>
      <c r="G2" s="5"/>
    </row>
    <row r="3" s="439" customFormat="1" ht="21" customHeight="1" spans="2:7">
      <c r="B3" s="7" t="s">
        <v>37</v>
      </c>
      <c r="C3" s="7"/>
      <c r="D3" s="7"/>
      <c r="E3" s="7"/>
      <c r="F3" s="7"/>
      <c r="G3" s="7"/>
    </row>
    <row r="4" s="439" customFormat="1" ht="27" customHeight="1" spans="2:7">
      <c r="B4" s="7" t="s">
        <v>153</v>
      </c>
      <c r="C4" s="7"/>
      <c r="D4" s="353" t="s">
        <v>897</v>
      </c>
      <c r="E4" s="353"/>
      <c r="F4" s="353"/>
      <c r="G4" s="353"/>
    </row>
    <row r="5" ht="22.5" customHeight="1" spans="2:7">
      <c r="B5" s="11" t="s">
        <v>155</v>
      </c>
      <c r="C5" s="11" t="s">
        <v>2</v>
      </c>
      <c r="D5" s="11" t="s">
        <v>156</v>
      </c>
      <c r="E5" s="426" t="s">
        <v>218</v>
      </c>
      <c r="F5" s="426" t="s">
        <v>158</v>
      </c>
      <c r="G5" s="426" t="s">
        <v>159</v>
      </c>
    </row>
    <row r="6" spans="2:7">
      <c r="B6" s="356"/>
      <c r="C6" s="442"/>
      <c r="D6" s="443"/>
      <c r="E6" s="444"/>
      <c r="F6" s="444"/>
      <c r="G6" s="444"/>
    </row>
    <row r="7" ht="15.75" customHeight="1" spans="2:7">
      <c r="B7" s="359" t="s">
        <v>114</v>
      </c>
      <c r="C7" s="445" t="s">
        <v>897</v>
      </c>
      <c r="D7" s="360"/>
      <c r="E7" s="361"/>
      <c r="F7" s="446"/>
      <c r="G7" s="446"/>
    </row>
    <row r="8" spans="2:7">
      <c r="B8" s="59"/>
      <c r="C8" s="447"/>
      <c r="D8" s="360"/>
      <c r="E8" s="448"/>
      <c r="F8" s="446"/>
      <c r="G8" s="446"/>
    </row>
    <row r="9" ht="46.5" customHeight="1" spans="2:7">
      <c r="B9" s="59" t="s">
        <v>898</v>
      </c>
      <c r="C9" s="26" t="s">
        <v>899</v>
      </c>
      <c r="D9" s="59" t="s">
        <v>173</v>
      </c>
      <c r="E9" s="62">
        <v>50</v>
      </c>
      <c r="F9" s="449">
        <v>8777</v>
      </c>
      <c r="G9" s="371">
        <f>F9*E9</f>
        <v>438850</v>
      </c>
    </row>
    <row r="10" ht="17.25" customHeight="1" spans="2:7">
      <c r="B10" s="59"/>
      <c r="C10" s="26"/>
      <c r="D10" s="360"/>
      <c r="E10" s="361"/>
      <c r="F10" s="362"/>
      <c r="G10" s="362"/>
    </row>
    <row r="11" ht="45.75" customHeight="1" spans="2:7">
      <c r="B11" s="59"/>
      <c r="C11" s="77" t="s">
        <v>900</v>
      </c>
      <c r="D11" s="360"/>
      <c r="E11" s="361"/>
      <c r="F11" s="362"/>
      <c r="G11" s="362"/>
    </row>
    <row r="12" ht="27.75" customHeight="1" spans="2:7">
      <c r="B12" s="59" t="s">
        <v>901</v>
      </c>
      <c r="C12" s="77" t="s">
        <v>902</v>
      </c>
      <c r="D12" s="360"/>
      <c r="E12" s="361"/>
      <c r="F12" s="362"/>
      <c r="G12" s="362"/>
    </row>
    <row r="13" ht="27.75" customHeight="1" spans="2:11">
      <c r="B13" s="59" t="s">
        <v>903</v>
      </c>
      <c r="C13" s="26" t="s">
        <v>904</v>
      </c>
      <c r="D13" s="59" t="s">
        <v>225</v>
      </c>
      <c r="E13" s="62">
        <v>3177</v>
      </c>
      <c r="F13" s="449">
        <v>2418</v>
      </c>
      <c r="G13" s="371">
        <f>F13*E13</f>
        <v>7681986</v>
      </c>
      <c r="K13" s="470"/>
    </row>
    <row r="14" ht="27.75" customHeight="1" spans="2:7">
      <c r="B14" s="59" t="s">
        <v>905</v>
      </c>
      <c r="C14" s="26" t="s">
        <v>906</v>
      </c>
      <c r="D14" s="59" t="s">
        <v>225</v>
      </c>
      <c r="E14" s="62">
        <v>63</v>
      </c>
      <c r="F14" s="370">
        <v>2418</v>
      </c>
      <c r="G14" s="371">
        <f t="shared" ref="G14:G23" si="0">F14*E14</f>
        <v>152334</v>
      </c>
    </row>
    <row r="15" ht="27.75" customHeight="1" spans="2:7">
      <c r="B15" s="59" t="s">
        <v>907</v>
      </c>
      <c r="C15" s="26" t="s">
        <v>908</v>
      </c>
      <c r="D15" s="59" t="s">
        <v>225</v>
      </c>
      <c r="E15" s="62">
        <v>3322</v>
      </c>
      <c r="F15" s="370">
        <v>2418</v>
      </c>
      <c r="G15" s="371">
        <f t="shared" si="0"/>
        <v>8032596</v>
      </c>
    </row>
    <row r="16" ht="27.75" customHeight="1" spans="2:11">
      <c r="B16" s="59" t="s">
        <v>909</v>
      </c>
      <c r="C16" s="26" t="s">
        <v>910</v>
      </c>
      <c r="D16" s="59" t="s">
        <v>225</v>
      </c>
      <c r="E16" s="62">
        <v>2126</v>
      </c>
      <c r="F16" s="370">
        <v>2467</v>
      </c>
      <c r="G16" s="371">
        <f t="shared" si="0"/>
        <v>5244842</v>
      </c>
      <c r="K16" s="470"/>
    </row>
    <row r="17" ht="27.75" customHeight="1" spans="2:7">
      <c r="B17" s="59" t="s">
        <v>911</v>
      </c>
      <c r="C17" s="26" t="s">
        <v>912</v>
      </c>
      <c r="D17" s="59" t="s">
        <v>225</v>
      </c>
      <c r="E17" s="62">
        <v>2026</v>
      </c>
      <c r="F17" s="370">
        <v>2515</v>
      </c>
      <c r="G17" s="371">
        <f t="shared" si="0"/>
        <v>5095390</v>
      </c>
    </row>
    <row r="18" ht="27.75" customHeight="1" spans="2:7">
      <c r="B18" s="59" t="s">
        <v>913</v>
      </c>
      <c r="C18" s="26" t="s">
        <v>914</v>
      </c>
      <c r="D18" s="59" t="s">
        <v>225</v>
      </c>
      <c r="E18" s="62">
        <v>1535</v>
      </c>
      <c r="F18" s="370">
        <v>2564</v>
      </c>
      <c r="G18" s="371">
        <f t="shared" si="0"/>
        <v>3935740</v>
      </c>
    </row>
    <row r="19" ht="27.75" customHeight="1" spans="2:7">
      <c r="B19" s="59" t="s">
        <v>915</v>
      </c>
      <c r="C19" s="26" t="s">
        <v>916</v>
      </c>
      <c r="D19" s="59" t="s">
        <v>225</v>
      </c>
      <c r="E19" s="62">
        <v>1193</v>
      </c>
      <c r="F19" s="370">
        <v>2612</v>
      </c>
      <c r="G19" s="371">
        <f t="shared" si="0"/>
        <v>3116116</v>
      </c>
    </row>
    <row r="20" ht="27.75" customHeight="1" spans="2:7">
      <c r="B20" s="59" t="s">
        <v>917</v>
      </c>
      <c r="C20" s="26" t="s">
        <v>918</v>
      </c>
      <c r="D20" s="59" t="s">
        <v>225</v>
      </c>
      <c r="E20" s="62">
        <v>1264</v>
      </c>
      <c r="F20" s="370">
        <v>2660</v>
      </c>
      <c r="G20" s="371">
        <f t="shared" si="0"/>
        <v>3362240</v>
      </c>
    </row>
    <row r="21" ht="27.75" customHeight="1" spans="2:7">
      <c r="B21" s="59" t="s">
        <v>919</v>
      </c>
      <c r="C21" s="26" t="s">
        <v>920</v>
      </c>
      <c r="D21" s="59" t="s">
        <v>225</v>
      </c>
      <c r="E21" s="62">
        <v>740</v>
      </c>
      <c r="F21" s="370">
        <v>2709</v>
      </c>
      <c r="G21" s="371">
        <f t="shared" si="0"/>
        <v>2004660</v>
      </c>
    </row>
    <row r="22" ht="27.75" customHeight="1" spans="2:7">
      <c r="B22" s="59" t="s">
        <v>921</v>
      </c>
      <c r="C22" s="26" t="s">
        <v>922</v>
      </c>
      <c r="D22" s="59" t="s">
        <v>225</v>
      </c>
      <c r="E22" s="62">
        <v>732</v>
      </c>
      <c r="F22" s="370">
        <v>2757</v>
      </c>
      <c r="G22" s="371">
        <f t="shared" si="0"/>
        <v>2018124</v>
      </c>
    </row>
    <row r="23" ht="27.75" customHeight="1" spans="2:7">
      <c r="B23" s="59" t="s">
        <v>923</v>
      </c>
      <c r="C23" s="26" t="s">
        <v>924</v>
      </c>
      <c r="D23" s="59" t="s">
        <v>225</v>
      </c>
      <c r="E23" s="62">
        <v>742</v>
      </c>
      <c r="F23" s="370">
        <v>2805</v>
      </c>
      <c r="G23" s="371">
        <f t="shared" si="0"/>
        <v>2081310</v>
      </c>
    </row>
    <row r="24" spans="2:7">
      <c r="B24" s="59"/>
      <c r="C24" s="26"/>
      <c r="D24" s="59"/>
      <c r="E24" s="62"/>
      <c r="F24" s="371"/>
      <c r="G24" s="371"/>
    </row>
    <row r="25" ht="18" customHeight="1" spans="2:7">
      <c r="B25" s="59"/>
      <c r="C25" s="80" t="s">
        <v>925</v>
      </c>
      <c r="D25" s="59"/>
      <c r="E25" s="62"/>
      <c r="F25" s="371"/>
      <c r="G25" s="371"/>
    </row>
    <row r="26" ht="42" customHeight="1" spans="2:7">
      <c r="B26" s="59" t="s">
        <v>926</v>
      </c>
      <c r="C26" s="26" t="s">
        <v>927</v>
      </c>
      <c r="D26" s="59" t="s">
        <v>225</v>
      </c>
      <c r="E26" s="62">
        <v>82</v>
      </c>
      <c r="F26" s="370">
        <v>2418</v>
      </c>
      <c r="G26" s="371">
        <f>F26*E26</f>
        <v>198276</v>
      </c>
    </row>
    <row r="27" ht="19.5" customHeight="1" spans="2:7">
      <c r="B27" s="59" t="s">
        <v>928</v>
      </c>
      <c r="C27" s="26" t="s">
        <v>929</v>
      </c>
      <c r="D27" s="59" t="s">
        <v>225</v>
      </c>
      <c r="E27" s="62">
        <v>133</v>
      </c>
      <c r="F27" s="370">
        <v>2854</v>
      </c>
      <c r="G27" s="371">
        <f>F27*E27</f>
        <v>379582</v>
      </c>
    </row>
    <row r="28" ht="20.25" customHeight="1" spans="2:7">
      <c r="B28" s="59"/>
      <c r="C28" s="26"/>
      <c r="D28" s="59"/>
      <c r="E28" s="62"/>
      <c r="F28" s="370"/>
      <c r="G28" s="371"/>
    </row>
    <row r="29" ht="22.5" customHeight="1" spans="2:7">
      <c r="B29" s="59" t="s">
        <v>930</v>
      </c>
      <c r="C29" s="77" t="s">
        <v>931</v>
      </c>
      <c r="D29" s="59"/>
      <c r="E29" s="62"/>
      <c r="F29" s="371"/>
      <c r="G29" s="371"/>
    </row>
    <row r="30" ht="73.5" customHeight="1" spans="2:7">
      <c r="B30" s="59"/>
      <c r="C30" s="26" t="s">
        <v>932</v>
      </c>
      <c r="D30" s="59" t="s">
        <v>163</v>
      </c>
      <c r="E30" s="62"/>
      <c r="F30" s="371"/>
      <c r="G30" s="371"/>
    </row>
    <row r="31" ht="29.25" customHeight="1" spans="2:7">
      <c r="B31" s="59" t="s">
        <v>933</v>
      </c>
      <c r="C31" s="26" t="s">
        <v>934</v>
      </c>
      <c r="D31" s="59" t="s">
        <v>225</v>
      </c>
      <c r="E31" s="62">
        <v>1147</v>
      </c>
      <c r="F31" s="450">
        <v>1782</v>
      </c>
      <c r="G31" s="371">
        <f t="shared" ref="G31:G42" si="1">F31*E31</f>
        <v>2043954</v>
      </c>
    </row>
    <row r="32" ht="29.25" customHeight="1" spans="2:7">
      <c r="B32" s="59" t="s">
        <v>935</v>
      </c>
      <c r="C32" s="26" t="s">
        <v>936</v>
      </c>
      <c r="D32" s="59" t="s">
        <v>225</v>
      </c>
      <c r="E32" s="62">
        <v>148</v>
      </c>
      <c r="F32" s="370">
        <v>1782</v>
      </c>
      <c r="G32" s="371">
        <f t="shared" si="1"/>
        <v>263736</v>
      </c>
    </row>
    <row r="33" ht="34.5" customHeight="1" spans="2:7">
      <c r="B33" s="67" t="s">
        <v>937</v>
      </c>
      <c r="C33" s="31" t="s">
        <v>908</v>
      </c>
      <c r="D33" s="67" t="s">
        <v>225</v>
      </c>
      <c r="E33" s="68">
        <v>1489</v>
      </c>
      <c r="F33" s="375">
        <v>1782</v>
      </c>
      <c r="G33" s="376">
        <f t="shared" si="1"/>
        <v>2653398</v>
      </c>
    </row>
    <row r="34" ht="21" customHeight="1" spans="2:7">
      <c r="B34" s="59"/>
      <c r="C34" s="26"/>
      <c r="D34" s="59"/>
      <c r="E34" s="62"/>
      <c r="F34" s="370"/>
      <c r="G34" s="371"/>
    </row>
    <row r="35" ht="29.25" customHeight="1" spans="2:7">
      <c r="B35" s="59" t="s">
        <v>938</v>
      </c>
      <c r="C35" s="26" t="s">
        <v>910</v>
      </c>
      <c r="D35" s="59" t="s">
        <v>225</v>
      </c>
      <c r="E35" s="62">
        <v>1209</v>
      </c>
      <c r="F35" s="370">
        <v>1818</v>
      </c>
      <c r="G35" s="371">
        <f t="shared" si="1"/>
        <v>2197962</v>
      </c>
    </row>
    <row r="36" ht="29.25" customHeight="1" spans="2:7">
      <c r="B36" s="59" t="s">
        <v>939</v>
      </c>
      <c r="C36" s="26" t="s">
        <v>912</v>
      </c>
      <c r="D36" s="59" t="s">
        <v>225</v>
      </c>
      <c r="E36" s="62">
        <v>2470</v>
      </c>
      <c r="F36" s="370">
        <v>1854</v>
      </c>
      <c r="G36" s="371">
        <f t="shared" si="1"/>
        <v>4579380</v>
      </c>
    </row>
    <row r="37" ht="29.25" customHeight="1" spans="2:7">
      <c r="B37" s="59" t="s">
        <v>940</v>
      </c>
      <c r="C37" s="26" t="s">
        <v>914</v>
      </c>
      <c r="D37" s="59" t="s">
        <v>225</v>
      </c>
      <c r="E37" s="62">
        <v>918</v>
      </c>
      <c r="F37" s="370">
        <v>1854</v>
      </c>
      <c r="G37" s="371">
        <f t="shared" si="1"/>
        <v>1701972</v>
      </c>
    </row>
    <row r="38" ht="29.25" customHeight="1" spans="2:7">
      <c r="B38" s="59" t="s">
        <v>941</v>
      </c>
      <c r="C38" s="26" t="s">
        <v>916</v>
      </c>
      <c r="D38" s="59" t="s">
        <v>225</v>
      </c>
      <c r="E38" s="62">
        <v>1241</v>
      </c>
      <c r="F38" s="370">
        <v>1925</v>
      </c>
      <c r="G38" s="371">
        <f t="shared" si="1"/>
        <v>2388925</v>
      </c>
    </row>
    <row r="39" ht="29.25" customHeight="1" spans="2:7">
      <c r="B39" s="59" t="s">
        <v>942</v>
      </c>
      <c r="C39" s="26" t="s">
        <v>918</v>
      </c>
      <c r="D39" s="59" t="s">
        <v>225</v>
      </c>
      <c r="E39" s="62">
        <v>1228</v>
      </c>
      <c r="F39" s="370">
        <v>1961</v>
      </c>
      <c r="G39" s="371">
        <f t="shared" si="1"/>
        <v>2408108</v>
      </c>
    </row>
    <row r="40" ht="29.25" customHeight="1" spans="2:7">
      <c r="B40" s="59" t="s">
        <v>943</v>
      </c>
      <c r="C40" s="26" t="s">
        <v>920</v>
      </c>
      <c r="D40" s="59" t="s">
        <v>225</v>
      </c>
      <c r="E40" s="62">
        <v>642</v>
      </c>
      <c r="F40" s="370">
        <v>1996</v>
      </c>
      <c r="G40" s="371">
        <f t="shared" si="1"/>
        <v>1281432</v>
      </c>
    </row>
    <row r="41" ht="29.25" customHeight="1" spans="2:7">
      <c r="B41" s="59" t="s">
        <v>944</v>
      </c>
      <c r="C41" s="26" t="s">
        <v>922</v>
      </c>
      <c r="D41" s="59" t="s">
        <v>225</v>
      </c>
      <c r="E41" s="62">
        <v>645</v>
      </c>
      <c r="F41" s="370">
        <v>2032</v>
      </c>
      <c r="G41" s="371">
        <f t="shared" si="1"/>
        <v>1310640</v>
      </c>
    </row>
    <row r="42" ht="29.25" customHeight="1" spans="2:7">
      <c r="B42" s="59" t="s">
        <v>945</v>
      </c>
      <c r="C42" s="26" t="s">
        <v>924</v>
      </c>
      <c r="D42" s="59" t="s">
        <v>225</v>
      </c>
      <c r="E42" s="62">
        <v>553</v>
      </c>
      <c r="F42" s="370">
        <v>2103</v>
      </c>
      <c r="G42" s="371">
        <f t="shared" si="1"/>
        <v>1162959</v>
      </c>
    </row>
    <row r="43" ht="27" customHeight="1" spans="2:7">
      <c r="B43" s="18"/>
      <c r="C43" s="451"/>
      <c r="D43" s="18"/>
      <c r="E43" s="452"/>
      <c r="F43" s="371"/>
      <c r="G43" s="371"/>
    </row>
    <row r="44" s="440" customFormat="1" ht="29.25" customHeight="1" spans="2:7">
      <c r="B44" s="453"/>
      <c r="C44" s="454" t="s">
        <v>896</v>
      </c>
      <c r="D44" s="453"/>
      <c r="E44" s="455"/>
      <c r="F44" s="456" t="s">
        <v>946</v>
      </c>
      <c r="G44" s="457">
        <f>SUM(G8:G42)</f>
        <v>65734512</v>
      </c>
    </row>
    <row r="45" ht="14.55" spans="2:7">
      <c r="B45" s="30"/>
      <c r="C45" s="458"/>
      <c r="D45" s="459"/>
      <c r="E45" s="419"/>
      <c r="F45" s="460"/>
      <c r="G45" s="461"/>
    </row>
    <row r="46" spans="2:7">
      <c r="B46" s="462"/>
      <c r="C46" s="463"/>
      <c r="D46" s="464"/>
      <c r="E46" s="465"/>
      <c r="F46" s="466"/>
      <c r="G46" s="466"/>
    </row>
    <row r="47" spans="2:5">
      <c r="B47" s="467"/>
      <c r="C47" s="468"/>
      <c r="D47" s="469"/>
      <c r="E47" s="422"/>
    </row>
    <row r="48" spans="2:5">
      <c r="B48" s="467"/>
      <c r="C48" s="468"/>
      <c r="D48" s="469"/>
      <c r="E48" s="422"/>
    </row>
  </sheetData>
  <mergeCells count="3">
    <mergeCell ref="B2:G2"/>
    <mergeCell ref="B3:G3"/>
    <mergeCell ref="B4:C4"/>
  </mergeCells>
  <pageMargins left="0.85" right="0.15" top="0.35" bottom="0.3" header="0.3" footer="0.15"/>
  <pageSetup paperSize="9" scale="92" firstPageNumber="33" orientation="portrait" useFirstPageNumber="1"/>
  <headerFooter>
    <oddFooter>&amp;C&amp;P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B2:G106"/>
  <sheetViews>
    <sheetView view="pageBreakPreview" zoomScaleNormal="100" topLeftCell="A38" workbookViewId="0">
      <selection activeCell="J8" sqref="J8"/>
    </sheetView>
  </sheetViews>
  <sheetFormatPr defaultColWidth="10.287037037037" defaultRowHeight="13.8" outlineLevelCol="6"/>
  <cols>
    <col min="1" max="1" width="10.287037037037" style="323"/>
    <col min="2" max="2" width="9.13888888888889" style="323"/>
    <col min="3" max="3" width="39.5740740740741" style="321" customWidth="1"/>
    <col min="4" max="4" width="6.85185185185185" style="423" customWidth="1"/>
    <col min="5" max="5" width="10.8518518518519" style="424" customWidth="1"/>
    <col min="6" max="6" width="13.5740740740741" style="425" customWidth="1"/>
    <col min="7" max="7" width="17.287037037037" style="425" customWidth="1"/>
    <col min="8" max="16384" width="10.287037037037" style="323"/>
  </cols>
  <sheetData>
    <row r="2" s="1" customFormat="1" ht="21" customHeight="1" spans="2:7">
      <c r="B2" s="5" t="s">
        <v>20</v>
      </c>
      <c r="C2" s="5"/>
      <c r="D2" s="5"/>
      <c r="E2" s="5"/>
      <c r="F2" s="5"/>
      <c r="G2" s="5"/>
    </row>
    <row r="3" s="1" customFormat="1" ht="21" customHeight="1" spans="2:7">
      <c r="B3" s="91" t="s">
        <v>37</v>
      </c>
      <c r="C3" s="91"/>
      <c r="D3" s="91"/>
      <c r="E3" s="91"/>
      <c r="F3" s="91"/>
      <c r="G3" s="91"/>
    </row>
    <row r="4" s="1" customFormat="1" ht="22.5" customHeight="1" spans="2:7">
      <c r="B4" s="91" t="s">
        <v>153</v>
      </c>
      <c r="C4" s="91"/>
      <c r="D4" s="327" t="s">
        <v>134</v>
      </c>
      <c r="E4" s="327"/>
      <c r="F4" s="327"/>
      <c r="G4" s="327"/>
    </row>
    <row r="5" ht="22.5" customHeight="1" spans="2:7">
      <c r="B5" s="11" t="s">
        <v>155</v>
      </c>
      <c r="C5" s="11" t="s">
        <v>2</v>
      </c>
      <c r="D5" s="11" t="s">
        <v>156</v>
      </c>
      <c r="E5" s="355" t="s">
        <v>218</v>
      </c>
      <c r="F5" s="426" t="s">
        <v>158</v>
      </c>
      <c r="G5" s="426" t="s">
        <v>159</v>
      </c>
    </row>
    <row r="6" ht="9.75" customHeight="1" spans="2:7">
      <c r="B6" s="427"/>
      <c r="C6" s="428"/>
      <c r="D6" s="427"/>
      <c r="E6" s="358"/>
      <c r="F6" s="429"/>
      <c r="G6" s="429"/>
    </row>
    <row r="7" s="321" customFormat="1" ht="16.5" customHeight="1" spans="2:7">
      <c r="B7" s="97" t="s">
        <v>947</v>
      </c>
      <c r="C7" s="24" t="s">
        <v>134</v>
      </c>
      <c r="D7" s="64"/>
      <c r="E7" s="62"/>
      <c r="F7" s="397"/>
      <c r="G7" s="397"/>
    </row>
    <row r="8" ht="12" customHeight="1" spans="2:7">
      <c r="B8" s="64"/>
      <c r="C8" s="65"/>
      <c r="D8" s="64"/>
      <c r="E8" s="62"/>
      <c r="F8" s="397"/>
      <c r="G8" s="397"/>
    </row>
    <row r="9" ht="60" customHeight="1" spans="2:7">
      <c r="B9" s="64" t="s">
        <v>948</v>
      </c>
      <c r="C9" s="65" t="s">
        <v>949</v>
      </c>
      <c r="D9" s="64"/>
      <c r="E9" s="62"/>
      <c r="F9" s="370"/>
      <c r="G9" s="397"/>
    </row>
    <row r="10" ht="26.25" customHeight="1" spans="2:7">
      <c r="B10" s="64" t="s">
        <v>950</v>
      </c>
      <c r="C10" s="65" t="s">
        <v>951</v>
      </c>
      <c r="D10" s="64" t="s">
        <v>225</v>
      </c>
      <c r="E10" s="62">
        <v>3292</v>
      </c>
      <c r="F10" s="370">
        <v>96</v>
      </c>
      <c r="G10" s="397">
        <f>E10*F10</f>
        <v>316032</v>
      </c>
    </row>
    <row r="11" ht="26.25" customHeight="1" spans="2:7">
      <c r="B11" s="64" t="s">
        <v>952</v>
      </c>
      <c r="C11" s="65" t="s">
        <v>953</v>
      </c>
      <c r="D11" s="64" t="s">
        <v>225</v>
      </c>
      <c r="E11" s="62">
        <v>554</v>
      </c>
      <c r="F11" s="370">
        <v>96</v>
      </c>
      <c r="G11" s="397">
        <f>E11*F11</f>
        <v>53184</v>
      </c>
    </row>
    <row r="12" ht="26.25" customHeight="1" spans="2:7">
      <c r="B12" s="64" t="s">
        <v>954</v>
      </c>
      <c r="C12" s="65" t="s">
        <v>955</v>
      </c>
      <c r="D12" s="64" t="s">
        <v>225</v>
      </c>
      <c r="E12" s="62">
        <v>1637</v>
      </c>
      <c r="F12" s="370">
        <v>96</v>
      </c>
      <c r="G12" s="397">
        <f>E12*F12</f>
        <v>157152</v>
      </c>
    </row>
    <row r="13" ht="17.25" customHeight="1" spans="2:7">
      <c r="B13" s="64"/>
      <c r="C13" s="65"/>
      <c r="D13" s="64"/>
      <c r="E13" s="62"/>
      <c r="F13" s="397"/>
      <c r="G13" s="397"/>
    </row>
    <row r="14" ht="70.5" customHeight="1" spans="2:7">
      <c r="B14" s="64" t="s">
        <v>956</v>
      </c>
      <c r="C14" s="65" t="s">
        <v>957</v>
      </c>
      <c r="D14" s="64"/>
      <c r="E14" s="62"/>
      <c r="F14" s="370"/>
      <c r="G14" s="397"/>
    </row>
    <row r="15" ht="33.75" customHeight="1" spans="2:7">
      <c r="B15" s="64"/>
      <c r="C15" s="65" t="s">
        <v>958</v>
      </c>
      <c r="D15" s="64" t="s">
        <v>163</v>
      </c>
      <c r="E15" s="62"/>
      <c r="F15" s="370"/>
      <c r="G15" s="397"/>
    </row>
    <row r="16" ht="19.5" customHeight="1" spans="2:7">
      <c r="B16" s="64" t="s">
        <v>959</v>
      </c>
      <c r="C16" s="104" t="s">
        <v>960</v>
      </c>
      <c r="D16" s="64" t="s">
        <v>225</v>
      </c>
      <c r="E16" s="62">
        <v>390</v>
      </c>
      <c r="F16" s="370">
        <v>1437</v>
      </c>
      <c r="G16" s="397">
        <f>E16*F16</f>
        <v>560430</v>
      </c>
    </row>
    <row r="17" ht="19.5" customHeight="1" spans="2:7">
      <c r="B17" s="64"/>
      <c r="C17" s="65"/>
      <c r="D17" s="64"/>
      <c r="E17" s="62"/>
      <c r="F17" s="370"/>
      <c r="G17" s="397"/>
    </row>
    <row r="18" ht="19.5" customHeight="1" spans="2:7">
      <c r="B18" s="64" t="s">
        <v>961</v>
      </c>
      <c r="C18" s="104" t="s">
        <v>962</v>
      </c>
      <c r="D18" s="64" t="s">
        <v>225</v>
      </c>
      <c r="E18" s="62">
        <v>66</v>
      </c>
      <c r="F18" s="370">
        <v>1437</v>
      </c>
      <c r="G18" s="397">
        <f>E18*F18</f>
        <v>94842</v>
      </c>
    </row>
    <row r="19" ht="19.5" customHeight="1" spans="2:7">
      <c r="B19" s="64"/>
      <c r="C19" s="65"/>
      <c r="D19" s="64"/>
      <c r="E19" s="62"/>
      <c r="F19" s="370"/>
      <c r="G19" s="397"/>
    </row>
    <row r="20" ht="19.5" customHeight="1" spans="2:7">
      <c r="B20" s="64" t="s">
        <v>963</v>
      </c>
      <c r="C20" s="104" t="s">
        <v>964</v>
      </c>
      <c r="D20" s="64" t="s">
        <v>225</v>
      </c>
      <c r="E20" s="62">
        <v>362</v>
      </c>
      <c r="F20" s="370">
        <v>1437</v>
      </c>
      <c r="G20" s="397">
        <f>E20*F20</f>
        <v>520194</v>
      </c>
    </row>
    <row r="21" ht="19.5" customHeight="1" spans="2:7">
      <c r="B21" s="64"/>
      <c r="C21" s="65"/>
      <c r="D21" s="64"/>
      <c r="E21" s="62"/>
      <c r="F21" s="370"/>
      <c r="G21" s="397"/>
    </row>
    <row r="22" ht="19.5" customHeight="1" spans="2:7">
      <c r="B22" s="64" t="s">
        <v>965</v>
      </c>
      <c r="C22" s="104" t="s">
        <v>966</v>
      </c>
      <c r="D22" s="64" t="s">
        <v>225</v>
      </c>
      <c r="E22" s="62">
        <v>681</v>
      </c>
      <c r="F22" s="370">
        <v>1452</v>
      </c>
      <c r="G22" s="397">
        <f>E22*F22</f>
        <v>988812</v>
      </c>
    </row>
    <row r="23" ht="19.5" customHeight="1" spans="2:7">
      <c r="B23" s="64"/>
      <c r="C23" s="104"/>
      <c r="D23" s="64"/>
      <c r="E23" s="62"/>
      <c r="F23" s="370"/>
      <c r="G23" s="397"/>
    </row>
    <row r="24" ht="19.5" customHeight="1" spans="2:7">
      <c r="B24" s="64" t="s">
        <v>967</v>
      </c>
      <c r="C24" s="104" t="s">
        <v>968</v>
      </c>
      <c r="D24" s="64" t="s">
        <v>225</v>
      </c>
      <c r="E24" s="62">
        <v>630</v>
      </c>
      <c r="F24" s="370">
        <v>1466</v>
      </c>
      <c r="G24" s="397">
        <f>E24*F24</f>
        <v>923580</v>
      </c>
    </row>
    <row r="25" ht="19.5" customHeight="1" spans="2:7">
      <c r="B25" s="64"/>
      <c r="C25" s="104"/>
      <c r="D25" s="64"/>
      <c r="E25" s="62"/>
      <c r="F25" s="370"/>
      <c r="G25" s="397"/>
    </row>
    <row r="26" ht="19.5" customHeight="1" spans="2:7">
      <c r="B26" s="64" t="s">
        <v>969</v>
      </c>
      <c r="C26" s="104" t="s">
        <v>970</v>
      </c>
      <c r="D26" s="64" t="s">
        <v>225</v>
      </c>
      <c r="E26" s="62">
        <v>1012</v>
      </c>
      <c r="F26" s="370">
        <v>1481</v>
      </c>
      <c r="G26" s="397">
        <f>E26*F26</f>
        <v>1498772</v>
      </c>
    </row>
    <row r="27" ht="19.5" customHeight="1" spans="2:7">
      <c r="B27" s="64"/>
      <c r="C27" s="104"/>
      <c r="D27" s="64"/>
      <c r="E27" s="62"/>
      <c r="F27" s="370"/>
      <c r="G27" s="397"/>
    </row>
    <row r="28" ht="19.5" customHeight="1" spans="2:7">
      <c r="B28" s="64" t="s">
        <v>971</v>
      </c>
      <c r="C28" s="104" t="s">
        <v>972</v>
      </c>
      <c r="D28" s="64" t="s">
        <v>225</v>
      </c>
      <c r="E28" s="62">
        <v>897</v>
      </c>
      <c r="F28" s="370">
        <v>1495</v>
      </c>
      <c r="G28" s="397">
        <f>E28*F28</f>
        <v>1341015</v>
      </c>
    </row>
    <row r="29" ht="19.5" customHeight="1" spans="2:7">
      <c r="B29" s="64"/>
      <c r="C29" s="104"/>
      <c r="D29" s="64"/>
      <c r="E29" s="62"/>
      <c r="F29" s="370"/>
      <c r="G29" s="397"/>
    </row>
    <row r="30" ht="19.5" customHeight="1" spans="2:7">
      <c r="B30" s="64" t="s">
        <v>973</v>
      </c>
      <c r="C30" s="104" t="s">
        <v>974</v>
      </c>
      <c r="D30" s="64" t="s">
        <v>225</v>
      </c>
      <c r="E30" s="62">
        <v>492</v>
      </c>
      <c r="F30" s="370">
        <v>1509</v>
      </c>
      <c r="G30" s="397">
        <f>E30*F30</f>
        <v>742428</v>
      </c>
    </row>
    <row r="31" ht="19.5" customHeight="1" spans="2:7">
      <c r="B31" s="64"/>
      <c r="C31" s="104"/>
      <c r="D31" s="64"/>
      <c r="E31" s="62"/>
      <c r="F31" s="370"/>
      <c r="G31" s="397"/>
    </row>
    <row r="32" ht="19.5" customHeight="1" spans="2:7">
      <c r="B32" s="64" t="s">
        <v>975</v>
      </c>
      <c r="C32" s="104" t="s">
        <v>976</v>
      </c>
      <c r="D32" s="64" t="s">
        <v>225</v>
      </c>
      <c r="E32" s="62">
        <v>400</v>
      </c>
      <c r="F32" s="370">
        <v>1524</v>
      </c>
      <c r="G32" s="397">
        <f>E32*F32</f>
        <v>609600</v>
      </c>
    </row>
    <row r="33" ht="19.5" customHeight="1" spans="2:7">
      <c r="B33" s="64"/>
      <c r="C33" s="104"/>
      <c r="D33" s="64"/>
      <c r="E33" s="62"/>
      <c r="F33" s="370"/>
      <c r="G33" s="397"/>
    </row>
    <row r="34" ht="19.5" customHeight="1" spans="2:7">
      <c r="B34" s="64" t="s">
        <v>977</v>
      </c>
      <c r="C34" s="104" t="s">
        <v>978</v>
      </c>
      <c r="D34" s="64" t="s">
        <v>225</v>
      </c>
      <c r="E34" s="62">
        <v>428</v>
      </c>
      <c r="F34" s="370">
        <v>1538</v>
      </c>
      <c r="G34" s="397">
        <f>E34*F34</f>
        <v>658264</v>
      </c>
    </row>
    <row r="35" ht="19.5" customHeight="1" spans="2:7">
      <c r="B35" s="64"/>
      <c r="C35" s="104"/>
      <c r="D35" s="64"/>
      <c r="E35" s="62"/>
      <c r="F35" s="370"/>
      <c r="G35" s="397"/>
    </row>
    <row r="36" ht="19.5" customHeight="1" spans="2:7">
      <c r="B36" s="64" t="s">
        <v>979</v>
      </c>
      <c r="C36" s="104" t="s">
        <v>980</v>
      </c>
      <c r="D36" s="64" t="s">
        <v>225</v>
      </c>
      <c r="E36" s="62">
        <v>298</v>
      </c>
      <c r="F36" s="370">
        <v>1552</v>
      </c>
      <c r="G36" s="397">
        <f>E36*F36</f>
        <v>462496</v>
      </c>
    </row>
    <row r="37" ht="19.5" customHeight="1" spans="2:7">
      <c r="B37" s="64"/>
      <c r="C37" s="104"/>
      <c r="D37" s="64"/>
      <c r="E37" s="62"/>
      <c r="F37" s="370"/>
      <c r="G37" s="397"/>
    </row>
    <row r="38" ht="38.25" customHeight="1" spans="2:7">
      <c r="B38" s="79" t="s">
        <v>981</v>
      </c>
      <c r="C38" s="430" t="s">
        <v>982</v>
      </c>
      <c r="D38" s="79" t="s">
        <v>225</v>
      </c>
      <c r="E38" s="68">
        <v>50</v>
      </c>
      <c r="F38" s="375">
        <v>1437</v>
      </c>
      <c r="G38" s="431">
        <f>E38*F38</f>
        <v>71850</v>
      </c>
    </row>
    <row r="39" spans="2:7">
      <c r="B39" s="64"/>
      <c r="C39" s="138"/>
      <c r="D39" s="64"/>
      <c r="E39" s="62"/>
      <c r="F39" s="370"/>
      <c r="G39" s="397"/>
    </row>
    <row r="40" ht="30.75" customHeight="1" spans="2:7">
      <c r="B40" s="64" t="s">
        <v>983</v>
      </c>
      <c r="C40" s="432" t="s">
        <v>984</v>
      </c>
      <c r="D40" s="64" t="s">
        <v>225</v>
      </c>
      <c r="E40" s="62">
        <v>50</v>
      </c>
      <c r="F40" s="370">
        <v>1437</v>
      </c>
      <c r="G40" s="397">
        <f>E40*F40</f>
        <v>71850</v>
      </c>
    </row>
    <row r="41" ht="17.25" customHeight="1" spans="2:7">
      <c r="B41" s="64"/>
      <c r="C41" s="104"/>
      <c r="D41" s="64"/>
      <c r="E41" s="62"/>
      <c r="F41" s="370"/>
      <c r="G41" s="397"/>
    </row>
    <row r="42" ht="21" customHeight="1" spans="2:7">
      <c r="B42" s="97" t="s">
        <v>985</v>
      </c>
      <c r="C42" s="157" t="s">
        <v>986</v>
      </c>
      <c r="D42" s="64"/>
      <c r="E42" s="62"/>
      <c r="F42" s="370"/>
      <c r="G42" s="397"/>
    </row>
    <row r="43" ht="7.5" customHeight="1" spans="2:7">
      <c r="B43" s="64"/>
      <c r="C43" s="104"/>
      <c r="D43" s="64"/>
      <c r="E43" s="62"/>
      <c r="F43" s="370"/>
      <c r="G43" s="397"/>
    </row>
    <row r="44" ht="18" customHeight="1" spans="2:7">
      <c r="B44" s="64"/>
      <c r="C44" s="104" t="s">
        <v>987</v>
      </c>
      <c r="D44" s="64"/>
      <c r="E44" s="62"/>
      <c r="F44" s="370"/>
      <c r="G44" s="397"/>
    </row>
    <row r="45" ht="36" customHeight="1" spans="2:7">
      <c r="B45" s="64"/>
      <c r="C45" s="115" t="s">
        <v>988</v>
      </c>
      <c r="D45" s="64"/>
      <c r="E45" s="62"/>
      <c r="F45" s="370"/>
      <c r="G45" s="397"/>
    </row>
    <row r="46" ht="58.5" customHeight="1" spans="2:7">
      <c r="B46" s="661" t="s">
        <v>985</v>
      </c>
      <c r="C46" s="22" t="s">
        <v>989</v>
      </c>
      <c r="D46" s="64"/>
      <c r="E46" s="62"/>
      <c r="F46" s="370"/>
      <c r="G46" s="397"/>
    </row>
    <row r="47" ht="18.75" customHeight="1" spans="2:7">
      <c r="B47" s="433"/>
      <c r="C47" s="22"/>
      <c r="D47" s="64"/>
      <c r="E47" s="62"/>
      <c r="F47" s="370"/>
      <c r="G47" s="397"/>
    </row>
    <row r="48" ht="18.75" customHeight="1" spans="2:7">
      <c r="B48" s="661" t="s">
        <v>990</v>
      </c>
      <c r="C48" s="65" t="s">
        <v>991</v>
      </c>
      <c r="D48" s="64" t="s">
        <v>225</v>
      </c>
      <c r="E48" s="62">
        <v>608</v>
      </c>
      <c r="F48" s="370">
        <v>1200</v>
      </c>
      <c r="G48" s="397">
        <f>E48*F48</f>
        <v>729600</v>
      </c>
    </row>
    <row r="49" ht="18.75" customHeight="1" spans="2:7">
      <c r="B49" s="433"/>
      <c r="C49" s="65"/>
      <c r="D49" s="64"/>
      <c r="E49" s="62"/>
      <c r="F49" s="370"/>
      <c r="G49" s="397"/>
    </row>
    <row r="50" ht="18.75" customHeight="1" spans="2:7">
      <c r="B50" s="661" t="s">
        <v>992</v>
      </c>
      <c r="C50" s="65" t="s">
        <v>993</v>
      </c>
      <c r="D50" s="64" t="s">
        <v>225</v>
      </c>
      <c r="E50" s="62">
        <v>228</v>
      </c>
      <c r="F50" s="370">
        <v>1224</v>
      </c>
      <c r="G50" s="397">
        <f>E50*F50</f>
        <v>279072</v>
      </c>
    </row>
    <row r="51" ht="18.75" customHeight="1" spans="2:7">
      <c r="B51" s="433"/>
      <c r="C51" s="65"/>
      <c r="D51" s="64"/>
      <c r="E51" s="62"/>
      <c r="F51" s="370"/>
      <c r="G51" s="397"/>
    </row>
    <row r="52" ht="18.75" customHeight="1" spans="2:7">
      <c r="B52" s="661" t="s">
        <v>994</v>
      </c>
      <c r="C52" s="65" t="s">
        <v>995</v>
      </c>
      <c r="D52" s="64" t="s">
        <v>225</v>
      </c>
      <c r="E52" s="62">
        <v>737</v>
      </c>
      <c r="F52" s="370">
        <v>1248</v>
      </c>
      <c r="G52" s="397">
        <f>E52*F52</f>
        <v>919776</v>
      </c>
    </row>
    <row r="53" ht="18.75" customHeight="1" spans="2:7">
      <c r="B53" s="433"/>
      <c r="C53" s="65"/>
      <c r="D53" s="64"/>
      <c r="E53" s="62"/>
      <c r="F53" s="370"/>
      <c r="G53" s="397"/>
    </row>
    <row r="54" ht="18.75" customHeight="1" spans="2:7">
      <c r="B54" s="661" t="s">
        <v>996</v>
      </c>
      <c r="C54" s="65" t="s">
        <v>997</v>
      </c>
      <c r="D54" s="64" t="s">
        <v>225</v>
      </c>
      <c r="E54" s="62">
        <v>1280</v>
      </c>
      <c r="F54" s="370">
        <v>1272</v>
      </c>
      <c r="G54" s="397">
        <f>E54*F54</f>
        <v>1628160</v>
      </c>
    </row>
    <row r="55" ht="18.75" customHeight="1" spans="2:7">
      <c r="B55" s="433"/>
      <c r="C55" s="65"/>
      <c r="D55" s="64"/>
      <c r="E55" s="62"/>
      <c r="F55" s="370"/>
      <c r="G55" s="397"/>
    </row>
    <row r="56" ht="18.75" customHeight="1" spans="2:7">
      <c r="B56" s="661" t="s">
        <v>998</v>
      </c>
      <c r="C56" s="65" t="s">
        <v>999</v>
      </c>
      <c r="D56" s="64" t="s">
        <v>225</v>
      </c>
      <c r="E56" s="62">
        <v>1503</v>
      </c>
      <c r="F56" s="370">
        <v>1344</v>
      </c>
      <c r="G56" s="397">
        <f>E56*F56</f>
        <v>2020032</v>
      </c>
    </row>
    <row r="57" ht="18.75" customHeight="1" spans="2:7">
      <c r="B57" s="433"/>
      <c r="C57" s="65"/>
      <c r="D57" s="64"/>
      <c r="E57" s="62"/>
      <c r="F57" s="370"/>
      <c r="G57" s="397"/>
    </row>
    <row r="58" ht="18.75" customHeight="1" spans="2:7">
      <c r="B58" s="661" t="s">
        <v>1000</v>
      </c>
      <c r="C58" s="65" t="s">
        <v>1001</v>
      </c>
      <c r="D58" s="64" t="s">
        <v>225</v>
      </c>
      <c r="E58" s="62">
        <v>1090</v>
      </c>
      <c r="F58" s="370">
        <v>1392</v>
      </c>
      <c r="G58" s="397">
        <f>E58*F58</f>
        <v>1517280</v>
      </c>
    </row>
    <row r="59" ht="18.75" customHeight="1" spans="2:7">
      <c r="B59" s="433"/>
      <c r="C59" s="65"/>
      <c r="D59" s="64"/>
      <c r="E59" s="62"/>
      <c r="F59" s="370"/>
      <c r="G59" s="397"/>
    </row>
    <row r="60" ht="18.75" customHeight="1" spans="2:7">
      <c r="B60" s="661" t="s">
        <v>1002</v>
      </c>
      <c r="C60" s="65" t="s">
        <v>1003</v>
      </c>
      <c r="D60" s="64" t="s">
        <v>225</v>
      </c>
      <c r="E60" s="62">
        <v>147</v>
      </c>
      <c r="F60" s="370">
        <v>1416</v>
      </c>
      <c r="G60" s="397">
        <f>E60*F60</f>
        <v>208152</v>
      </c>
    </row>
    <row r="61" ht="18.75" customHeight="1" spans="2:7">
      <c r="B61" s="433"/>
      <c r="C61" s="22"/>
      <c r="D61" s="64"/>
      <c r="E61" s="62"/>
      <c r="F61" s="370"/>
      <c r="G61" s="397"/>
    </row>
    <row r="62" ht="85.5" customHeight="1" spans="2:7">
      <c r="B62" s="661" t="s">
        <v>1004</v>
      </c>
      <c r="C62" s="22" t="s">
        <v>1005</v>
      </c>
      <c r="D62" s="64"/>
      <c r="E62" s="62"/>
      <c r="F62" s="370"/>
      <c r="G62" s="397"/>
    </row>
    <row r="63" ht="18.75" customHeight="1" spans="2:7">
      <c r="B63" s="433"/>
      <c r="C63" s="22"/>
      <c r="D63" s="64"/>
      <c r="E63" s="62"/>
      <c r="F63" s="370"/>
      <c r="G63" s="397"/>
    </row>
    <row r="64" ht="18.75" customHeight="1" spans="2:7">
      <c r="B64" s="661" t="s">
        <v>1006</v>
      </c>
      <c r="C64" s="65" t="s">
        <v>991</v>
      </c>
      <c r="D64" s="64" t="s">
        <v>225</v>
      </c>
      <c r="E64" s="62">
        <v>608</v>
      </c>
      <c r="F64" s="370">
        <v>1772</v>
      </c>
      <c r="G64" s="397">
        <f>E64*F64</f>
        <v>1077376</v>
      </c>
    </row>
    <row r="65" ht="18.75" customHeight="1" spans="2:7">
      <c r="B65" s="433"/>
      <c r="C65" s="65"/>
      <c r="D65" s="64"/>
      <c r="E65" s="62"/>
      <c r="F65" s="370"/>
      <c r="G65" s="397"/>
    </row>
    <row r="66" ht="18.75" customHeight="1" spans="2:7">
      <c r="B66" s="661" t="s">
        <v>1007</v>
      </c>
      <c r="C66" s="65" t="s">
        <v>993</v>
      </c>
      <c r="D66" s="64" t="s">
        <v>225</v>
      </c>
      <c r="E66" s="62">
        <v>258</v>
      </c>
      <c r="F66" s="370">
        <v>1790</v>
      </c>
      <c r="G66" s="397">
        <f>E66*F66</f>
        <v>461820</v>
      </c>
    </row>
    <row r="67" ht="18.75" customHeight="1" spans="2:7">
      <c r="B67" s="433"/>
      <c r="C67" s="65"/>
      <c r="D67" s="64"/>
      <c r="E67" s="62"/>
      <c r="F67" s="370"/>
      <c r="G67" s="397"/>
    </row>
    <row r="68" ht="18.75" customHeight="1" spans="2:7">
      <c r="B68" s="661" t="s">
        <v>1008</v>
      </c>
      <c r="C68" s="65" t="s">
        <v>995</v>
      </c>
      <c r="D68" s="64" t="s">
        <v>225</v>
      </c>
      <c r="E68" s="62">
        <v>737</v>
      </c>
      <c r="F68" s="370">
        <v>1808</v>
      </c>
      <c r="G68" s="397">
        <f>E68*F68</f>
        <v>1332496</v>
      </c>
    </row>
    <row r="69" ht="18.75" customHeight="1" spans="2:7">
      <c r="B69" s="433"/>
      <c r="C69" s="65"/>
      <c r="D69" s="64"/>
      <c r="E69" s="62"/>
      <c r="F69" s="370"/>
      <c r="G69" s="397"/>
    </row>
    <row r="70" ht="18.75" customHeight="1" spans="2:7">
      <c r="B70" s="661" t="s">
        <v>1009</v>
      </c>
      <c r="C70" s="65" t="s">
        <v>997</v>
      </c>
      <c r="D70" s="64" t="s">
        <v>225</v>
      </c>
      <c r="E70" s="62">
        <v>1280</v>
      </c>
      <c r="F70" s="370">
        <v>1826</v>
      </c>
      <c r="G70" s="397">
        <f>E70*F70</f>
        <v>2337280</v>
      </c>
    </row>
    <row r="71" ht="18.75" customHeight="1" spans="2:7">
      <c r="B71" s="433"/>
      <c r="C71" s="65"/>
      <c r="D71" s="64"/>
      <c r="E71" s="62"/>
      <c r="F71" s="370"/>
      <c r="G71" s="397"/>
    </row>
    <row r="72" ht="18.75" customHeight="1" spans="2:7">
      <c r="B72" s="661" t="s">
        <v>1010</v>
      </c>
      <c r="C72" s="65" t="s">
        <v>999</v>
      </c>
      <c r="D72" s="64" t="s">
        <v>225</v>
      </c>
      <c r="E72" s="62">
        <v>1503</v>
      </c>
      <c r="F72" s="370">
        <v>1879</v>
      </c>
      <c r="G72" s="397">
        <f>E72*F72</f>
        <v>2824137</v>
      </c>
    </row>
    <row r="73" ht="18.75" customHeight="1" spans="2:7">
      <c r="B73" s="433"/>
      <c r="C73" s="65"/>
      <c r="D73" s="64"/>
      <c r="E73" s="62"/>
      <c r="F73" s="370"/>
      <c r="G73" s="397"/>
    </row>
    <row r="74" ht="18.75" customHeight="1" spans="2:7">
      <c r="B74" s="661" t="s">
        <v>1011</v>
      </c>
      <c r="C74" s="65" t="s">
        <v>1001</v>
      </c>
      <c r="D74" s="64" t="s">
        <v>225</v>
      </c>
      <c r="E74" s="62">
        <v>1090</v>
      </c>
      <c r="F74" s="370">
        <v>1914</v>
      </c>
      <c r="G74" s="397">
        <f>E74*F74</f>
        <v>2086260</v>
      </c>
    </row>
    <row r="75" ht="18.75" customHeight="1" spans="2:7">
      <c r="B75" s="433"/>
      <c r="C75" s="65"/>
      <c r="D75" s="64"/>
      <c r="E75" s="62"/>
      <c r="F75" s="370"/>
      <c r="G75" s="397"/>
    </row>
    <row r="76" ht="32.25" customHeight="1" spans="2:7">
      <c r="B76" s="662" t="s">
        <v>1012</v>
      </c>
      <c r="C76" s="159" t="s">
        <v>1003</v>
      </c>
      <c r="D76" s="79" t="s">
        <v>225</v>
      </c>
      <c r="E76" s="68">
        <v>147</v>
      </c>
      <c r="F76" s="375">
        <v>1932</v>
      </c>
      <c r="G76" s="431">
        <f>E76*F76</f>
        <v>284004</v>
      </c>
    </row>
    <row r="77" ht="18.75" customHeight="1" spans="2:7">
      <c r="B77" s="433"/>
      <c r="C77" s="22"/>
      <c r="D77" s="64"/>
      <c r="E77" s="62"/>
      <c r="F77" s="370"/>
      <c r="G77" s="397"/>
    </row>
    <row r="78" ht="150" customHeight="1" spans="2:7">
      <c r="B78" s="661" t="s">
        <v>1013</v>
      </c>
      <c r="C78" s="22" t="s">
        <v>1014</v>
      </c>
      <c r="D78" s="64"/>
      <c r="E78" s="62"/>
      <c r="F78" s="370"/>
      <c r="G78" s="397"/>
    </row>
    <row r="79" ht="18.75" customHeight="1" spans="2:7">
      <c r="B79" s="433"/>
      <c r="C79" s="26"/>
      <c r="D79" s="64"/>
      <c r="E79" s="62"/>
      <c r="F79" s="370"/>
      <c r="G79" s="397"/>
    </row>
    <row r="80" ht="18.75" customHeight="1" spans="2:7">
      <c r="B80" s="661" t="s">
        <v>1015</v>
      </c>
      <c r="C80" s="65" t="s">
        <v>991</v>
      </c>
      <c r="D80" s="64" t="s">
        <v>225</v>
      </c>
      <c r="E80" s="62">
        <v>608</v>
      </c>
      <c r="F80" s="370">
        <v>3949</v>
      </c>
      <c r="G80" s="397">
        <f>E80*F80</f>
        <v>2400992</v>
      </c>
    </row>
    <row r="81" ht="18.75" customHeight="1" spans="2:7">
      <c r="B81" s="64"/>
      <c r="C81" s="65"/>
      <c r="D81" s="64"/>
      <c r="E81" s="62"/>
      <c r="F81" s="370"/>
      <c r="G81" s="397"/>
    </row>
    <row r="82" ht="18.75" customHeight="1" spans="2:7">
      <c r="B82" s="661" t="s">
        <v>1016</v>
      </c>
      <c r="C82" s="65" t="s">
        <v>993</v>
      </c>
      <c r="D82" s="64" t="s">
        <v>225</v>
      </c>
      <c r="E82" s="62">
        <v>228</v>
      </c>
      <c r="F82" s="370">
        <v>4028</v>
      </c>
      <c r="G82" s="397">
        <f>E82*F82</f>
        <v>918384</v>
      </c>
    </row>
    <row r="83" ht="18.75" customHeight="1" spans="2:7">
      <c r="B83" s="64"/>
      <c r="C83" s="65"/>
      <c r="D83" s="64"/>
      <c r="E83" s="62"/>
      <c r="F83" s="370"/>
      <c r="G83" s="397"/>
    </row>
    <row r="84" ht="18.75" customHeight="1" spans="2:7">
      <c r="B84" s="661" t="s">
        <v>1017</v>
      </c>
      <c r="C84" s="65" t="s">
        <v>995</v>
      </c>
      <c r="D84" s="64" t="s">
        <v>225</v>
      </c>
      <c r="E84" s="62">
        <v>737</v>
      </c>
      <c r="F84" s="370">
        <v>4107</v>
      </c>
      <c r="G84" s="397">
        <f>E84*F84</f>
        <v>3026859</v>
      </c>
    </row>
    <row r="85" ht="18.75" customHeight="1" spans="2:7">
      <c r="B85" s="64"/>
      <c r="C85" s="65"/>
      <c r="D85" s="64"/>
      <c r="E85" s="62"/>
      <c r="F85" s="370"/>
      <c r="G85" s="397"/>
    </row>
    <row r="86" ht="18.75" customHeight="1" spans="2:7">
      <c r="B86" s="661" t="s">
        <v>1018</v>
      </c>
      <c r="C86" s="65" t="s">
        <v>997</v>
      </c>
      <c r="D86" s="64" t="s">
        <v>225</v>
      </c>
      <c r="E86" s="62">
        <v>1280</v>
      </c>
      <c r="F86" s="370">
        <v>4186</v>
      </c>
      <c r="G86" s="397">
        <f>E86*F86</f>
        <v>5358080</v>
      </c>
    </row>
    <row r="87" ht="18.75" customHeight="1" spans="2:7">
      <c r="B87" s="64"/>
      <c r="C87" s="65"/>
      <c r="D87" s="64"/>
      <c r="E87" s="62"/>
      <c r="F87" s="370"/>
      <c r="G87" s="397"/>
    </row>
    <row r="88" ht="18.75" customHeight="1" spans="2:7">
      <c r="B88" s="661" t="s">
        <v>1019</v>
      </c>
      <c r="C88" s="65" t="s">
        <v>999</v>
      </c>
      <c r="D88" s="64" t="s">
        <v>225</v>
      </c>
      <c r="E88" s="62">
        <v>1503</v>
      </c>
      <c r="F88" s="370">
        <v>4423</v>
      </c>
      <c r="G88" s="397">
        <f>E88*F88</f>
        <v>6647769</v>
      </c>
    </row>
    <row r="89" ht="18.75" customHeight="1" spans="2:7">
      <c r="B89" s="64"/>
      <c r="C89" s="65"/>
      <c r="D89" s="64"/>
      <c r="E89" s="62"/>
      <c r="F89" s="370"/>
      <c r="G89" s="397"/>
    </row>
    <row r="90" ht="18.75" customHeight="1" spans="2:7">
      <c r="B90" s="661" t="s">
        <v>1020</v>
      </c>
      <c r="C90" s="65" t="s">
        <v>1001</v>
      </c>
      <c r="D90" s="64" t="s">
        <v>225</v>
      </c>
      <c r="E90" s="62">
        <v>1090</v>
      </c>
      <c r="F90" s="370">
        <v>4581</v>
      </c>
      <c r="G90" s="397">
        <f>E90*F90</f>
        <v>4993290</v>
      </c>
    </row>
    <row r="91" ht="18.75" customHeight="1" spans="2:7">
      <c r="B91" s="64"/>
      <c r="C91" s="65"/>
      <c r="D91" s="64"/>
      <c r="E91" s="62"/>
      <c r="F91" s="370"/>
      <c r="G91" s="397"/>
    </row>
    <row r="92" ht="18.75" customHeight="1" spans="2:7">
      <c r="B92" s="661" t="s">
        <v>1021</v>
      </c>
      <c r="C92" s="65" t="s">
        <v>1003</v>
      </c>
      <c r="D92" s="64" t="s">
        <v>225</v>
      </c>
      <c r="E92" s="62">
        <v>147</v>
      </c>
      <c r="F92" s="370">
        <v>4660</v>
      </c>
      <c r="G92" s="397">
        <f>E92*F92</f>
        <v>685020</v>
      </c>
    </row>
    <row r="93" ht="18.75" customHeight="1" spans="2:7">
      <c r="B93" s="64"/>
      <c r="C93" s="65"/>
      <c r="D93" s="64"/>
      <c r="E93" s="62"/>
      <c r="F93" s="370"/>
      <c r="G93" s="397"/>
    </row>
    <row r="94" ht="61.5" customHeight="1" spans="2:7">
      <c r="B94" s="661" t="s">
        <v>1022</v>
      </c>
      <c r="C94" s="65" t="s">
        <v>1023</v>
      </c>
      <c r="D94" s="64"/>
      <c r="E94" s="62"/>
      <c r="F94" s="370"/>
      <c r="G94" s="397"/>
    </row>
    <row r="95" ht="26.25" customHeight="1" spans="2:7">
      <c r="B95" s="661" t="s">
        <v>1024</v>
      </c>
      <c r="C95" s="104" t="s">
        <v>1025</v>
      </c>
      <c r="D95" s="64" t="s">
        <v>225</v>
      </c>
      <c r="E95" s="62">
        <v>170</v>
      </c>
      <c r="F95" s="370">
        <v>1241</v>
      </c>
      <c r="G95" s="397">
        <f>E95*F95</f>
        <v>210970</v>
      </c>
    </row>
    <row r="96" ht="26.25" customHeight="1" spans="2:7">
      <c r="B96" s="661" t="s">
        <v>1026</v>
      </c>
      <c r="C96" s="104" t="s">
        <v>1027</v>
      </c>
      <c r="D96" s="64" t="s">
        <v>225</v>
      </c>
      <c r="E96" s="62">
        <v>133</v>
      </c>
      <c r="F96" s="370">
        <v>1241</v>
      </c>
      <c r="G96" s="397">
        <f>E96*F96</f>
        <v>165053</v>
      </c>
    </row>
    <row r="97" ht="53.25" customHeight="1" spans="2:7">
      <c r="B97" s="661" t="s">
        <v>1028</v>
      </c>
      <c r="C97" s="115" t="s">
        <v>1029</v>
      </c>
      <c r="D97" s="64" t="s">
        <v>225</v>
      </c>
      <c r="E97" s="62">
        <v>170</v>
      </c>
      <c r="F97" s="370">
        <v>900</v>
      </c>
      <c r="G97" s="397">
        <f>E97*F97</f>
        <v>153000</v>
      </c>
    </row>
    <row r="98" spans="2:7">
      <c r="B98" s="64"/>
      <c r="C98" s="22"/>
      <c r="D98" s="64"/>
      <c r="E98" s="60"/>
      <c r="F98" s="397"/>
      <c r="G98" s="397"/>
    </row>
    <row r="99" ht="69" spans="2:7">
      <c r="B99" s="64" t="s">
        <v>1030</v>
      </c>
      <c r="C99" s="22" t="s">
        <v>1031</v>
      </c>
      <c r="D99" s="64" t="s">
        <v>225</v>
      </c>
      <c r="E99" s="62">
        <v>50</v>
      </c>
      <c r="F99" s="370">
        <v>678</v>
      </c>
      <c r="G99" s="397">
        <f>E99*F99</f>
        <v>33900</v>
      </c>
    </row>
    <row r="100" spans="2:7">
      <c r="B100" s="64"/>
      <c r="C100" s="22"/>
      <c r="D100" s="64"/>
      <c r="E100" s="62"/>
      <c r="F100" s="370"/>
      <c r="G100" s="397"/>
    </row>
    <row r="101" spans="2:7">
      <c r="B101" s="64"/>
      <c r="C101" s="22"/>
      <c r="D101" s="64"/>
      <c r="E101" s="62"/>
      <c r="F101" s="370"/>
      <c r="G101" s="397"/>
    </row>
    <row r="102" spans="2:7">
      <c r="B102" s="64"/>
      <c r="C102" s="22"/>
      <c r="D102" s="64"/>
      <c r="E102" s="60"/>
      <c r="F102" s="397"/>
      <c r="G102" s="397"/>
    </row>
    <row r="103" s="321" customFormat="1" ht="27" customHeight="1" spans="2:7">
      <c r="B103" s="74"/>
      <c r="C103" s="331" t="s">
        <v>215</v>
      </c>
      <c r="D103" s="74"/>
      <c r="E103" s="435"/>
      <c r="F103" s="416" t="s">
        <v>1032</v>
      </c>
      <c r="G103" s="417">
        <f>SUM(G9:G102)</f>
        <v>51369263</v>
      </c>
    </row>
    <row r="104" ht="14.55" spans="2:7">
      <c r="B104" s="79"/>
      <c r="C104" s="436"/>
      <c r="D104" s="437"/>
      <c r="E104" s="367"/>
      <c r="F104" s="438"/>
      <c r="G104" s="438"/>
    </row>
    <row r="105" spans="2:5">
      <c r="B105" s="346"/>
      <c r="C105" s="421"/>
      <c r="D105" s="348"/>
      <c r="E105" s="422"/>
    </row>
    <row r="106" spans="2:5">
      <c r="B106" s="346"/>
      <c r="C106" s="421"/>
      <c r="D106" s="348"/>
      <c r="E106" s="422"/>
    </row>
  </sheetData>
  <mergeCells count="3">
    <mergeCell ref="B2:G2"/>
    <mergeCell ref="B3:G3"/>
    <mergeCell ref="B4:C4"/>
  </mergeCells>
  <pageMargins left="0.85" right="0.15" top="0.35" bottom="0.3" header="0.3" footer="0.15"/>
  <pageSetup paperSize="9" scale="94" firstPageNumber="35" orientation="portrait" useFirstPageNumber="1"/>
  <headerFooter>
    <oddFooter>&amp;C&amp;P</oddFooter>
  </headerFooter>
  <rowBreaks count="1" manualBreakCount="1">
    <brk id="38" max="6" man="1"/>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B2:J514"/>
  <sheetViews>
    <sheetView view="pageBreakPreview" zoomScaleNormal="100" topLeftCell="A196" workbookViewId="0">
      <selection activeCell="H194" sqref="H194"/>
    </sheetView>
  </sheetViews>
  <sheetFormatPr defaultColWidth="10.287037037037" defaultRowHeight="13.8"/>
  <cols>
    <col min="1" max="1" width="9.13888888888889" style="323" customWidth="1"/>
    <col min="2" max="2" width="11.712962962963" style="323" customWidth="1"/>
    <col min="3" max="3" width="39.712962962963" style="321" customWidth="1"/>
    <col min="4" max="4" width="6.85185185185185" style="323" customWidth="1"/>
    <col min="5" max="5" width="10.712962962963" style="351" customWidth="1"/>
    <col min="6" max="6" width="15.1388888888889" style="352" customWidth="1"/>
    <col min="7" max="7" width="16.4259259259259" style="352" customWidth="1"/>
    <col min="8" max="8" width="16.1388888888889" style="323" customWidth="1"/>
    <col min="9" max="9" width="17.1388888888889" style="352" customWidth="1"/>
    <col min="10" max="10" width="16" style="323" customWidth="1"/>
    <col min="11" max="16384" width="10.287037037037" style="323"/>
  </cols>
  <sheetData>
    <row r="2" s="1" customFormat="1" ht="21" customHeight="1" spans="2:9">
      <c r="B2" s="326" t="str">
        <f>W.proof!B2</f>
        <v>PROPOSED DISTRICT GENERAL HOSPITAL AT HAMBANTOTA</v>
      </c>
      <c r="C2" s="326"/>
      <c r="D2" s="326"/>
      <c r="E2" s="326"/>
      <c r="F2" s="326"/>
      <c r="G2" s="326"/>
      <c r="I2" s="377"/>
    </row>
    <row r="3" s="1" customFormat="1" ht="21" customHeight="1" spans="2:9">
      <c r="B3" s="9" t="str">
        <f>W.proof!B3</f>
        <v>CONSTRUCTION AND COMPLETION OF MAIN BUILDING (BLOCK-E)</v>
      </c>
      <c r="C3" s="9"/>
      <c r="D3" s="9"/>
      <c r="E3" s="9"/>
      <c r="F3" s="9"/>
      <c r="G3" s="9"/>
      <c r="I3" s="377"/>
    </row>
    <row r="4" s="1" customFormat="1" ht="23.25" customHeight="1" spans="2:9">
      <c r="B4" s="9" t="str">
        <f>W.proof!B4</f>
        <v>BILL OF QUANTITIES</v>
      </c>
      <c r="C4" s="9"/>
      <c r="D4" s="353" t="s">
        <v>136</v>
      </c>
      <c r="E4" s="353"/>
      <c r="F4" s="353"/>
      <c r="G4" s="353"/>
      <c r="I4" s="377"/>
    </row>
    <row r="5" ht="22.5" customHeight="1" spans="2:7">
      <c r="B5" s="354" t="s">
        <v>155</v>
      </c>
      <c r="C5" s="354" t="s">
        <v>2</v>
      </c>
      <c r="D5" s="354" t="s">
        <v>156</v>
      </c>
      <c r="E5" s="355" t="s">
        <v>218</v>
      </c>
      <c r="F5" s="355" t="s">
        <v>158</v>
      </c>
      <c r="G5" s="355" t="s">
        <v>159</v>
      </c>
    </row>
    <row r="6" ht="12" customHeight="1" spans="2:7">
      <c r="B6" s="356"/>
      <c r="C6" s="357"/>
      <c r="D6" s="356"/>
      <c r="E6" s="358"/>
      <c r="F6" s="358"/>
      <c r="G6" s="358"/>
    </row>
    <row r="7" ht="18.75" customHeight="1" spans="2:7">
      <c r="B7" s="359" t="s">
        <v>135</v>
      </c>
      <c r="C7" s="73" t="s">
        <v>136</v>
      </c>
      <c r="D7" s="360"/>
      <c r="E7" s="361"/>
      <c r="F7" s="362"/>
      <c r="G7" s="362"/>
    </row>
    <row r="8" ht="8.25" customHeight="1" spans="2:7">
      <c r="B8" s="359"/>
      <c r="C8" s="73"/>
      <c r="D8" s="360"/>
      <c r="E8" s="361"/>
      <c r="F8" s="362"/>
      <c r="G8" s="362"/>
    </row>
    <row r="9" ht="18" customHeight="1" spans="2:7">
      <c r="B9" s="359"/>
      <c r="C9" s="363" t="s">
        <v>1033</v>
      </c>
      <c r="D9" s="360"/>
      <c r="E9" s="361"/>
      <c r="F9" s="362"/>
      <c r="G9" s="362"/>
    </row>
    <row r="10" ht="8.25" customHeight="1" spans="2:7">
      <c r="B10" s="359"/>
      <c r="C10" s="364"/>
      <c r="D10" s="360"/>
      <c r="E10" s="361"/>
      <c r="F10" s="362"/>
      <c r="G10" s="362"/>
    </row>
    <row r="11" ht="86.25" customHeight="1" spans="2:7">
      <c r="B11" s="359"/>
      <c r="C11" s="364" t="s">
        <v>1034</v>
      </c>
      <c r="D11" s="360"/>
      <c r="E11" s="361"/>
      <c r="F11" s="362"/>
      <c r="G11" s="362"/>
    </row>
    <row r="12" spans="2:7">
      <c r="B12" s="359"/>
      <c r="C12" s="364"/>
      <c r="D12" s="360"/>
      <c r="E12" s="361"/>
      <c r="F12" s="362"/>
      <c r="G12" s="362"/>
    </row>
    <row r="13" ht="98.25" customHeight="1" spans="2:7">
      <c r="B13" s="359"/>
      <c r="C13" s="364" t="s">
        <v>1035</v>
      </c>
      <c r="D13" s="360"/>
      <c r="E13" s="361"/>
      <c r="F13" s="362"/>
      <c r="G13" s="362"/>
    </row>
    <row r="14" spans="2:7">
      <c r="B14" s="359"/>
      <c r="C14" s="364"/>
      <c r="D14" s="360"/>
      <c r="E14" s="361"/>
      <c r="F14" s="362"/>
      <c r="G14" s="362"/>
    </row>
    <row r="15" ht="73.5" customHeight="1" spans="2:7">
      <c r="B15" s="359"/>
      <c r="C15" s="364" t="s">
        <v>1036</v>
      </c>
      <c r="D15" s="360"/>
      <c r="E15" s="361"/>
      <c r="F15" s="362"/>
      <c r="G15" s="362"/>
    </row>
    <row r="16" spans="2:7">
      <c r="B16" s="359"/>
      <c r="C16" s="364"/>
      <c r="D16" s="360"/>
      <c r="E16" s="361"/>
      <c r="F16" s="362"/>
      <c r="G16" s="362"/>
    </row>
    <row r="17" ht="81.75" customHeight="1" spans="2:7">
      <c r="B17" s="359"/>
      <c r="C17" s="364" t="s">
        <v>1037</v>
      </c>
      <c r="D17" s="360"/>
      <c r="E17" s="361"/>
      <c r="F17" s="362"/>
      <c r="G17" s="362"/>
    </row>
    <row r="18" ht="9" customHeight="1" spans="2:7">
      <c r="B18" s="359"/>
      <c r="C18" s="364"/>
      <c r="D18" s="360"/>
      <c r="E18" s="361"/>
      <c r="F18" s="362"/>
      <c r="G18" s="362"/>
    </row>
    <row r="19" ht="45.75" customHeight="1" spans="2:7">
      <c r="B19" s="359"/>
      <c r="C19" s="364" t="s">
        <v>1038</v>
      </c>
      <c r="D19" s="360"/>
      <c r="E19" s="361"/>
      <c r="F19" s="362"/>
      <c r="G19" s="362"/>
    </row>
    <row r="20" ht="9" customHeight="1" spans="2:7">
      <c r="B20" s="359"/>
      <c r="C20" s="364"/>
      <c r="D20" s="360"/>
      <c r="E20" s="361"/>
      <c r="F20" s="362"/>
      <c r="G20" s="362"/>
    </row>
    <row r="21" ht="35.25" customHeight="1" spans="2:7">
      <c r="B21" s="359"/>
      <c r="C21" s="364" t="s">
        <v>1039</v>
      </c>
      <c r="D21" s="360"/>
      <c r="E21" s="361"/>
      <c r="F21" s="362"/>
      <c r="G21" s="362"/>
    </row>
    <row r="22" ht="36" customHeight="1" spans="2:7">
      <c r="B22" s="359"/>
      <c r="C22" s="364" t="s">
        <v>1040</v>
      </c>
      <c r="D22" s="360"/>
      <c r="E22" s="361"/>
      <c r="F22" s="362"/>
      <c r="G22" s="362"/>
    </row>
    <row r="23" ht="18.75" customHeight="1" spans="2:7">
      <c r="B23" s="359"/>
      <c r="C23" s="364" t="s">
        <v>1041</v>
      </c>
      <c r="D23" s="360"/>
      <c r="E23" s="361"/>
      <c r="F23" s="362"/>
      <c r="G23" s="362"/>
    </row>
    <row r="24" ht="18.75" customHeight="1" spans="2:7">
      <c r="B24" s="359"/>
      <c r="C24" s="364" t="s">
        <v>1042</v>
      </c>
      <c r="D24" s="360"/>
      <c r="E24" s="361"/>
      <c r="F24" s="362"/>
      <c r="G24" s="362"/>
    </row>
    <row r="25" ht="18.75" customHeight="1" spans="2:7">
      <c r="B25" s="359"/>
      <c r="C25" s="364" t="s">
        <v>1043</v>
      </c>
      <c r="D25" s="360"/>
      <c r="E25" s="361"/>
      <c r="F25" s="362"/>
      <c r="G25" s="362"/>
    </row>
    <row r="26" ht="18.75" customHeight="1" spans="2:7">
      <c r="B26" s="359"/>
      <c r="C26" s="364" t="s">
        <v>1044</v>
      </c>
      <c r="D26" s="360"/>
      <c r="E26" s="361"/>
      <c r="F26" s="362"/>
      <c r="G26" s="362"/>
    </row>
    <row r="27" ht="30.75" customHeight="1" spans="2:7">
      <c r="B27" s="359"/>
      <c r="C27" s="364" t="s">
        <v>1045</v>
      </c>
      <c r="D27" s="360"/>
      <c r="E27" s="361"/>
      <c r="F27" s="362"/>
      <c r="G27" s="362"/>
    </row>
    <row r="28" ht="18.75" customHeight="1" spans="2:7">
      <c r="B28" s="359"/>
      <c r="C28" s="364" t="s">
        <v>1046</v>
      </c>
      <c r="D28" s="360"/>
      <c r="E28" s="361"/>
      <c r="F28" s="362"/>
      <c r="G28" s="362"/>
    </row>
    <row r="29" ht="18.75" customHeight="1" spans="2:7">
      <c r="B29" s="359"/>
      <c r="C29" s="292"/>
      <c r="D29" s="360"/>
      <c r="E29" s="361"/>
      <c r="F29" s="362"/>
      <c r="G29" s="362"/>
    </row>
    <row r="30" ht="18.75" customHeight="1" spans="2:7">
      <c r="B30" s="359"/>
      <c r="C30" s="73" t="s">
        <v>1047</v>
      </c>
      <c r="D30" s="360"/>
      <c r="E30" s="361"/>
      <c r="F30" s="362"/>
      <c r="G30" s="362"/>
    </row>
    <row r="31" ht="70.5" customHeight="1" spans="2:7">
      <c r="B31" s="67"/>
      <c r="C31" s="365" t="s">
        <v>1048</v>
      </c>
      <c r="D31" s="366"/>
      <c r="E31" s="367"/>
      <c r="F31" s="368"/>
      <c r="G31" s="368"/>
    </row>
    <row r="32" ht="18.75" customHeight="1" spans="2:7">
      <c r="B32" s="359"/>
      <c r="C32" s="364"/>
      <c r="D32" s="360"/>
      <c r="E32" s="361"/>
      <c r="F32" s="362"/>
      <c r="G32" s="362"/>
    </row>
    <row r="33" ht="18.75" customHeight="1" spans="2:7">
      <c r="B33" s="359"/>
      <c r="C33" s="364" t="s">
        <v>1049</v>
      </c>
      <c r="D33" s="360"/>
      <c r="E33" s="361"/>
      <c r="F33" s="362"/>
      <c r="G33" s="362"/>
    </row>
    <row r="34" ht="18.75" customHeight="1" spans="2:7">
      <c r="B34" s="359"/>
      <c r="C34" s="26" t="s">
        <v>1050</v>
      </c>
      <c r="D34" s="360"/>
      <c r="E34" s="361"/>
      <c r="F34" s="362"/>
      <c r="G34" s="362"/>
    </row>
    <row r="35" ht="88.5" customHeight="1" spans="2:7">
      <c r="B35" s="59" t="s">
        <v>1051</v>
      </c>
      <c r="C35" s="26" t="s">
        <v>1052</v>
      </c>
      <c r="D35" s="59"/>
      <c r="E35" s="369"/>
      <c r="F35" s="370"/>
      <c r="G35" s="371"/>
    </row>
    <row r="36" ht="33.75" customHeight="1" spans="2:7">
      <c r="B36" s="59" t="s">
        <v>1053</v>
      </c>
      <c r="C36" s="26" t="s">
        <v>1054</v>
      </c>
      <c r="D36" s="59"/>
      <c r="E36" s="372"/>
      <c r="F36" s="370"/>
      <c r="G36" s="371"/>
    </row>
    <row r="37" ht="26.25" customHeight="1" spans="2:7">
      <c r="B37" s="59" t="s">
        <v>1055</v>
      </c>
      <c r="C37" s="104" t="s">
        <v>972</v>
      </c>
      <c r="D37" s="59" t="s">
        <v>1056</v>
      </c>
      <c r="E37" s="373">
        <v>1</v>
      </c>
      <c r="F37" s="370">
        <v>264942</v>
      </c>
      <c r="G37" s="371">
        <f>E37*F37</f>
        <v>264942</v>
      </c>
    </row>
    <row r="38" ht="26.25" customHeight="1" spans="2:7">
      <c r="B38" s="59" t="s">
        <v>1057</v>
      </c>
      <c r="C38" s="104" t="s">
        <v>974</v>
      </c>
      <c r="D38" s="59" t="s">
        <v>1056</v>
      </c>
      <c r="E38" s="373">
        <v>1</v>
      </c>
      <c r="F38" s="370">
        <v>264942</v>
      </c>
      <c r="G38" s="371">
        <f>E38*F38</f>
        <v>264942</v>
      </c>
    </row>
    <row r="39" ht="26.25" customHeight="1" spans="2:7">
      <c r="B39" s="59" t="s">
        <v>1058</v>
      </c>
      <c r="C39" s="104" t="s">
        <v>976</v>
      </c>
      <c r="D39" s="59" t="s">
        <v>1056</v>
      </c>
      <c r="E39" s="373">
        <v>1</v>
      </c>
      <c r="F39" s="370">
        <v>264942</v>
      </c>
      <c r="G39" s="371">
        <f>E39*F39</f>
        <v>264942</v>
      </c>
    </row>
    <row r="40" ht="26.25" customHeight="1" spans="2:7">
      <c r="B40" s="59" t="s">
        <v>1059</v>
      </c>
      <c r="C40" s="104" t="s">
        <v>1060</v>
      </c>
      <c r="D40" s="59" t="s">
        <v>1056</v>
      </c>
      <c r="E40" s="373">
        <v>2</v>
      </c>
      <c r="F40" s="370">
        <v>264942</v>
      </c>
      <c r="G40" s="371">
        <f>E40*F40</f>
        <v>529884</v>
      </c>
    </row>
    <row r="41" ht="26.25" customHeight="1" spans="2:7">
      <c r="B41" s="59" t="s">
        <v>1061</v>
      </c>
      <c r="C41" s="104" t="s">
        <v>1062</v>
      </c>
      <c r="D41" s="59" t="s">
        <v>1056</v>
      </c>
      <c r="E41" s="373">
        <v>2</v>
      </c>
      <c r="F41" s="370">
        <v>264942</v>
      </c>
      <c r="G41" s="371">
        <f>E41*F41</f>
        <v>529884</v>
      </c>
    </row>
    <row r="42" ht="26.25" customHeight="1" spans="2:7">
      <c r="B42" s="59"/>
      <c r="C42" s="26"/>
      <c r="D42" s="59"/>
      <c r="E42" s="372"/>
      <c r="F42" s="370"/>
      <c r="G42" s="371"/>
    </row>
    <row r="43" ht="26.25" customHeight="1" spans="2:7">
      <c r="B43" s="59" t="s">
        <v>1063</v>
      </c>
      <c r="C43" s="26" t="s">
        <v>1064</v>
      </c>
      <c r="D43" s="59"/>
      <c r="E43" s="372"/>
      <c r="F43" s="370"/>
      <c r="G43" s="371"/>
    </row>
    <row r="44" ht="26.25" customHeight="1" spans="2:7">
      <c r="B44" s="59" t="s">
        <v>1065</v>
      </c>
      <c r="C44" s="104" t="s">
        <v>1066</v>
      </c>
      <c r="D44" s="59" t="s">
        <v>1056</v>
      </c>
      <c r="E44" s="373">
        <v>2</v>
      </c>
      <c r="F44" s="370">
        <v>121257</v>
      </c>
      <c r="G44" s="371">
        <f t="shared" ref="G44:G53" si="0">E44*F44</f>
        <v>242514</v>
      </c>
    </row>
    <row r="45" ht="26.25" customHeight="1" spans="2:7">
      <c r="B45" s="59" t="s">
        <v>1067</v>
      </c>
      <c r="C45" s="104" t="s">
        <v>1068</v>
      </c>
      <c r="D45" s="59" t="s">
        <v>1056</v>
      </c>
      <c r="E45" s="373">
        <v>1</v>
      </c>
      <c r="F45" s="370">
        <v>121257</v>
      </c>
      <c r="G45" s="371">
        <f t="shared" si="0"/>
        <v>121257</v>
      </c>
    </row>
    <row r="46" ht="26.25" customHeight="1" spans="2:7">
      <c r="B46" s="59" t="s">
        <v>1069</v>
      </c>
      <c r="C46" s="104" t="s">
        <v>1070</v>
      </c>
      <c r="D46" s="59" t="s">
        <v>1056</v>
      </c>
      <c r="E46" s="373">
        <v>1</v>
      </c>
      <c r="F46" s="370">
        <v>121257</v>
      </c>
      <c r="G46" s="371">
        <f t="shared" si="0"/>
        <v>121257</v>
      </c>
    </row>
    <row r="47" ht="26.25" customHeight="1" spans="2:7">
      <c r="B47" s="59" t="s">
        <v>1071</v>
      </c>
      <c r="C47" s="104" t="s">
        <v>1072</v>
      </c>
      <c r="D47" s="59" t="s">
        <v>1056</v>
      </c>
      <c r="E47" s="373">
        <v>1</v>
      </c>
      <c r="F47" s="370">
        <v>121257</v>
      </c>
      <c r="G47" s="371">
        <f t="shared" si="0"/>
        <v>121257</v>
      </c>
    </row>
    <row r="48" ht="26.25" customHeight="1" spans="2:7">
      <c r="B48" s="59" t="s">
        <v>1073</v>
      </c>
      <c r="C48" s="104" t="s">
        <v>1074</v>
      </c>
      <c r="D48" s="59" t="s">
        <v>1056</v>
      </c>
      <c r="E48" s="373">
        <v>7</v>
      </c>
      <c r="F48" s="370">
        <v>121257</v>
      </c>
      <c r="G48" s="371">
        <f t="shared" si="0"/>
        <v>848799</v>
      </c>
    </row>
    <row r="49" ht="26.25" customHeight="1" spans="2:7">
      <c r="B49" s="59" t="s">
        <v>1075</v>
      </c>
      <c r="C49" s="104" t="s">
        <v>1076</v>
      </c>
      <c r="D49" s="59" t="s">
        <v>1056</v>
      </c>
      <c r="E49" s="373">
        <v>2</v>
      </c>
      <c r="F49" s="370">
        <v>121257</v>
      </c>
      <c r="G49" s="371">
        <f t="shared" si="0"/>
        <v>242514</v>
      </c>
    </row>
    <row r="50" ht="26.25" customHeight="1" spans="2:7">
      <c r="B50" s="59" t="s">
        <v>1077</v>
      </c>
      <c r="C50" s="104" t="s">
        <v>1078</v>
      </c>
      <c r="D50" s="59" t="s">
        <v>1056</v>
      </c>
      <c r="E50" s="373">
        <v>4</v>
      </c>
      <c r="F50" s="370">
        <v>121257</v>
      </c>
      <c r="G50" s="371">
        <f t="shared" si="0"/>
        <v>485028</v>
      </c>
    </row>
    <row r="51" ht="26.25" customHeight="1" spans="2:7">
      <c r="B51" s="59" t="s">
        <v>1079</v>
      </c>
      <c r="C51" s="104" t="s">
        <v>1080</v>
      </c>
      <c r="D51" s="59" t="s">
        <v>1056</v>
      </c>
      <c r="E51" s="373">
        <v>1</v>
      </c>
      <c r="F51" s="370">
        <v>121257</v>
      </c>
      <c r="G51" s="371">
        <f t="shared" si="0"/>
        <v>121257</v>
      </c>
    </row>
    <row r="52" ht="26.25" customHeight="1" spans="2:7">
      <c r="B52" s="59" t="s">
        <v>1081</v>
      </c>
      <c r="C52" s="104" t="s">
        <v>1082</v>
      </c>
      <c r="D52" s="59" t="s">
        <v>1056</v>
      </c>
      <c r="E52" s="373">
        <v>1</v>
      </c>
      <c r="F52" s="370">
        <v>121257</v>
      </c>
      <c r="G52" s="371">
        <f t="shared" si="0"/>
        <v>121257</v>
      </c>
    </row>
    <row r="53" ht="26.25" customHeight="1" spans="2:7">
      <c r="B53" s="59" t="s">
        <v>1083</v>
      </c>
      <c r="C53" s="104" t="s">
        <v>1084</v>
      </c>
      <c r="D53" s="59" t="s">
        <v>1056</v>
      </c>
      <c r="E53" s="373">
        <v>1</v>
      </c>
      <c r="F53" s="370">
        <v>121257</v>
      </c>
      <c r="G53" s="371">
        <f t="shared" si="0"/>
        <v>121257</v>
      </c>
    </row>
    <row r="54" ht="26.25" customHeight="1" spans="2:7">
      <c r="B54" s="59"/>
      <c r="C54" s="26"/>
      <c r="D54" s="59"/>
      <c r="E54" s="372"/>
      <c r="F54" s="370"/>
      <c r="G54" s="371"/>
    </row>
    <row r="55" ht="26.25" customHeight="1" spans="2:7">
      <c r="B55" s="59" t="s">
        <v>1085</v>
      </c>
      <c r="C55" s="26" t="s">
        <v>1086</v>
      </c>
      <c r="D55" s="59"/>
      <c r="E55" s="372"/>
      <c r="F55" s="370"/>
      <c r="G55" s="371"/>
    </row>
    <row r="56" ht="26.25" customHeight="1" spans="2:7">
      <c r="B56" s="59" t="s">
        <v>1087</v>
      </c>
      <c r="C56" s="104" t="s">
        <v>1066</v>
      </c>
      <c r="D56" s="59" t="s">
        <v>1056</v>
      </c>
      <c r="E56" s="373">
        <v>12</v>
      </c>
      <c r="F56" s="370">
        <v>106884</v>
      </c>
      <c r="G56" s="371">
        <f t="shared" ref="G56:G66" si="1">E56*F56</f>
        <v>1282608</v>
      </c>
    </row>
    <row r="57" ht="26.25" customHeight="1" spans="2:7">
      <c r="B57" s="59" t="s">
        <v>1088</v>
      </c>
      <c r="C57" s="104" t="s">
        <v>1068</v>
      </c>
      <c r="D57" s="59" t="s">
        <v>1056</v>
      </c>
      <c r="E57" s="373">
        <v>4</v>
      </c>
      <c r="F57" s="370">
        <v>106884</v>
      </c>
      <c r="G57" s="371">
        <f t="shared" si="1"/>
        <v>427536</v>
      </c>
    </row>
    <row r="58" ht="26.25" customHeight="1" spans="2:7">
      <c r="B58" s="59" t="s">
        <v>1089</v>
      </c>
      <c r="C58" s="104" t="s">
        <v>1070</v>
      </c>
      <c r="D58" s="59" t="s">
        <v>1056</v>
      </c>
      <c r="E58" s="373">
        <v>8</v>
      </c>
      <c r="F58" s="370">
        <v>106884</v>
      </c>
      <c r="G58" s="371">
        <f t="shared" si="1"/>
        <v>855072</v>
      </c>
    </row>
    <row r="59" ht="26.25" customHeight="1" spans="2:7">
      <c r="B59" s="59" t="s">
        <v>1090</v>
      </c>
      <c r="C59" s="104" t="s">
        <v>1072</v>
      </c>
      <c r="D59" s="59" t="s">
        <v>1056</v>
      </c>
      <c r="E59" s="373">
        <v>16</v>
      </c>
      <c r="F59" s="370">
        <v>106884</v>
      </c>
      <c r="G59" s="371">
        <f t="shared" si="1"/>
        <v>1710144</v>
      </c>
    </row>
    <row r="60" ht="26.25" customHeight="1" spans="2:7">
      <c r="B60" s="59" t="s">
        <v>1091</v>
      </c>
      <c r="C60" s="104" t="s">
        <v>1074</v>
      </c>
      <c r="D60" s="59" t="s">
        <v>1056</v>
      </c>
      <c r="E60" s="373">
        <v>15</v>
      </c>
      <c r="F60" s="370">
        <v>106884</v>
      </c>
      <c r="G60" s="371">
        <f t="shared" si="1"/>
        <v>1603260</v>
      </c>
    </row>
    <row r="61" ht="26.25" customHeight="1" spans="2:7">
      <c r="B61" s="59" t="s">
        <v>1092</v>
      </c>
      <c r="C61" s="104" t="s">
        <v>1076</v>
      </c>
      <c r="D61" s="59" t="s">
        <v>1056</v>
      </c>
      <c r="E61" s="373">
        <v>15</v>
      </c>
      <c r="F61" s="370">
        <v>106884</v>
      </c>
      <c r="G61" s="371">
        <f t="shared" si="1"/>
        <v>1603260</v>
      </c>
    </row>
    <row r="62" ht="26.25" customHeight="1" spans="2:7">
      <c r="B62" s="59" t="s">
        <v>1093</v>
      </c>
      <c r="C62" s="104" t="s">
        <v>1078</v>
      </c>
      <c r="D62" s="59" t="s">
        <v>1056</v>
      </c>
      <c r="E62" s="373">
        <v>15</v>
      </c>
      <c r="F62" s="370">
        <v>106884</v>
      </c>
      <c r="G62" s="371">
        <f t="shared" si="1"/>
        <v>1603260</v>
      </c>
    </row>
    <row r="63" ht="35.25" customHeight="1" spans="2:7">
      <c r="B63" s="67" t="s">
        <v>1094</v>
      </c>
      <c r="C63" s="144" t="s">
        <v>1080</v>
      </c>
      <c r="D63" s="67" t="s">
        <v>1056</v>
      </c>
      <c r="E63" s="374">
        <v>7</v>
      </c>
      <c r="F63" s="375">
        <v>106884</v>
      </c>
      <c r="G63" s="376">
        <f t="shared" si="1"/>
        <v>748188</v>
      </c>
    </row>
    <row r="64" ht="21.75" customHeight="1" spans="2:7">
      <c r="B64" s="59"/>
      <c r="C64" s="104"/>
      <c r="D64" s="59"/>
      <c r="E64" s="373"/>
      <c r="F64" s="370"/>
      <c r="G64" s="371"/>
    </row>
    <row r="65" ht="26.25" customHeight="1" spans="2:7">
      <c r="B65" s="59" t="s">
        <v>1095</v>
      </c>
      <c r="C65" s="104" t="s">
        <v>1082</v>
      </c>
      <c r="D65" s="59" t="s">
        <v>1056</v>
      </c>
      <c r="E65" s="373">
        <v>7</v>
      </c>
      <c r="F65" s="370">
        <v>106884</v>
      </c>
      <c r="G65" s="371">
        <f t="shared" si="1"/>
        <v>748188</v>
      </c>
    </row>
    <row r="66" ht="26.25" customHeight="1" spans="2:7">
      <c r="B66" s="59" t="s">
        <v>1096</v>
      </c>
      <c r="C66" s="104" t="s">
        <v>1084</v>
      </c>
      <c r="D66" s="59" t="s">
        <v>1056</v>
      </c>
      <c r="E66" s="373">
        <v>7</v>
      </c>
      <c r="F66" s="370">
        <v>106884</v>
      </c>
      <c r="G66" s="371">
        <f t="shared" si="1"/>
        <v>748188</v>
      </c>
    </row>
    <row r="67" ht="26.25" customHeight="1" spans="2:7">
      <c r="B67" s="59"/>
      <c r="C67" s="104"/>
      <c r="D67" s="59"/>
      <c r="E67" s="373"/>
      <c r="F67" s="370"/>
      <c r="G67" s="371"/>
    </row>
    <row r="68" ht="26.25" customHeight="1" spans="2:7">
      <c r="B68" s="59" t="s">
        <v>1097</v>
      </c>
      <c r="C68" s="26" t="s">
        <v>1098</v>
      </c>
      <c r="D68" s="59"/>
      <c r="E68" s="372"/>
      <c r="F68" s="370"/>
      <c r="G68" s="371"/>
    </row>
    <row r="69" ht="26.25" customHeight="1" spans="2:7">
      <c r="B69" s="59" t="s">
        <v>1099</v>
      </c>
      <c r="C69" s="104" t="s">
        <v>1068</v>
      </c>
      <c r="D69" s="59" t="s">
        <v>1056</v>
      </c>
      <c r="E69" s="373">
        <v>1</v>
      </c>
      <c r="F69" s="370">
        <v>60347</v>
      </c>
      <c r="G69" s="371">
        <f t="shared" ref="G69:G77" si="2">E69*F69</f>
        <v>60347</v>
      </c>
    </row>
    <row r="70" ht="26.25" customHeight="1" spans="2:7">
      <c r="B70" s="59" t="s">
        <v>1100</v>
      </c>
      <c r="C70" s="104" t="s">
        <v>1070</v>
      </c>
      <c r="D70" s="59" t="s">
        <v>1056</v>
      </c>
      <c r="E70" s="373">
        <v>1</v>
      </c>
      <c r="F70" s="370">
        <v>60347</v>
      </c>
      <c r="G70" s="371">
        <f t="shared" si="2"/>
        <v>60347</v>
      </c>
    </row>
    <row r="71" ht="26.25" customHeight="1" spans="2:7">
      <c r="B71" s="59" t="s">
        <v>1101</v>
      </c>
      <c r="C71" s="104" t="s">
        <v>1072</v>
      </c>
      <c r="D71" s="59" t="s">
        <v>1056</v>
      </c>
      <c r="E71" s="373">
        <v>1</v>
      </c>
      <c r="F71" s="370">
        <v>60347</v>
      </c>
      <c r="G71" s="371">
        <f t="shared" si="2"/>
        <v>60347</v>
      </c>
    </row>
    <row r="72" ht="26.25" customHeight="1" spans="2:7">
      <c r="B72" s="59" t="s">
        <v>1102</v>
      </c>
      <c r="C72" s="104" t="s">
        <v>1074</v>
      </c>
      <c r="D72" s="59" t="s">
        <v>1056</v>
      </c>
      <c r="E72" s="373">
        <v>1</v>
      </c>
      <c r="F72" s="370">
        <v>60347</v>
      </c>
      <c r="G72" s="371">
        <f t="shared" si="2"/>
        <v>60347</v>
      </c>
    </row>
    <row r="73" ht="26.25" customHeight="1" spans="2:7">
      <c r="B73" s="59" t="s">
        <v>1103</v>
      </c>
      <c r="C73" s="104" t="s">
        <v>1076</v>
      </c>
      <c r="D73" s="59" t="s">
        <v>1056</v>
      </c>
      <c r="E73" s="373">
        <v>1</v>
      </c>
      <c r="F73" s="370">
        <v>60347</v>
      </c>
      <c r="G73" s="371">
        <f t="shared" si="2"/>
        <v>60347</v>
      </c>
    </row>
    <row r="74" ht="26.25" customHeight="1" spans="2:7">
      <c r="B74" s="59" t="s">
        <v>1104</v>
      </c>
      <c r="C74" s="104" t="s">
        <v>1078</v>
      </c>
      <c r="D74" s="59" t="s">
        <v>1056</v>
      </c>
      <c r="E74" s="373">
        <v>1</v>
      </c>
      <c r="F74" s="370">
        <v>60347</v>
      </c>
      <c r="G74" s="371">
        <f t="shared" si="2"/>
        <v>60347</v>
      </c>
    </row>
    <row r="75" ht="26.25" customHeight="1" spans="2:7">
      <c r="B75" s="59" t="s">
        <v>1105</v>
      </c>
      <c r="C75" s="104" t="s">
        <v>1080</v>
      </c>
      <c r="D75" s="59" t="s">
        <v>1056</v>
      </c>
      <c r="E75" s="373">
        <v>1</v>
      </c>
      <c r="F75" s="370">
        <v>60347</v>
      </c>
      <c r="G75" s="371">
        <f t="shared" si="2"/>
        <v>60347</v>
      </c>
    </row>
    <row r="76" ht="26.25" customHeight="1" spans="2:7">
      <c r="B76" s="59" t="s">
        <v>1106</v>
      </c>
      <c r="C76" s="104" t="s">
        <v>1082</v>
      </c>
      <c r="D76" s="59" t="s">
        <v>1056</v>
      </c>
      <c r="E76" s="373">
        <v>1</v>
      </c>
      <c r="F76" s="370">
        <v>60347</v>
      </c>
      <c r="G76" s="371">
        <f t="shared" si="2"/>
        <v>60347</v>
      </c>
    </row>
    <row r="77" ht="26.25" customHeight="1" spans="2:7">
      <c r="B77" s="59" t="s">
        <v>1107</v>
      </c>
      <c r="C77" s="104" t="s">
        <v>1084</v>
      </c>
      <c r="D77" s="59" t="s">
        <v>1056</v>
      </c>
      <c r="E77" s="373">
        <v>1</v>
      </c>
      <c r="F77" s="370">
        <v>60347</v>
      </c>
      <c r="G77" s="371">
        <f t="shared" si="2"/>
        <v>60347</v>
      </c>
    </row>
    <row r="78" ht="26.25" customHeight="1" spans="2:7">
      <c r="B78" s="59"/>
      <c r="C78" s="26"/>
      <c r="D78" s="59"/>
      <c r="E78" s="372"/>
      <c r="F78" s="370"/>
      <c r="G78" s="371"/>
    </row>
    <row r="79" ht="26.25" customHeight="1" spans="2:7">
      <c r="B79" s="59" t="s">
        <v>1108</v>
      </c>
      <c r="C79" s="26" t="s">
        <v>1109</v>
      </c>
      <c r="D79" s="59"/>
      <c r="E79" s="372"/>
      <c r="F79" s="370"/>
      <c r="G79" s="371"/>
    </row>
    <row r="80" ht="26.25" customHeight="1" spans="2:7">
      <c r="B80" s="59" t="s">
        <v>1110</v>
      </c>
      <c r="C80" s="104" t="s">
        <v>1066</v>
      </c>
      <c r="D80" s="59" t="s">
        <v>1056</v>
      </c>
      <c r="E80" s="373">
        <v>11</v>
      </c>
      <c r="F80" s="370">
        <v>37988</v>
      </c>
      <c r="G80" s="371">
        <f t="shared" ref="G80:G88" si="3">E80*F80</f>
        <v>417868</v>
      </c>
    </row>
    <row r="81" ht="26.25" customHeight="1" spans="2:7">
      <c r="B81" s="59" t="s">
        <v>1111</v>
      </c>
      <c r="C81" s="104" t="s">
        <v>1068</v>
      </c>
      <c r="D81" s="59" t="s">
        <v>1056</v>
      </c>
      <c r="E81" s="373">
        <v>29</v>
      </c>
      <c r="F81" s="370">
        <v>37988</v>
      </c>
      <c r="G81" s="371">
        <f t="shared" si="3"/>
        <v>1101652</v>
      </c>
    </row>
    <row r="82" ht="26.25" customHeight="1" spans="2:7">
      <c r="B82" s="59" t="s">
        <v>1112</v>
      </c>
      <c r="C82" s="104" t="s">
        <v>1070</v>
      </c>
      <c r="D82" s="59" t="s">
        <v>1056</v>
      </c>
      <c r="E82" s="373">
        <v>47</v>
      </c>
      <c r="F82" s="370">
        <v>37988</v>
      </c>
      <c r="G82" s="371">
        <f t="shared" si="3"/>
        <v>1785436</v>
      </c>
    </row>
    <row r="83" ht="26.25" customHeight="1" spans="2:7">
      <c r="B83" s="59" t="s">
        <v>1113</v>
      </c>
      <c r="C83" s="104" t="s">
        <v>1072</v>
      </c>
      <c r="D83" s="59" t="s">
        <v>1056</v>
      </c>
      <c r="E83" s="373">
        <v>21</v>
      </c>
      <c r="F83" s="370">
        <v>37988</v>
      </c>
      <c r="G83" s="371">
        <f t="shared" si="3"/>
        <v>797748</v>
      </c>
    </row>
    <row r="84" ht="26.25" customHeight="1" spans="2:7">
      <c r="B84" s="59" t="s">
        <v>1114</v>
      </c>
      <c r="C84" s="104" t="s">
        <v>1074</v>
      </c>
      <c r="D84" s="59" t="s">
        <v>1056</v>
      </c>
      <c r="E84" s="373">
        <v>20</v>
      </c>
      <c r="F84" s="370">
        <v>37988</v>
      </c>
      <c r="G84" s="371">
        <f t="shared" si="3"/>
        <v>759760</v>
      </c>
    </row>
    <row r="85" ht="26.25" customHeight="1" spans="2:7">
      <c r="B85" s="59" t="s">
        <v>1115</v>
      </c>
      <c r="C85" s="104" t="s">
        <v>1076</v>
      </c>
      <c r="D85" s="59" t="s">
        <v>1056</v>
      </c>
      <c r="E85" s="373">
        <v>20</v>
      </c>
      <c r="F85" s="370">
        <v>37988</v>
      </c>
      <c r="G85" s="371">
        <f t="shared" si="3"/>
        <v>759760</v>
      </c>
    </row>
    <row r="86" ht="26.25" customHeight="1" spans="2:7">
      <c r="B86" s="59" t="s">
        <v>1116</v>
      </c>
      <c r="C86" s="104" t="s">
        <v>1078</v>
      </c>
      <c r="D86" s="59" t="s">
        <v>1056</v>
      </c>
      <c r="E86" s="373">
        <v>19</v>
      </c>
      <c r="F86" s="370">
        <v>37988</v>
      </c>
      <c r="G86" s="371">
        <f t="shared" si="3"/>
        <v>721772</v>
      </c>
    </row>
    <row r="87" ht="26.25" customHeight="1" spans="2:7">
      <c r="B87" s="59" t="s">
        <v>1117</v>
      </c>
      <c r="C87" s="104" t="s">
        <v>1080</v>
      </c>
      <c r="D87" s="59" t="s">
        <v>1056</v>
      </c>
      <c r="E87" s="373">
        <v>9</v>
      </c>
      <c r="F87" s="370">
        <v>37988</v>
      </c>
      <c r="G87" s="371">
        <f t="shared" si="3"/>
        <v>341892</v>
      </c>
    </row>
    <row r="88" ht="26.25" customHeight="1" spans="2:7">
      <c r="B88" s="59" t="s">
        <v>1118</v>
      </c>
      <c r="C88" s="104" t="s">
        <v>1082</v>
      </c>
      <c r="D88" s="59" t="s">
        <v>1056</v>
      </c>
      <c r="E88" s="373">
        <v>9</v>
      </c>
      <c r="F88" s="370">
        <v>37988</v>
      </c>
      <c r="G88" s="371">
        <f t="shared" si="3"/>
        <v>341892</v>
      </c>
    </row>
    <row r="89" ht="26.25" customHeight="1" spans="2:7">
      <c r="B89" s="59"/>
      <c r="C89" s="26"/>
      <c r="D89" s="59"/>
      <c r="E89" s="372"/>
      <c r="F89" s="370"/>
      <c r="G89" s="371"/>
    </row>
    <row r="90" ht="26.25" customHeight="1" spans="2:7">
      <c r="B90" s="59" t="s">
        <v>1119</v>
      </c>
      <c r="C90" s="26" t="s">
        <v>1120</v>
      </c>
      <c r="D90" s="59"/>
      <c r="E90" s="372"/>
      <c r="F90" s="370"/>
      <c r="G90" s="371"/>
    </row>
    <row r="91" ht="26.25" customHeight="1" spans="2:7">
      <c r="B91" s="59" t="s">
        <v>1121</v>
      </c>
      <c r="C91" s="104" t="s">
        <v>1066</v>
      </c>
      <c r="D91" s="59" t="s">
        <v>1056</v>
      </c>
      <c r="E91" s="373">
        <v>11</v>
      </c>
      <c r="F91" s="370">
        <v>17468</v>
      </c>
      <c r="G91" s="371">
        <f t="shared" ref="G91:G100" si="4">E91*F91</f>
        <v>192148</v>
      </c>
    </row>
    <row r="92" ht="26.25" customHeight="1" spans="2:7">
      <c r="B92" s="59" t="s">
        <v>1122</v>
      </c>
      <c r="C92" s="104" t="s">
        <v>1068</v>
      </c>
      <c r="D92" s="59" t="s">
        <v>1056</v>
      </c>
      <c r="E92" s="373">
        <v>29</v>
      </c>
      <c r="F92" s="370">
        <v>17468</v>
      </c>
      <c r="G92" s="371">
        <f t="shared" si="4"/>
        <v>506572</v>
      </c>
    </row>
    <row r="93" ht="26.25" customHeight="1" spans="2:7">
      <c r="B93" s="59" t="s">
        <v>1123</v>
      </c>
      <c r="C93" s="104" t="s">
        <v>1070</v>
      </c>
      <c r="D93" s="59" t="s">
        <v>1056</v>
      </c>
      <c r="E93" s="373">
        <v>47</v>
      </c>
      <c r="F93" s="370">
        <v>17468</v>
      </c>
      <c r="G93" s="371">
        <f t="shared" si="4"/>
        <v>820996</v>
      </c>
    </row>
    <row r="94" ht="26.25" customHeight="1" spans="2:7">
      <c r="B94" s="59" t="s">
        <v>1124</v>
      </c>
      <c r="C94" s="104" t="s">
        <v>1072</v>
      </c>
      <c r="D94" s="59" t="s">
        <v>1056</v>
      </c>
      <c r="E94" s="373">
        <v>21</v>
      </c>
      <c r="F94" s="370">
        <v>17468</v>
      </c>
      <c r="G94" s="371">
        <f t="shared" si="4"/>
        <v>366828</v>
      </c>
    </row>
    <row r="95" ht="26.25" customHeight="1" spans="2:7">
      <c r="B95" s="59" t="s">
        <v>1125</v>
      </c>
      <c r="C95" s="104" t="s">
        <v>1074</v>
      </c>
      <c r="D95" s="59" t="s">
        <v>1056</v>
      </c>
      <c r="E95" s="373">
        <v>20</v>
      </c>
      <c r="F95" s="370">
        <v>17468</v>
      </c>
      <c r="G95" s="371">
        <f t="shared" si="4"/>
        <v>349360</v>
      </c>
    </row>
    <row r="96" ht="26.25" customHeight="1" spans="2:7">
      <c r="B96" s="59" t="s">
        <v>1126</v>
      </c>
      <c r="C96" s="104" t="s">
        <v>1076</v>
      </c>
      <c r="D96" s="59" t="s">
        <v>1056</v>
      </c>
      <c r="E96" s="373">
        <v>20</v>
      </c>
      <c r="F96" s="370">
        <v>17468</v>
      </c>
      <c r="G96" s="371">
        <f t="shared" si="4"/>
        <v>349360</v>
      </c>
    </row>
    <row r="97" ht="26.25" customHeight="1" spans="2:7">
      <c r="B97" s="67" t="s">
        <v>1127</v>
      </c>
      <c r="C97" s="144" t="s">
        <v>1078</v>
      </c>
      <c r="D97" s="67" t="s">
        <v>1056</v>
      </c>
      <c r="E97" s="374">
        <v>19</v>
      </c>
      <c r="F97" s="375">
        <v>17468</v>
      </c>
      <c r="G97" s="376">
        <f t="shared" si="4"/>
        <v>331892</v>
      </c>
    </row>
    <row r="98" ht="20.25" customHeight="1" spans="2:7">
      <c r="B98" s="59"/>
      <c r="C98" s="104"/>
      <c r="D98" s="59"/>
      <c r="E98" s="373"/>
      <c r="F98" s="370"/>
      <c r="G98" s="371"/>
    </row>
    <row r="99" ht="26.25" customHeight="1" spans="2:7">
      <c r="B99" s="59" t="s">
        <v>1128</v>
      </c>
      <c r="C99" s="104" t="s">
        <v>1080</v>
      </c>
      <c r="D99" s="59" t="s">
        <v>1056</v>
      </c>
      <c r="E99" s="373">
        <v>9</v>
      </c>
      <c r="F99" s="370">
        <v>17468</v>
      </c>
      <c r="G99" s="371">
        <f t="shared" si="4"/>
        <v>157212</v>
      </c>
    </row>
    <row r="100" ht="26.25" customHeight="1" spans="2:7">
      <c r="B100" s="59" t="s">
        <v>1129</v>
      </c>
      <c r="C100" s="104" t="s">
        <v>1082</v>
      </c>
      <c r="D100" s="59" t="s">
        <v>1056</v>
      </c>
      <c r="E100" s="373">
        <v>9</v>
      </c>
      <c r="F100" s="370">
        <v>17468</v>
      </c>
      <c r="G100" s="371">
        <f t="shared" si="4"/>
        <v>157212</v>
      </c>
    </row>
    <row r="101" ht="26.25" customHeight="1" spans="2:7">
      <c r="B101" s="59"/>
      <c r="C101" s="26"/>
      <c r="D101" s="59"/>
      <c r="E101" s="372"/>
      <c r="F101" s="370"/>
      <c r="G101" s="371"/>
    </row>
    <row r="102" ht="26.25" customHeight="1" spans="2:7">
      <c r="B102" s="59" t="s">
        <v>1130</v>
      </c>
      <c r="C102" s="26" t="s">
        <v>1131</v>
      </c>
      <c r="D102" s="59"/>
      <c r="E102" s="372"/>
      <c r="F102" s="370"/>
      <c r="G102" s="371"/>
    </row>
    <row r="103" ht="26.25" customHeight="1" spans="2:7">
      <c r="B103" s="59" t="s">
        <v>1132</v>
      </c>
      <c r="C103" s="104" t="s">
        <v>1066</v>
      </c>
      <c r="D103" s="59" t="s">
        <v>1056</v>
      </c>
      <c r="E103" s="373">
        <v>7</v>
      </c>
      <c r="F103" s="370">
        <v>11354</v>
      </c>
      <c r="G103" s="371">
        <f t="shared" ref="G103:G112" si="5">E103*F103</f>
        <v>79478</v>
      </c>
    </row>
    <row r="104" ht="26.25" customHeight="1" spans="2:7">
      <c r="B104" s="59" t="s">
        <v>1133</v>
      </c>
      <c r="C104" s="104" t="s">
        <v>1068</v>
      </c>
      <c r="D104" s="59" t="s">
        <v>1056</v>
      </c>
      <c r="E104" s="373">
        <v>36</v>
      </c>
      <c r="F104" s="370">
        <v>11354</v>
      </c>
      <c r="G104" s="371">
        <f t="shared" si="5"/>
        <v>408744</v>
      </c>
    </row>
    <row r="105" ht="26.25" customHeight="1" spans="2:7">
      <c r="B105" s="59" t="s">
        <v>1134</v>
      </c>
      <c r="C105" s="104" t="s">
        <v>1070</v>
      </c>
      <c r="D105" s="59" t="s">
        <v>1056</v>
      </c>
      <c r="E105" s="373">
        <v>41</v>
      </c>
      <c r="F105" s="370">
        <v>11354</v>
      </c>
      <c r="G105" s="371">
        <f t="shared" si="5"/>
        <v>465514</v>
      </c>
    </row>
    <row r="106" ht="26.25" customHeight="1" spans="2:7">
      <c r="B106" s="59" t="s">
        <v>1135</v>
      </c>
      <c r="C106" s="104" t="s">
        <v>1072</v>
      </c>
      <c r="D106" s="59" t="s">
        <v>1056</v>
      </c>
      <c r="E106" s="373">
        <v>9</v>
      </c>
      <c r="F106" s="370">
        <v>11354</v>
      </c>
      <c r="G106" s="371">
        <f t="shared" si="5"/>
        <v>102186</v>
      </c>
    </row>
    <row r="107" ht="26.25" customHeight="1" spans="2:7">
      <c r="B107" s="59" t="s">
        <v>1136</v>
      </c>
      <c r="C107" s="104" t="s">
        <v>1074</v>
      </c>
      <c r="D107" s="59" t="s">
        <v>1056</v>
      </c>
      <c r="E107" s="373">
        <v>18</v>
      </c>
      <c r="F107" s="370">
        <v>11354</v>
      </c>
      <c r="G107" s="371">
        <f t="shared" si="5"/>
        <v>204372</v>
      </c>
    </row>
    <row r="108" ht="26.25" customHeight="1" spans="2:7">
      <c r="B108" s="59" t="s">
        <v>1137</v>
      </c>
      <c r="C108" s="104" t="s">
        <v>1076</v>
      </c>
      <c r="D108" s="59" t="s">
        <v>1056</v>
      </c>
      <c r="E108" s="373">
        <v>19</v>
      </c>
      <c r="F108" s="370">
        <v>11354</v>
      </c>
      <c r="G108" s="371">
        <f t="shared" si="5"/>
        <v>215726</v>
      </c>
    </row>
    <row r="109" ht="26.25" customHeight="1" spans="2:7">
      <c r="B109" s="59" t="s">
        <v>1138</v>
      </c>
      <c r="C109" s="104" t="s">
        <v>1078</v>
      </c>
      <c r="D109" s="59" t="s">
        <v>1056</v>
      </c>
      <c r="E109" s="373">
        <v>19</v>
      </c>
      <c r="F109" s="370">
        <v>11354</v>
      </c>
      <c r="G109" s="371">
        <f t="shared" si="5"/>
        <v>215726</v>
      </c>
    </row>
    <row r="110" ht="26.25" customHeight="1" spans="2:7">
      <c r="B110" s="59" t="s">
        <v>1139</v>
      </c>
      <c r="C110" s="104" t="s">
        <v>1080</v>
      </c>
      <c r="D110" s="59" t="s">
        <v>1056</v>
      </c>
      <c r="E110" s="373">
        <v>11</v>
      </c>
      <c r="F110" s="370">
        <v>11354</v>
      </c>
      <c r="G110" s="371">
        <f t="shared" si="5"/>
        <v>124894</v>
      </c>
    </row>
    <row r="111" ht="26.25" customHeight="1" spans="2:7">
      <c r="B111" s="59" t="s">
        <v>1140</v>
      </c>
      <c r="C111" s="104" t="s">
        <v>1082</v>
      </c>
      <c r="D111" s="59" t="s">
        <v>1056</v>
      </c>
      <c r="E111" s="373">
        <v>11</v>
      </c>
      <c r="F111" s="370">
        <v>11354</v>
      </c>
      <c r="G111" s="371">
        <f t="shared" si="5"/>
        <v>124894</v>
      </c>
    </row>
    <row r="112" ht="26.25" customHeight="1" spans="2:7">
      <c r="B112" s="59" t="s">
        <v>1141</v>
      </c>
      <c r="C112" s="104" t="s">
        <v>1084</v>
      </c>
      <c r="D112" s="59" t="s">
        <v>1056</v>
      </c>
      <c r="E112" s="373">
        <v>11</v>
      </c>
      <c r="F112" s="370">
        <v>11354</v>
      </c>
      <c r="G112" s="371">
        <f t="shared" si="5"/>
        <v>124894</v>
      </c>
    </row>
    <row r="113" ht="18.75" customHeight="1" spans="2:7">
      <c r="B113" s="59"/>
      <c r="C113" s="26"/>
      <c r="D113" s="59"/>
      <c r="E113" s="372"/>
      <c r="F113" s="370"/>
      <c r="G113" s="371"/>
    </row>
    <row r="114" ht="22.5" customHeight="1" spans="2:7">
      <c r="B114" s="59" t="s">
        <v>1142</v>
      </c>
      <c r="C114" s="26" t="s">
        <v>1143</v>
      </c>
      <c r="D114" s="59"/>
      <c r="E114" s="372"/>
      <c r="F114" s="370"/>
      <c r="G114" s="371"/>
    </row>
    <row r="115" ht="18.75" customHeight="1" spans="2:7">
      <c r="B115" s="59" t="s">
        <v>1144</v>
      </c>
      <c r="C115" s="104" t="s">
        <v>1066</v>
      </c>
      <c r="D115" s="59" t="s">
        <v>1056</v>
      </c>
      <c r="E115" s="373">
        <v>7</v>
      </c>
      <c r="F115" s="370">
        <v>77096</v>
      </c>
      <c r="G115" s="371">
        <f>E115*F115</f>
        <v>539672</v>
      </c>
    </row>
    <row r="116" ht="18.75" customHeight="1" spans="2:7">
      <c r="B116" s="59"/>
      <c r="C116" s="26"/>
      <c r="D116" s="59"/>
      <c r="E116" s="372"/>
      <c r="F116" s="370"/>
      <c r="G116" s="371"/>
    </row>
    <row r="117" ht="21.75" customHeight="1" spans="2:7">
      <c r="B117" s="59" t="s">
        <v>1145</v>
      </c>
      <c r="C117" s="26" t="s">
        <v>1146</v>
      </c>
      <c r="D117" s="59"/>
      <c r="E117" s="372"/>
      <c r="F117" s="370"/>
      <c r="G117" s="371"/>
    </row>
    <row r="118" ht="18.75" customHeight="1" spans="2:7">
      <c r="B118" s="59" t="s">
        <v>1147</v>
      </c>
      <c r="C118" s="104" t="s">
        <v>1072</v>
      </c>
      <c r="D118" s="59" t="s">
        <v>1056</v>
      </c>
      <c r="E118" s="373">
        <v>8</v>
      </c>
      <c r="F118" s="370">
        <v>98428</v>
      </c>
      <c r="G118" s="371">
        <f>E118*F118</f>
        <v>787424</v>
      </c>
    </row>
    <row r="119" ht="18.75" customHeight="1" spans="2:7">
      <c r="B119" s="59"/>
      <c r="C119" s="26"/>
      <c r="D119" s="59"/>
      <c r="E119" s="372"/>
      <c r="F119" s="370"/>
      <c r="G119" s="371"/>
    </row>
    <row r="120" ht="30" customHeight="1" spans="2:7">
      <c r="B120" s="59" t="s">
        <v>1148</v>
      </c>
      <c r="C120" s="26" t="s">
        <v>1149</v>
      </c>
      <c r="D120" s="59"/>
      <c r="E120" s="372"/>
      <c r="F120" s="370"/>
      <c r="G120" s="371"/>
    </row>
    <row r="121" ht="26.25" customHeight="1" spans="2:7">
      <c r="B121" s="59" t="s">
        <v>1150</v>
      </c>
      <c r="C121" s="104" t="s">
        <v>1068</v>
      </c>
      <c r="D121" s="59" t="s">
        <v>1056</v>
      </c>
      <c r="E121" s="373">
        <v>1</v>
      </c>
      <c r="F121" s="370">
        <v>160783</v>
      </c>
      <c r="G121" s="371">
        <f t="shared" ref="G121:G128" si="6">E121*F121</f>
        <v>160783</v>
      </c>
    </row>
    <row r="122" ht="26.25" customHeight="1" spans="2:7">
      <c r="B122" s="59" t="s">
        <v>1151</v>
      </c>
      <c r="C122" s="104" t="s">
        <v>1070</v>
      </c>
      <c r="D122" s="59" t="s">
        <v>1056</v>
      </c>
      <c r="E122" s="373">
        <v>1</v>
      </c>
      <c r="F122" s="370">
        <v>160783</v>
      </c>
      <c r="G122" s="371">
        <f t="shared" si="6"/>
        <v>160783</v>
      </c>
    </row>
    <row r="123" ht="26.25" customHeight="1" spans="2:7">
      <c r="B123" s="59" t="s">
        <v>1152</v>
      </c>
      <c r="C123" s="104" t="s">
        <v>1072</v>
      </c>
      <c r="D123" s="59" t="s">
        <v>1056</v>
      </c>
      <c r="E123" s="373">
        <v>1</v>
      </c>
      <c r="F123" s="370">
        <v>160783</v>
      </c>
      <c r="G123" s="371">
        <f t="shared" si="6"/>
        <v>160783</v>
      </c>
    </row>
    <row r="124" ht="26.25" customHeight="1" spans="2:7">
      <c r="B124" s="59" t="s">
        <v>1153</v>
      </c>
      <c r="C124" s="104" t="s">
        <v>1074</v>
      </c>
      <c r="D124" s="59" t="s">
        <v>1056</v>
      </c>
      <c r="E124" s="373">
        <v>1</v>
      </c>
      <c r="F124" s="370">
        <v>160783</v>
      </c>
      <c r="G124" s="371">
        <f t="shared" si="6"/>
        <v>160783</v>
      </c>
    </row>
    <row r="125" ht="26.25" customHeight="1" spans="2:7">
      <c r="B125" s="59" t="s">
        <v>1154</v>
      </c>
      <c r="C125" s="104" t="s">
        <v>1076</v>
      </c>
      <c r="D125" s="59" t="s">
        <v>1056</v>
      </c>
      <c r="E125" s="373">
        <v>1</v>
      </c>
      <c r="F125" s="370">
        <v>160783</v>
      </c>
      <c r="G125" s="371">
        <f t="shared" si="6"/>
        <v>160783</v>
      </c>
    </row>
    <row r="126" ht="26.25" customHeight="1" spans="2:7">
      <c r="B126" s="59" t="s">
        <v>1155</v>
      </c>
      <c r="C126" s="104" t="s">
        <v>1078</v>
      </c>
      <c r="D126" s="59" t="s">
        <v>1056</v>
      </c>
      <c r="E126" s="373">
        <v>1</v>
      </c>
      <c r="F126" s="370">
        <v>160783</v>
      </c>
      <c r="G126" s="371">
        <f t="shared" si="6"/>
        <v>160783</v>
      </c>
    </row>
    <row r="127" ht="26.25" customHeight="1" spans="2:7">
      <c r="B127" s="59" t="s">
        <v>1156</v>
      </c>
      <c r="C127" s="104" t="s">
        <v>1080</v>
      </c>
      <c r="D127" s="59" t="s">
        <v>1056</v>
      </c>
      <c r="E127" s="373">
        <v>1</v>
      </c>
      <c r="F127" s="370">
        <v>160783</v>
      </c>
      <c r="G127" s="371">
        <f t="shared" si="6"/>
        <v>160783</v>
      </c>
    </row>
    <row r="128" ht="26.25" customHeight="1" spans="2:7">
      <c r="B128" s="59" t="s">
        <v>1157</v>
      </c>
      <c r="C128" s="104" t="s">
        <v>1082</v>
      </c>
      <c r="D128" s="59" t="s">
        <v>1056</v>
      </c>
      <c r="E128" s="373">
        <v>1</v>
      </c>
      <c r="F128" s="370">
        <v>160783</v>
      </c>
      <c r="G128" s="371">
        <f t="shared" si="6"/>
        <v>160783</v>
      </c>
    </row>
    <row r="129" ht="26.25" customHeight="1" spans="2:7">
      <c r="B129" s="59"/>
      <c r="C129" s="26"/>
      <c r="D129" s="59"/>
      <c r="E129" s="372"/>
      <c r="F129" s="370"/>
      <c r="G129" s="371"/>
    </row>
    <row r="130" ht="33.75" customHeight="1" spans="2:7">
      <c r="B130" s="59" t="s">
        <v>1158</v>
      </c>
      <c r="C130" s="26" t="s">
        <v>1159</v>
      </c>
      <c r="D130" s="59"/>
      <c r="E130" s="372"/>
      <c r="F130" s="370"/>
      <c r="G130" s="371"/>
    </row>
    <row r="131" ht="26.25" customHeight="1" spans="2:7">
      <c r="B131" s="59" t="s">
        <v>1160</v>
      </c>
      <c r="C131" s="104" t="s">
        <v>1066</v>
      </c>
      <c r="D131" s="59" t="s">
        <v>1056</v>
      </c>
      <c r="E131" s="373">
        <v>1</v>
      </c>
      <c r="F131" s="370">
        <v>55589</v>
      </c>
      <c r="G131" s="371">
        <f t="shared" ref="G131:G141" si="7">E131*F131</f>
        <v>55589</v>
      </c>
    </row>
    <row r="132" ht="33" customHeight="1" spans="2:7">
      <c r="B132" s="67" t="s">
        <v>1161</v>
      </c>
      <c r="C132" s="144" t="s">
        <v>1162</v>
      </c>
      <c r="D132" s="67" t="s">
        <v>1056</v>
      </c>
      <c r="E132" s="374">
        <v>9</v>
      </c>
      <c r="F132" s="375">
        <v>55589</v>
      </c>
      <c r="G132" s="376">
        <f t="shared" si="7"/>
        <v>500301</v>
      </c>
    </row>
    <row r="133" ht="20.25" customHeight="1" spans="2:7">
      <c r="B133" s="59"/>
      <c r="C133" s="104"/>
      <c r="D133" s="59"/>
      <c r="E133" s="373"/>
      <c r="F133" s="370"/>
      <c r="G133" s="371"/>
    </row>
    <row r="134" ht="26.25" customHeight="1" spans="2:7">
      <c r="B134" s="59" t="s">
        <v>1163</v>
      </c>
      <c r="C134" s="104" t="s">
        <v>1068</v>
      </c>
      <c r="D134" s="59" t="s">
        <v>1056</v>
      </c>
      <c r="E134" s="373">
        <v>3</v>
      </c>
      <c r="F134" s="370">
        <v>55589</v>
      </c>
      <c r="G134" s="371">
        <f t="shared" si="7"/>
        <v>166767</v>
      </c>
    </row>
    <row r="135" ht="26.25" customHeight="1" spans="2:7">
      <c r="B135" s="59" t="s">
        <v>1164</v>
      </c>
      <c r="C135" s="104" t="s">
        <v>1070</v>
      </c>
      <c r="D135" s="59" t="s">
        <v>1056</v>
      </c>
      <c r="E135" s="373">
        <v>5</v>
      </c>
      <c r="F135" s="370">
        <v>55589</v>
      </c>
      <c r="G135" s="371">
        <f t="shared" si="7"/>
        <v>277945</v>
      </c>
    </row>
    <row r="136" ht="26.25" customHeight="1" spans="2:7">
      <c r="B136" s="59" t="s">
        <v>1165</v>
      </c>
      <c r="C136" s="104" t="s">
        <v>1072</v>
      </c>
      <c r="D136" s="59" t="s">
        <v>1056</v>
      </c>
      <c r="E136" s="373">
        <v>8</v>
      </c>
      <c r="F136" s="370">
        <v>55589</v>
      </c>
      <c r="G136" s="371">
        <f t="shared" si="7"/>
        <v>444712</v>
      </c>
    </row>
    <row r="137" ht="26.25" customHeight="1" spans="2:7">
      <c r="B137" s="59" t="s">
        <v>1166</v>
      </c>
      <c r="C137" s="104" t="s">
        <v>1074</v>
      </c>
      <c r="D137" s="59" t="s">
        <v>1056</v>
      </c>
      <c r="E137" s="373">
        <v>6</v>
      </c>
      <c r="F137" s="370">
        <v>55589</v>
      </c>
      <c r="G137" s="371">
        <f t="shared" si="7"/>
        <v>333534</v>
      </c>
    </row>
    <row r="138" ht="26.25" customHeight="1" spans="2:7">
      <c r="B138" s="59" t="s">
        <v>1167</v>
      </c>
      <c r="C138" s="104" t="s">
        <v>1076</v>
      </c>
      <c r="D138" s="59" t="s">
        <v>1056</v>
      </c>
      <c r="E138" s="373">
        <v>6</v>
      </c>
      <c r="F138" s="370">
        <v>55589</v>
      </c>
      <c r="G138" s="371">
        <f t="shared" si="7"/>
        <v>333534</v>
      </c>
    </row>
    <row r="139" ht="26.25" customHeight="1" spans="2:7">
      <c r="B139" s="59" t="s">
        <v>1168</v>
      </c>
      <c r="C139" s="104" t="s">
        <v>1078</v>
      </c>
      <c r="D139" s="59" t="s">
        <v>1056</v>
      </c>
      <c r="E139" s="373">
        <v>6</v>
      </c>
      <c r="F139" s="370">
        <v>55589</v>
      </c>
      <c r="G139" s="371">
        <f t="shared" si="7"/>
        <v>333534</v>
      </c>
    </row>
    <row r="140" ht="26.25" customHeight="1" spans="2:7">
      <c r="B140" s="59" t="s">
        <v>1169</v>
      </c>
      <c r="C140" s="104" t="s">
        <v>1080</v>
      </c>
      <c r="D140" s="59" t="s">
        <v>1056</v>
      </c>
      <c r="E140" s="373">
        <v>3</v>
      </c>
      <c r="F140" s="370">
        <v>55589</v>
      </c>
      <c r="G140" s="371">
        <f t="shared" si="7"/>
        <v>166767</v>
      </c>
    </row>
    <row r="141" ht="26.25" customHeight="1" spans="2:7">
      <c r="B141" s="59" t="s">
        <v>1170</v>
      </c>
      <c r="C141" s="104" t="s">
        <v>1082</v>
      </c>
      <c r="D141" s="59" t="s">
        <v>1056</v>
      </c>
      <c r="E141" s="373">
        <v>3</v>
      </c>
      <c r="F141" s="370">
        <v>55589</v>
      </c>
      <c r="G141" s="371">
        <f t="shared" si="7"/>
        <v>166767</v>
      </c>
    </row>
    <row r="142" ht="28.5" customHeight="1" spans="2:7">
      <c r="B142" s="59"/>
      <c r="C142" s="26"/>
      <c r="D142" s="59"/>
      <c r="E142" s="372"/>
      <c r="F142" s="370"/>
      <c r="G142" s="371"/>
    </row>
    <row r="143" ht="23.25" customHeight="1" spans="2:7">
      <c r="B143" s="59"/>
      <c r="C143" s="80" t="s">
        <v>1171</v>
      </c>
      <c r="D143" s="59"/>
      <c r="E143" s="372"/>
      <c r="F143" s="370"/>
      <c r="G143" s="371"/>
    </row>
    <row r="144" ht="20.25" customHeight="1" spans="2:7">
      <c r="B144" s="59" t="s">
        <v>1172</v>
      </c>
      <c r="C144" s="26" t="s">
        <v>1173</v>
      </c>
      <c r="D144" s="59"/>
      <c r="E144" s="372"/>
      <c r="F144" s="370"/>
      <c r="G144" s="371"/>
    </row>
    <row r="145" ht="21.75" customHeight="1" spans="2:7">
      <c r="B145" s="59"/>
      <c r="C145" s="26" t="s">
        <v>1174</v>
      </c>
      <c r="D145" s="59"/>
      <c r="E145" s="372"/>
      <c r="F145" s="370"/>
      <c r="G145" s="371"/>
    </row>
    <row r="146" ht="74.25" customHeight="1" spans="2:7">
      <c r="B146" s="59"/>
      <c r="C146" s="26" t="s">
        <v>1175</v>
      </c>
      <c r="D146" s="59"/>
      <c r="E146" s="372"/>
      <c r="F146" s="370"/>
      <c r="G146" s="371"/>
    </row>
    <row r="147" spans="2:7">
      <c r="B147" s="59"/>
      <c r="C147" s="26"/>
      <c r="D147" s="59"/>
      <c r="E147" s="372"/>
      <c r="F147" s="370"/>
      <c r="G147" s="371"/>
    </row>
    <row r="148" ht="46.5" customHeight="1" spans="2:7">
      <c r="B148" s="59" t="s">
        <v>1176</v>
      </c>
      <c r="C148" s="26" t="s">
        <v>1177</v>
      </c>
      <c r="D148" s="59"/>
      <c r="E148" s="372"/>
      <c r="F148" s="370"/>
      <c r="G148" s="371"/>
    </row>
    <row r="149" ht="18" customHeight="1" spans="2:7">
      <c r="B149" s="59" t="s">
        <v>1178</v>
      </c>
      <c r="C149" s="104" t="s">
        <v>1068</v>
      </c>
      <c r="D149" s="59" t="s">
        <v>1056</v>
      </c>
      <c r="E149" s="373">
        <v>1</v>
      </c>
      <c r="F149" s="370">
        <v>475273</v>
      </c>
      <c r="G149" s="371">
        <f>E149*F149</f>
        <v>475273</v>
      </c>
    </row>
    <row r="150" spans="2:7">
      <c r="B150" s="59"/>
      <c r="C150" s="26"/>
      <c r="D150" s="59"/>
      <c r="E150" s="372"/>
      <c r="F150" s="370"/>
      <c r="G150" s="371"/>
    </row>
    <row r="151" ht="46.5" customHeight="1" spans="2:7">
      <c r="B151" s="59" t="s">
        <v>1179</v>
      </c>
      <c r="C151" s="26" t="s">
        <v>1180</v>
      </c>
      <c r="D151" s="59"/>
      <c r="E151" s="372"/>
      <c r="F151" s="370"/>
      <c r="G151" s="371"/>
    </row>
    <row r="152" ht="26.25" customHeight="1" spans="2:7">
      <c r="B152" s="59" t="s">
        <v>1181</v>
      </c>
      <c r="C152" s="104" t="s">
        <v>1068</v>
      </c>
      <c r="D152" s="59" t="s">
        <v>1056</v>
      </c>
      <c r="E152" s="373">
        <v>2</v>
      </c>
      <c r="F152" s="370">
        <v>491800</v>
      </c>
      <c r="G152" s="371">
        <f t="shared" ref="G152:G157" si="8">E152*F152</f>
        <v>983600</v>
      </c>
    </row>
    <row r="153" ht="26.25" customHeight="1" spans="2:7">
      <c r="B153" s="59" t="s">
        <v>1182</v>
      </c>
      <c r="C153" s="104" t="s">
        <v>1070</v>
      </c>
      <c r="D153" s="59" t="s">
        <v>1056</v>
      </c>
      <c r="E153" s="373">
        <v>2</v>
      </c>
      <c r="F153" s="370">
        <v>491800</v>
      </c>
      <c r="G153" s="371">
        <f t="shared" si="8"/>
        <v>983600</v>
      </c>
    </row>
    <row r="154" ht="26.25" customHeight="1" spans="2:7">
      <c r="B154" s="59" t="s">
        <v>1183</v>
      </c>
      <c r="C154" s="104" t="s">
        <v>1072</v>
      </c>
      <c r="D154" s="59" t="s">
        <v>1056</v>
      </c>
      <c r="E154" s="373">
        <v>2</v>
      </c>
      <c r="F154" s="370">
        <v>491800</v>
      </c>
      <c r="G154" s="371">
        <f t="shared" si="8"/>
        <v>983600</v>
      </c>
    </row>
    <row r="155" ht="26.25" customHeight="1" spans="2:7">
      <c r="B155" s="59" t="s">
        <v>1184</v>
      </c>
      <c r="C155" s="104" t="s">
        <v>1074</v>
      </c>
      <c r="D155" s="59" t="s">
        <v>1056</v>
      </c>
      <c r="E155" s="373">
        <v>1</v>
      </c>
      <c r="F155" s="370">
        <v>491800</v>
      </c>
      <c r="G155" s="371">
        <f t="shared" si="8"/>
        <v>491800</v>
      </c>
    </row>
    <row r="156" ht="26.25" customHeight="1" spans="2:7">
      <c r="B156" s="59" t="s">
        <v>1185</v>
      </c>
      <c r="C156" s="104" t="s">
        <v>1076</v>
      </c>
      <c r="D156" s="59" t="s">
        <v>1056</v>
      </c>
      <c r="E156" s="373">
        <v>1</v>
      </c>
      <c r="F156" s="370">
        <v>491800</v>
      </c>
      <c r="G156" s="371">
        <f t="shared" si="8"/>
        <v>491800</v>
      </c>
    </row>
    <row r="157" ht="26.25" customHeight="1" spans="2:7">
      <c r="B157" s="59" t="s">
        <v>1186</v>
      </c>
      <c r="C157" s="104" t="s">
        <v>1078</v>
      </c>
      <c r="D157" s="59" t="s">
        <v>1056</v>
      </c>
      <c r="E157" s="373">
        <v>1</v>
      </c>
      <c r="F157" s="370">
        <v>491800</v>
      </c>
      <c r="G157" s="371">
        <f t="shared" si="8"/>
        <v>491800</v>
      </c>
    </row>
    <row r="158" ht="31.5" customHeight="1" spans="2:7">
      <c r="B158" s="59"/>
      <c r="C158" s="26"/>
      <c r="D158" s="59"/>
      <c r="E158" s="372"/>
      <c r="F158" s="370"/>
      <c r="G158" s="371"/>
    </row>
    <row r="159" ht="46.5" customHeight="1" spans="2:7">
      <c r="B159" s="59" t="s">
        <v>1187</v>
      </c>
      <c r="C159" s="26" t="s">
        <v>1188</v>
      </c>
      <c r="D159" s="59"/>
      <c r="E159" s="372"/>
      <c r="F159" s="370"/>
      <c r="G159" s="371"/>
    </row>
    <row r="160" ht="26.25" customHeight="1" spans="2:7">
      <c r="B160" s="59" t="s">
        <v>1189</v>
      </c>
      <c r="C160" s="104" t="s">
        <v>1070</v>
      </c>
      <c r="D160" s="59" t="s">
        <v>1056</v>
      </c>
      <c r="E160" s="373">
        <v>1</v>
      </c>
      <c r="F160" s="370">
        <v>260685</v>
      </c>
      <c r="G160" s="371">
        <f t="shared" ref="G160:G168" si="9">E160*F160</f>
        <v>260685</v>
      </c>
    </row>
    <row r="161" ht="26.25" customHeight="1" spans="2:7">
      <c r="B161" s="59" t="s">
        <v>1190</v>
      </c>
      <c r="C161" s="104" t="s">
        <v>1072</v>
      </c>
      <c r="D161" s="59" t="s">
        <v>1056</v>
      </c>
      <c r="E161" s="373">
        <v>2</v>
      </c>
      <c r="F161" s="370">
        <v>260685</v>
      </c>
      <c r="G161" s="371">
        <f t="shared" si="9"/>
        <v>521370</v>
      </c>
    </row>
    <row r="162" ht="26.25" customHeight="1" spans="2:7">
      <c r="B162" s="59" t="s">
        <v>1191</v>
      </c>
      <c r="C162" s="104" t="s">
        <v>1074</v>
      </c>
      <c r="D162" s="59" t="s">
        <v>1056</v>
      </c>
      <c r="E162" s="373">
        <v>2</v>
      </c>
      <c r="F162" s="370">
        <v>260685</v>
      </c>
      <c r="G162" s="371">
        <f t="shared" si="9"/>
        <v>521370</v>
      </c>
    </row>
    <row r="163" ht="27" customHeight="1" spans="2:7">
      <c r="B163" s="67" t="s">
        <v>1192</v>
      </c>
      <c r="C163" s="144" t="s">
        <v>1076</v>
      </c>
      <c r="D163" s="67" t="s">
        <v>1056</v>
      </c>
      <c r="E163" s="374">
        <v>2</v>
      </c>
      <c r="F163" s="375">
        <v>260685</v>
      </c>
      <c r="G163" s="376">
        <f t="shared" si="9"/>
        <v>521370</v>
      </c>
    </row>
    <row r="164" ht="20.25" customHeight="1" spans="2:7">
      <c r="B164" s="378"/>
      <c r="C164" s="145"/>
      <c r="D164" s="378"/>
      <c r="E164" s="379"/>
      <c r="F164" s="380"/>
      <c r="G164" s="381"/>
    </row>
    <row r="165" ht="26.25" customHeight="1" spans="2:7">
      <c r="B165" s="59" t="s">
        <v>1193</v>
      </c>
      <c r="C165" s="104" t="s">
        <v>1078</v>
      </c>
      <c r="D165" s="59" t="s">
        <v>1056</v>
      </c>
      <c r="E165" s="373">
        <v>1</v>
      </c>
      <c r="F165" s="370">
        <v>260685</v>
      </c>
      <c r="G165" s="371">
        <f t="shared" si="9"/>
        <v>260685</v>
      </c>
    </row>
    <row r="166" ht="26.25" customHeight="1" spans="2:7">
      <c r="B166" s="59" t="s">
        <v>1194</v>
      </c>
      <c r="C166" s="104" t="s">
        <v>1080</v>
      </c>
      <c r="D166" s="59" t="s">
        <v>1056</v>
      </c>
      <c r="E166" s="373">
        <v>1</v>
      </c>
      <c r="F166" s="370">
        <v>260685</v>
      </c>
      <c r="G166" s="371">
        <f t="shared" si="9"/>
        <v>260685</v>
      </c>
    </row>
    <row r="167" ht="26.25" customHeight="1" spans="2:7">
      <c r="B167" s="59" t="s">
        <v>1195</v>
      </c>
      <c r="C167" s="104" t="s">
        <v>1082</v>
      </c>
      <c r="D167" s="59" t="s">
        <v>1056</v>
      </c>
      <c r="E167" s="373">
        <v>1</v>
      </c>
      <c r="F167" s="370">
        <v>260685</v>
      </c>
      <c r="G167" s="371">
        <f t="shared" si="9"/>
        <v>260685</v>
      </c>
    </row>
    <row r="168" ht="26.25" customHeight="1" spans="2:7">
      <c r="B168" s="59" t="s">
        <v>1196</v>
      </c>
      <c r="C168" s="104" t="s">
        <v>1084</v>
      </c>
      <c r="D168" s="59" t="s">
        <v>1056</v>
      </c>
      <c r="E168" s="373">
        <v>1</v>
      </c>
      <c r="F168" s="370">
        <v>260685</v>
      </c>
      <c r="G168" s="371">
        <f t="shared" si="9"/>
        <v>260685</v>
      </c>
    </row>
    <row r="169" ht="26.25" customHeight="1" spans="2:7">
      <c r="B169" s="59"/>
      <c r="C169" s="26"/>
      <c r="D169" s="59"/>
      <c r="E169" s="372"/>
      <c r="F169" s="370"/>
      <c r="G169" s="371"/>
    </row>
    <row r="170" ht="33.75" customHeight="1" spans="2:7">
      <c r="B170" s="59" t="s">
        <v>1187</v>
      </c>
      <c r="C170" s="26" t="s">
        <v>1197</v>
      </c>
      <c r="D170" s="59"/>
      <c r="E170" s="372"/>
      <c r="F170" s="370"/>
      <c r="G170" s="371"/>
    </row>
    <row r="171" ht="15" customHeight="1" spans="2:7">
      <c r="B171" s="59" t="s">
        <v>1189</v>
      </c>
      <c r="C171" s="104" t="s">
        <v>1068</v>
      </c>
      <c r="D171" s="59" t="s">
        <v>1056</v>
      </c>
      <c r="E171" s="373">
        <v>2</v>
      </c>
      <c r="F171" s="370">
        <v>414930</v>
      </c>
      <c r="G171" s="371">
        <f>E171*F171</f>
        <v>829860</v>
      </c>
    </row>
    <row r="172" ht="19.5" customHeight="1" spans="2:7">
      <c r="B172" s="59"/>
      <c r="C172" s="26"/>
      <c r="D172" s="59"/>
      <c r="E172" s="372"/>
      <c r="F172" s="370"/>
      <c r="G172" s="371"/>
    </row>
    <row r="173" ht="23.25" customHeight="1" spans="2:7">
      <c r="B173" s="359" t="s">
        <v>1198</v>
      </c>
      <c r="C173" s="77" t="s">
        <v>1199</v>
      </c>
      <c r="D173" s="59"/>
      <c r="E173" s="372"/>
      <c r="F173" s="370"/>
      <c r="G173" s="371"/>
    </row>
    <row r="174" ht="94.5" customHeight="1" spans="2:7">
      <c r="B174" s="59"/>
      <c r="C174" s="26" t="s">
        <v>1200</v>
      </c>
      <c r="D174" s="59"/>
      <c r="E174" s="372"/>
      <c r="F174" s="370"/>
      <c r="G174" s="371"/>
    </row>
    <row r="175" ht="15" customHeight="1" spans="2:7">
      <c r="B175" s="59"/>
      <c r="C175" s="26"/>
      <c r="D175" s="59"/>
      <c r="E175" s="372"/>
      <c r="F175" s="370"/>
      <c r="G175" s="371"/>
    </row>
    <row r="176" ht="31.5" customHeight="1" spans="2:7">
      <c r="B176" s="59" t="s">
        <v>1201</v>
      </c>
      <c r="C176" s="26" t="s">
        <v>1202</v>
      </c>
      <c r="D176" s="59"/>
      <c r="E176" s="372"/>
      <c r="F176" s="370"/>
      <c r="G176" s="371"/>
    </row>
    <row r="177" ht="26.25" customHeight="1" spans="2:7">
      <c r="B177" s="59" t="s">
        <v>1203</v>
      </c>
      <c r="C177" s="104" t="s">
        <v>1068</v>
      </c>
      <c r="D177" s="59" t="s">
        <v>1056</v>
      </c>
      <c r="E177" s="373">
        <v>1</v>
      </c>
      <c r="F177" s="370">
        <v>209708</v>
      </c>
      <c r="G177" s="371">
        <f t="shared" ref="G177:G185" si="10">E177*F177</f>
        <v>209708</v>
      </c>
    </row>
    <row r="178" ht="26.25" customHeight="1" spans="2:7">
      <c r="B178" s="59" t="s">
        <v>1204</v>
      </c>
      <c r="C178" s="104" t="s">
        <v>1070</v>
      </c>
      <c r="D178" s="59" t="s">
        <v>1056</v>
      </c>
      <c r="E178" s="373">
        <v>2</v>
      </c>
      <c r="F178" s="370">
        <v>209708</v>
      </c>
      <c r="G178" s="371">
        <f t="shared" si="10"/>
        <v>419416</v>
      </c>
    </row>
    <row r="179" ht="26.25" customHeight="1" spans="2:7">
      <c r="B179" s="59" t="s">
        <v>1205</v>
      </c>
      <c r="C179" s="104" t="s">
        <v>1072</v>
      </c>
      <c r="D179" s="59" t="s">
        <v>1056</v>
      </c>
      <c r="E179" s="373">
        <v>2</v>
      </c>
      <c r="F179" s="370">
        <v>209708</v>
      </c>
      <c r="G179" s="371">
        <f t="shared" si="10"/>
        <v>419416</v>
      </c>
    </row>
    <row r="180" ht="26.25" customHeight="1" spans="2:7">
      <c r="B180" s="59" t="s">
        <v>1206</v>
      </c>
      <c r="C180" s="104" t="s">
        <v>1074</v>
      </c>
      <c r="D180" s="59" t="s">
        <v>1056</v>
      </c>
      <c r="E180" s="373">
        <v>2</v>
      </c>
      <c r="F180" s="370">
        <v>209708</v>
      </c>
      <c r="G180" s="371">
        <f t="shared" si="10"/>
        <v>419416</v>
      </c>
    </row>
    <row r="181" ht="26.25" customHeight="1" spans="2:7">
      <c r="B181" s="59" t="s">
        <v>1207</v>
      </c>
      <c r="C181" s="104" t="s">
        <v>1076</v>
      </c>
      <c r="D181" s="59" t="s">
        <v>1056</v>
      </c>
      <c r="E181" s="373">
        <v>2</v>
      </c>
      <c r="F181" s="370">
        <v>209708</v>
      </c>
      <c r="G181" s="371">
        <f t="shared" si="10"/>
        <v>419416</v>
      </c>
    </row>
    <row r="182" ht="26.25" customHeight="1" spans="2:7">
      <c r="B182" s="59" t="s">
        <v>1208</v>
      </c>
      <c r="C182" s="104" t="s">
        <v>1078</v>
      </c>
      <c r="D182" s="59" t="s">
        <v>1056</v>
      </c>
      <c r="E182" s="373">
        <v>2</v>
      </c>
      <c r="F182" s="370">
        <v>209708</v>
      </c>
      <c r="G182" s="371">
        <f t="shared" si="10"/>
        <v>419416</v>
      </c>
    </row>
    <row r="183" ht="26.25" customHeight="1" spans="2:7">
      <c r="B183" s="59" t="s">
        <v>1209</v>
      </c>
      <c r="C183" s="104" t="s">
        <v>1080</v>
      </c>
      <c r="D183" s="59" t="s">
        <v>1056</v>
      </c>
      <c r="E183" s="373">
        <v>1</v>
      </c>
      <c r="F183" s="370">
        <v>209708</v>
      </c>
      <c r="G183" s="371">
        <f t="shared" si="10"/>
        <v>209708</v>
      </c>
    </row>
    <row r="184" ht="26.25" customHeight="1" spans="2:7">
      <c r="B184" s="59" t="s">
        <v>1210</v>
      </c>
      <c r="C184" s="104" t="s">
        <v>1082</v>
      </c>
      <c r="D184" s="59" t="s">
        <v>1056</v>
      </c>
      <c r="E184" s="373">
        <v>1</v>
      </c>
      <c r="F184" s="370">
        <v>209708</v>
      </c>
      <c r="G184" s="371">
        <f t="shared" si="10"/>
        <v>209708</v>
      </c>
    </row>
    <row r="185" ht="26.25" customHeight="1" spans="2:7">
      <c r="B185" s="59" t="s">
        <v>1211</v>
      </c>
      <c r="C185" s="104" t="s">
        <v>1084</v>
      </c>
      <c r="D185" s="59" t="s">
        <v>1056</v>
      </c>
      <c r="E185" s="373">
        <v>1</v>
      </c>
      <c r="F185" s="370">
        <v>209708</v>
      </c>
      <c r="G185" s="371">
        <f t="shared" si="10"/>
        <v>209708</v>
      </c>
    </row>
    <row r="186" spans="2:7">
      <c r="B186" s="59"/>
      <c r="C186" s="26"/>
      <c r="D186" s="59"/>
      <c r="E186" s="372"/>
      <c r="F186" s="370"/>
      <c r="G186" s="371"/>
    </row>
    <row r="187" ht="32.25" customHeight="1" spans="2:7">
      <c r="B187" s="59" t="s">
        <v>1212</v>
      </c>
      <c r="C187" s="26" t="s">
        <v>1213</v>
      </c>
      <c r="D187" s="59"/>
      <c r="E187" s="372"/>
      <c r="F187" s="370"/>
      <c r="G187" s="371"/>
    </row>
    <row r="188" ht="25.5" customHeight="1" spans="2:7">
      <c r="B188" s="59" t="s">
        <v>1214</v>
      </c>
      <c r="C188" s="104" t="s">
        <v>1068</v>
      </c>
      <c r="D188" s="59" t="s">
        <v>1056</v>
      </c>
      <c r="E188" s="373">
        <v>4</v>
      </c>
      <c r="F188" s="370">
        <v>163403</v>
      </c>
      <c r="G188" s="371">
        <f>E188*F188</f>
        <v>653612</v>
      </c>
    </row>
    <row r="189" ht="25.5" customHeight="1" spans="2:7">
      <c r="B189" s="59" t="s">
        <v>1215</v>
      </c>
      <c r="C189" s="104" t="s">
        <v>1070</v>
      </c>
      <c r="D189" s="59" t="s">
        <v>1056</v>
      </c>
      <c r="E189" s="373">
        <v>1</v>
      </c>
      <c r="F189" s="370">
        <v>163403</v>
      </c>
      <c r="G189" s="371">
        <f>E189*F189</f>
        <v>163403</v>
      </c>
    </row>
    <row r="190" ht="25.5" customHeight="1" spans="2:7">
      <c r="B190" s="59"/>
      <c r="C190" s="26"/>
      <c r="D190" s="59"/>
      <c r="E190" s="372"/>
      <c r="F190" s="370"/>
      <c r="G190" s="371"/>
    </row>
    <row r="191" ht="45" customHeight="1" spans="2:7">
      <c r="B191" s="59" t="s">
        <v>1216</v>
      </c>
      <c r="C191" s="26" t="s">
        <v>1217</v>
      </c>
      <c r="D191" s="59"/>
      <c r="E191" s="372"/>
      <c r="F191" s="370"/>
      <c r="G191" s="371"/>
    </row>
    <row r="192" ht="20.25" customHeight="1" spans="2:7">
      <c r="B192" s="59" t="s">
        <v>1218</v>
      </c>
      <c r="C192" s="104" t="s">
        <v>1070</v>
      </c>
      <c r="D192" s="59" t="s">
        <v>1056</v>
      </c>
      <c r="E192" s="373">
        <v>1</v>
      </c>
      <c r="F192" s="370">
        <v>366370</v>
      </c>
      <c r="G192" s="371">
        <f>E192*F192</f>
        <v>366370</v>
      </c>
    </row>
    <row r="193" ht="20.25" customHeight="1" spans="2:7">
      <c r="B193" s="59"/>
      <c r="C193" s="26"/>
      <c r="D193" s="59"/>
      <c r="E193" s="372"/>
      <c r="F193" s="370"/>
      <c r="G193" s="371"/>
    </row>
    <row r="194" ht="36" customHeight="1" spans="2:7">
      <c r="B194" s="59" t="s">
        <v>1219</v>
      </c>
      <c r="C194" s="26" t="s">
        <v>1220</v>
      </c>
      <c r="D194" s="59"/>
      <c r="E194" s="372"/>
      <c r="F194" s="370"/>
      <c r="G194" s="371"/>
    </row>
    <row r="195" ht="21.75" customHeight="1" spans="2:7">
      <c r="B195" s="67" t="s">
        <v>1221</v>
      </c>
      <c r="C195" s="144" t="s">
        <v>1070</v>
      </c>
      <c r="D195" s="67" t="s">
        <v>1056</v>
      </c>
      <c r="E195" s="374">
        <v>1</v>
      </c>
      <c r="F195" s="375">
        <v>120853</v>
      </c>
      <c r="G195" s="376">
        <f>E195*F195</f>
        <v>120853</v>
      </c>
    </row>
    <row r="196" ht="16.5" customHeight="1" spans="2:7">
      <c r="B196" s="378"/>
      <c r="C196" s="36"/>
      <c r="D196" s="378"/>
      <c r="E196" s="382"/>
      <c r="F196" s="380"/>
      <c r="G196" s="381"/>
    </row>
    <row r="197" ht="33" customHeight="1" spans="2:7">
      <c r="B197" s="59" t="s">
        <v>1222</v>
      </c>
      <c r="C197" s="26" t="s">
        <v>1223</v>
      </c>
      <c r="D197" s="59"/>
      <c r="E197" s="372"/>
      <c r="F197" s="370"/>
      <c r="G197" s="371"/>
    </row>
    <row r="198" ht="17.25" customHeight="1" spans="2:7">
      <c r="B198" s="59" t="s">
        <v>1224</v>
      </c>
      <c r="C198" s="104" t="s">
        <v>1070</v>
      </c>
      <c r="D198" s="59" t="s">
        <v>1056</v>
      </c>
      <c r="E198" s="373">
        <v>1</v>
      </c>
      <c r="F198" s="370">
        <v>147650</v>
      </c>
      <c r="G198" s="371">
        <f>E198*F198</f>
        <v>147650</v>
      </c>
    </row>
    <row r="199" ht="15.75" customHeight="1" spans="2:7">
      <c r="B199" s="59"/>
      <c r="C199" s="26"/>
      <c r="D199" s="59"/>
      <c r="E199" s="372"/>
      <c r="F199" s="370"/>
      <c r="G199" s="371"/>
    </row>
    <row r="200" ht="33" customHeight="1" spans="2:7">
      <c r="B200" s="59" t="s">
        <v>1225</v>
      </c>
      <c r="C200" s="26" t="s">
        <v>1226</v>
      </c>
      <c r="D200" s="59"/>
      <c r="E200" s="372"/>
      <c r="F200" s="370"/>
      <c r="G200" s="371"/>
    </row>
    <row r="201" ht="15.75" customHeight="1" spans="2:7">
      <c r="B201" s="59" t="s">
        <v>1227</v>
      </c>
      <c r="C201" s="104" t="s">
        <v>1070</v>
      </c>
      <c r="D201" s="59" t="s">
        <v>1056</v>
      </c>
      <c r="E201" s="373">
        <v>1</v>
      </c>
      <c r="F201" s="370">
        <v>73037</v>
      </c>
      <c r="G201" s="371">
        <f>E201*F201</f>
        <v>73037</v>
      </c>
    </row>
    <row r="202" ht="18.75" customHeight="1" spans="2:7">
      <c r="B202" s="59"/>
      <c r="C202" s="26"/>
      <c r="D202" s="59"/>
      <c r="E202" s="372"/>
      <c r="F202" s="370"/>
      <c r="G202" s="371"/>
    </row>
    <row r="203" ht="32.25" customHeight="1" spans="2:7">
      <c r="B203" s="59" t="s">
        <v>1228</v>
      </c>
      <c r="C203" s="26" t="s">
        <v>1229</v>
      </c>
      <c r="D203" s="59"/>
      <c r="E203" s="372"/>
      <c r="F203" s="370"/>
      <c r="G203" s="371"/>
    </row>
    <row r="204" ht="15.75" customHeight="1" spans="2:7">
      <c r="B204" s="59" t="s">
        <v>1230</v>
      </c>
      <c r="C204" s="104" t="s">
        <v>1070</v>
      </c>
      <c r="D204" s="59" t="s">
        <v>1056</v>
      </c>
      <c r="E204" s="373">
        <v>1</v>
      </c>
      <c r="F204" s="370">
        <v>152608</v>
      </c>
      <c r="G204" s="371">
        <f>E204*F204</f>
        <v>152608</v>
      </c>
    </row>
    <row r="205" spans="2:7">
      <c r="B205" s="59"/>
      <c r="C205" s="26"/>
      <c r="D205" s="59"/>
      <c r="E205" s="372"/>
      <c r="F205" s="370"/>
      <c r="G205" s="371"/>
    </row>
    <row r="206" ht="32.25" customHeight="1" spans="2:7">
      <c r="B206" s="59" t="s">
        <v>1231</v>
      </c>
      <c r="C206" s="26" t="s">
        <v>1232</v>
      </c>
      <c r="D206" s="59"/>
      <c r="E206" s="372"/>
      <c r="F206" s="370"/>
      <c r="G206" s="371"/>
    </row>
    <row r="207" ht="18" customHeight="1" spans="2:7">
      <c r="B207" s="59" t="s">
        <v>1233</v>
      </c>
      <c r="C207" s="104" t="s">
        <v>1070</v>
      </c>
      <c r="D207" s="59" t="s">
        <v>1056</v>
      </c>
      <c r="E207" s="373">
        <v>1</v>
      </c>
      <c r="F207" s="370">
        <v>105476</v>
      </c>
      <c r="G207" s="371">
        <f>E207*F207</f>
        <v>105476</v>
      </c>
    </row>
    <row r="208" spans="2:7">
      <c r="B208" s="59"/>
      <c r="C208" s="26"/>
      <c r="D208" s="59"/>
      <c r="E208" s="372"/>
      <c r="F208" s="370"/>
      <c r="G208" s="371"/>
    </row>
    <row r="209" ht="30" customHeight="1" spans="2:7">
      <c r="B209" s="59" t="s">
        <v>1234</v>
      </c>
      <c r="C209" s="26" t="s">
        <v>1235</v>
      </c>
      <c r="D209" s="59"/>
      <c r="E209" s="372"/>
      <c r="F209" s="370"/>
      <c r="G209" s="371"/>
    </row>
    <row r="210" ht="16.5" customHeight="1" spans="2:7">
      <c r="B210" s="59" t="s">
        <v>1236</v>
      </c>
      <c r="C210" s="104" t="s">
        <v>1070</v>
      </c>
      <c r="D210" s="59" t="s">
        <v>1056</v>
      </c>
      <c r="E210" s="373">
        <v>1</v>
      </c>
      <c r="F210" s="370">
        <v>77968</v>
      </c>
      <c r="G210" s="371">
        <f>E210*F210</f>
        <v>77968</v>
      </c>
    </row>
    <row r="211" spans="2:7">
      <c r="B211" s="59"/>
      <c r="C211" s="26"/>
      <c r="D211" s="59"/>
      <c r="E211" s="372"/>
      <c r="F211" s="370"/>
      <c r="G211" s="371"/>
    </row>
    <row r="212" ht="33.75" customHeight="1" spans="2:7">
      <c r="B212" s="59" t="s">
        <v>1237</v>
      </c>
      <c r="C212" s="26" t="s">
        <v>1238</v>
      </c>
      <c r="D212" s="59"/>
      <c r="E212" s="372"/>
      <c r="F212" s="370"/>
      <c r="G212" s="371"/>
    </row>
    <row r="213" ht="14.25" customHeight="1" spans="2:7">
      <c r="B213" s="59" t="s">
        <v>1239</v>
      </c>
      <c r="C213" s="104" t="s">
        <v>1070</v>
      </c>
      <c r="D213" s="59" t="s">
        <v>1056</v>
      </c>
      <c r="E213" s="373">
        <v>1</v>
      </c>
      <c r="F213" s="370">
        <v>328986</v>
      </c>
      <c r="G213" s="371">
        <f>E213*F213</f>
        <v>328986</v>
      </c>
    </row>
    <row r="214" spans="2:7">
      <c r="B214" s="59"/>
      <c r="C214" s="26"/>
      <c r="D214" s="59"/>
      <c r="E214" s="372"/>
      <c r="F214" s="370"/>
      <c r="G214" s="371"/>
    </row>
    <row r="215" ht="31.5" customHeight="1" spans="2:7">
      <c r="B215" s="59" t="s">
        <v>1240</v>
      </c>
      <c r="C215" s="26" t="s">
        <v>1241</v>
      </c>
      <c r="D215" s="59"/>
      <c r="E215" s="372"/>
      <c r="F215" s="370"/>
      <c r="G215" s="371"/>
    </row>
    <row r="216" ht="17.25" customHeight="1" spans="2:7">
      <c r="B216" s="59" t="s">
        <v>1242</v>
      </c>
      <c r="C216" s="104" t="s">
        <v>1070</v>
      </c>
      <c r="D216" s="59" t="s">
        <v>1056</v>
      </c>
      <c r="E216" s="373">
        <v>1</v>
      </c>
      <c r="F216" s="370">
        <v>94528</v>
      </c>
      <c r="G216" s="371">
        <f>E216*F216</f>
        <v>94528</v>
      </c>
    </row>
    <row r="217" spans="2:7">
      <c r="B217" s="59"/>
      <c r="C217" s="26"/>
      <c r="D217" s="59"/>
      <c r="E217" s="372"/>
      <c r="F217" s="370"/>
      <c r="G217" s="371"/>
    </row>
    <row r="218" ht="30" customHeight="1" spans="2:7">
      <c r="B218" s="59" t="s">
        <v>1243</v>
      </c>
      <c r="C218" s="26" t="s">
        <v>1244</v>
      </c>
      <c r="D218" s="59"/>
      <c r="E218" s="372"/>
      <c r="F218" s="370"/>
      <c r="G218" s="371"/>
    </row>
    <row r="219" ht="17.25" customHeight="1" spans="2:7">
      <c r="B219" s="59" t="s">
        <v>1245</v>
      </c>
      <c r="C219" s="104" t="s">
        <v>1070</v>
      </c>
      <c r="D219" s="59" t="s">
        <v>1056</v>
      </c>
      <c r="E219" s="373">
        <v>1</v>
      </c>
      <c r="F219" s="370">
        <v>109050</v>
      </c>
      <c r="G219" s="371">
        <f>E219*F219</f>
        <v>109050</v>
      </c>
    </row>
    <row r="220" spans="2:7">
      <c r="B220" s="59"/>
      <c r="C220" s="26"/>
      <c r="D220" s="59"/>
      <c r="E220" s="372"/>
      <c r="F220" s="370"/>
      <c r="G220" s="371"/>
    </row>
    <row r="221" ht="30.75" customHeight="1" spans="2:7">
      <c r="B221" s="59" t="s">
        <v>1246</v>
      </c>
      <c r="C221" s="26" t="s">
        <v>1247</v>
      </c>
      <c r="D221" s="59"/>
      <c r="E221" s="372"/>
      <c r="F221" s="370"/>
      <c r="G221" s="371"/>
    </row>
    <row r="222" ht="17.25" customHeight="1" spans="2:7">
      <c r="B222" s="59" t="s">
        <v>1248</v>
      </c>
      <c r="C222" s="104" t="s">
        <v>1070</v>
      </c>
      <c r="D222" s="59" t="s">
        <v>1056</v>
      </c>
      <c r="E222" s="373">
        <v>1</v>
      </c>
      <c r="F222" s="370">
        <v>156574</v>
      </c>
      <c r="G222" s="371">
        <f>E222*F222</f>
        <v>156574</v>
      </c>
    </row>
    <row r="223" spans="2:7">
      <c r="B223" s="59"/>
      <c r="C223" s="26"/>
      <c r="D223" s="59"/>
      <c r="E223" s="372"/>
      <c r="F223" s="370"/>
      <c r="G223" s="371"/>
    </row>
    <row r="224" ht="30.75" customHeight="1" spans="2:7">
      <c r="B224" s="59" t="s">
        <v>1249</v>
      </c>
      <c r="C224" s="26" t="s">
        <v>1250</v>
      </c>
      <c r="D224" s="59"/>
      <c r="E224" s="372"/>
      <c r="F224" s="370"/>
      <c r="G224" s="371"/>
    </row>
    <row r="225" ht="16.5" customHeight="1" spans="2:7">
      <c r="B225" s="59" t="s">
        <v>1251</v>
      </c>
      <c r="C225" s="104" t="s">
        <v>1070</v>
      </c>
      <c r="D225" s="59" t="s">
        <v>1056</v>
      </c>
      <c r="E225" s="373">
        <v>1</v>
      </c>
      <c r="F225" s="370">
        <v>117347</v>
      </c>
      <c r="G225" s="371">
        <f>E225*F225</f>
        <v>117347</v>
      </c>
    </row>
    <row r="226" spans="2:7">
      <c r="B226" s="59"/>
      <c r="C226" s="26"/>
      <c r="D226" s="59"/>
      <c r="E226" s="372"/>
      <c r="F226" s="370"/>
      <c r="G226" s="371"/>
    </row>
    <row r="227" ht="30.75" customHeight="1" spans="2:7">
      <c r="B227" s="59" t="s">
        <v>1252</v>
      </c>
      <c r="C227" s="26" t="s">
        <v>1253</v>
      </c>
      <c r="D227" s="59"/>
      <c r="E227" s="372"/>
      <c r="F227" s="370"/>
      <c r="G227" s="371"/>
    </row>
    <row r="228" ht="17.25" customHeight="1" spans="2:7">
      <c r="B228" s="59" t="s">
        <v>1254</v>
      </c>
      <c r="C228" s="104" t="s">
        <v>1070</v>
      </c>
      <c r="D228" s="59" t="s">
        <v>1056</v>
      </c>
      <c r="E228" s="373">
        <v>1</v>
      </c>
      <c r="F228" s="370">
        <v>106152</v>
      </c>
      <c r="G228" s="371">
        <f>E228*F228</f>
        <v>106152</v>
      </c>
    </row>
    <row r="229" spans="2:7">
      <c r="B229" s="59"/>
      <c r="C229" s="26"/>
      <c r="D229" s="59"/>
      <c r="E229" s="372"/>
      <c r="F229" s="370"/>
      <c r="G229" s="371"/>
    </row>
    <row r="230" ht="47.25" customHeight="1" spans="2:7">
      <c r="B230" s="59" t="s">
        <v>1255</v>
      </c>
      <c r="C230" s="26" t="s">
        <v>1256</v>
      </c>
      <c r="D230" s="59"/>
      <c r="E230" s="372"/>
      <c r="F230" s="370"/>
      <c r="G230" s="371"/>
    </row>
    <row r="231" ht="16.5" customHeight="1" spans="2:7">
      <c r="B231" s="59" t="s">
        <v>1257</v>
      </c>
      <c r="C231" s="104" t="s">
        <v>1258</v>
      </c>
      <c r="D231" s="59" t="s">
        <v>1056</v>
      </c>
      <c r="E231" s="373">
        <v>1</v>
      </c>
      <c r="F231" s="370">
        <v>314564</v>
      </c>
      <c r="G231" s="371">
        <f>E231*F231</f>
        <v>314564</v>
      </c>
    </row>
    <row r="232" ht="18.75" customHeight="1" spans="2:7">
      <c r="B232" s="59"/>
      <c r="C232" s="26"/>
      <c r="D232" s="59"/>
      <c r="E232" s="372"/>
      <c r="F232" s="370"/>
      <c r="G232" s="371"/>
    </row>
    <row r="233" ht="32.25" customHeight="1" spans="2:7">
      <c r="B233" s="59" t="s">
        <v>1259</v>
      </c>
      <c r="C233" s="26" t="s">
        <v>1260</v>
      </c>
      <c r="D233" s="59"/>
      <c r="E233" s="372"/>
      <c r="F233" s="370"/>
      <c r="G233" s="371"/>
    </row>
    <row r="234" ht="16.5" customHeight="1" spans="2:7">
      <c r="B234" s="59" t="s">
        <v>1261</v>
      </c>
      <c r="C234" s="104" t="s">
        <v>1258</v>
      </c>
      <c r="D234" s="59" t="s">
        <v>1056</v>
      </c>
      <c r="E234" s="373">
        <v>1</v>
      </c>
      <c r="F234" s="370">
        <v>387780</v>
      </c>
      <c r="G234" s="371">
        <f>E234*F234</f>
        <v>387780</v>
      </c>
    </row>
    <row r="235" ht="18" customHeight="1" spans="2:7">
      <c r="B235" s="59"/>
      <c r="C235" s="26"/>
      <c r="D235" s="59"/>
      <c r="E235" s="372"/>
      <c r="F235" s="370"/>
      <c r="G235" s="371"/>
    </row>
    <row r="236" ht="28.5" customHeight="1" spans="2:7">
      <c r="B236" s="59" t="s">
        <v>1262</v>
      </c>
      <c r="C236" s="26" t="s">
        <v>1263</v>
      </c>
      <c r="D236" s="59"/>
      <c r="E236" s="372"/>
      <c r="F236" s="370"/>
      <c r="G236" s="371"/>
    </row>
    <row r="237" ht="24.75" customHeight="1" spans="2:7">
      <c r="B237" s="67" t="s">
        <v>1264</v>
      </c>
      <c r="C237" s="144" t="s">
        <v>1070</v>
      </c>
      <c r="D237" s="67" t="s">
        <v>1056</v>
      </c>
      <c r="E237" s="374">
        <v>1</v>
      </c>
      <c r="F237" s="375">
        <v>157932</v>
      </c>
      <c r="G237" s="376">
        <f>E237*F237</f>
        <v>157932</v>
      </c>
    </row>
    <row r="238" spans="2:7">
      <c r="B238" s="59"/>
      <c r="C238" s="26"/>
      <c r="D238" s="59"/>
      <c r="E238" s="372"/>
      <c r="F238" s="370"/>
      <c r="G238" s="371"/>
    </row>
    <row r="239" ht="30" customHeight="1" spans="2:7">
      <c r="B239" s="59" t="s">
        <v>1265</v>
      </c>
      <c r="C239" s="26" t="s">
        <v>1266</v>
      </c>
      <c r="D239" s="59"/>
      <c r="E239" s="372"/>
      <c r="F239" s="370"/>
      <c r="G239" s="371"/>
    </row>
    <row r="240" ht="15.75" customHeight="1" spans="2:7">
      <c r="B240" s="59" t="s">
        <v>1267</v>
      </c>
      <c r="C240" s="104" t="s">
        <v>1070</v>
      </c>
      <c r="D240" s="59" t="s">
        <v>1056</v>
      </c>
      <c r="E240" s="373">
        <v>1</v>
      </c>
      <c r="F240" s="370">
        <v>88633</v>
      </c>
      <c r="G240" s="371">
        <f>E240*F240</f>
        <v>88633</v>
      </c>
    </row>
    <row r="241" ht="21.75" customHeight="1" spans="2:7">
      <c r="B241" s="59"/>
      <c r="C241" s="26"/>
      <c r="D241" s="59"/>
      <c r="E241" s="372"/>
      <c r="F241" s="370"/>
      <c r="G241" s="371"/>
    </row>
    <row r="242" ht="32.25" customHeight="1" spans="2:7">
      <c r="B242" s="59" t="s">
        <v>1268</v>
      </c>
      <c r="C242" s="26" t="s">
        <v>1269</v>
      </c>
      <c r="D242" s="59"/>
      <c r="E242" s="372"/>
      <c r="F242" s="370"/>
      <c r="G242" s="371"/>
    </row>
    <row r="243" ht="14.25" customHeight="1" spans="2:7">
      <c r="B243" s="59" t="s">
        <v>1270</v>
      </c>
      <c r="C243" s="104" t="s">
        <v>1258</v>
      </c>
      <c r="D243" s="59" t="s">
        <v>1056</v>
      </c>
      <c r="E243" s="373">
        <v>1</v>
      </c>
      <c r="F243" s="370">
        <v>86581</v>
      </c>
      <c r="G243" s="371">
        <f>E243*F243</f>
        <v>86581</v>
      </c>
    </row>
    <row r="244" ht="19.5" customHeight="1" spans="2:7">
      <c r="B244" s="59"/>
      <c r="C244" s="26"/>
      <c r="D244" s="59"/>
      <c r="E244" s="372"/>
      <c r="F244" s="370"/>
      <c r="G244" s="371"/>
    </row>
    <row r="245" ht="32.25" customHeight="1" spans="2:7">
      <c r="B245" s="59" t="s">
        <v>1271</v>
      </c>
      <c r="C245" s="26" t="s">
        <v>1272</v>
      </c>
      <c r="D245" s="59"/>
      <c r="E245" s="372"/>
      <c r="F245" s="370"/>
      <c r="G245" s="371"/>
    </row>
    <row r="246" ht="15" customHeight="1" spans="2:7">
      <c r="B246" s="59" t="s">
        <v>1273</v>
      </c>
      <c r="C246" s="104" t="s">
        <v>1070</v>
      </c>
      <c r="D246" s="59" t="s">
        <v>1056</v>
      </c>
      <c r="E246" s="373">
        <v>1</v>
      </c>
      <c r="F246" s="370">
        <v>111469</v>
      </c>
      <c r="G246" s="371">
        <f>E246*F246</f>
        <v>111469</v>
      </c>
    </row>
    <row r="247" ht="20.25" customHeight="1" spans="2:7">
      <c r="B247" s="59"/>
      <c r="C247" s="26"/>
      <c r="D247" s="59"/>
      <c r="E247" s="372"/>
      <c r="F247" s="370"/>
      <c r="G247" s="371"/>
    </row>
    <row r="248" ht="34.5" customHeight="1" spans="2:7">
      <c r="B248" s="59" t="s">
        <v>1274</v>
      </c>
      <c r="C248" s="26" t="s">
        <v>1275</v>
      </c>
      <c r="D248" s="59"/>
      <c r="E248" s="372"/>
      <c r="F248" s="370"/>
      <c r="G248" s="371"/>
    </row>
    <row r="249" ht="16.5" customHeight="1" spans="2:7">
      <c r="B249" s="59" t="s">
        <v>1276</v>
      </c>
      <c r="C249" s="104" t="s">
        <v>1258</v>
      </c>
      <c r="D249" s="59" t="s">
        <v>1056</v>
      </c>
      <c r="E249" s="373">
        <v>1</v>
      </c>
      <c r="F249" s="370">
        <v>125955</v>
      </c>
      <c r="G249" s="371">
        <f>E249*F249</f>
        <v>125955</v>
      </c>
    </row>
    <row r="250" ht="20.25" customHeight="1" spans="2:7">
      <c r="B250" s="59"/>
      <c r="C250" s="26"/>
      <c r="D250" s="59"/>
      <c r="E250" s="372"/>
      <c r="F250" s="370"/>
      <c r="G250" s="371"/>
    </row>
    <row r="251" ht="30.75" customHeight="1" spans="2:7">
      <c r="B251" s="59" t="s">
        <v>1277</v>
      </c>
      <c r="C251" s="26" t="s">
        <v>1278</v>
      </c>
      <c r="D251" s="59"/>
      <c r="E251" s="372"/>
      <c r="F251" s="370"/>
      <c r="G251" s="371"/>
    </row>
    <row r="252" ht="18" customHeight="1" spans="2:7">
      <c r="B252" s="59" t="s">
        <v>1279</v>
      </c>
      <c r="C252" s="104" t="s">
        <v>1070</v>
      </c>
      <c r="D252" s="59" t="s">
        <v>1056</v>
      </c>
      <c r="E252" s="373">
        <v>1</v>
      </c>
      <c r="F252" s="370">
        <v>78168</v>
      </c>
      <c r="G252" s="371">
        <f>E252*F252</f>
        <v>78168</v>
      </c>
    </row>
    <row r="253" ht="18.75" customHeight="1" spans="2:7">
      <c r="B253" s="59"/>
      <c r="C253" s="26"/>
      <c r="D253" s="59"/>
      <c r="E253" s="372"/>
      <c r="F253" s="370"/>
      <c r="G253" s="371"/>
    </row>
    <row r="254" ht="32.25" customHeight="1" spans="2:7">
      <c r="B254" s="59" t="s">
        <v>1280</v>
      </c>
      <c r="C254" s="26" t="s">
        <v>1281</v>
      </c>
      <c r="D254" s="59"/>
      <c r="E254" s="372"/>
      <c r="F254" s="370"/>
      <c r="G254" s="371"/>
    </row>
    <row r="255" ht="17.25" customHeight="1" spans="2:7">
      <c r="B255" s="59" t="s">
        <v>1282</v>
      </c>
      <c r="C255" s="104" t="s">
        <v>1070</v>
      </c>
      <c r="D255" s="59" t="s">
        <v>1056</v>
      </c>
      <c r="E255" s="373">
        <v>1</v>
      </c>
      <c r="F255" s="370">
        <v>83540</v>
      </c>
      <c r="G255" s="371">
        <f>E255*F255</f>
        <v>83540</v>
      </c>
    </row>
    <row r="256" ht="21" customHeight="1" spans="2:7">
      <c r="B256" s="59"/>
      <c r="C256" s="26"/>
      <c r="D256" s="59"/>
      <c r="E256" s="372"/>
      <c r="F256" s="370"/>
      <c r="G256" s="371"/>
    </row>
    <row r="257" ht="33.75" customHeight="1" spans="2:7">
      <c r="B257" s="59" t="s">
        <v>1283</v>
      </c>
      <c r="C257" s="26" t="s">
        <v>1284</v>
      </c>
      <c r="D257" s="59"/>
      <c r="E257" s="372"/>
      <c r="F257" s="370"/>
      <c r="G257" s="371"/>
    </row>
    <row r="258" ht="23.25" customHeight="1" spans="2:7">
      <c r="B258" s="59" t="s">
        <v>1285</v>
      </c>
      <c r="C258" s="104" t="s">
        <v>1258</v>
      </c>
      <c r="D258" s="59" t="s">
        <v>1056</v>
      </c>
      <c r="E258" s="373">
        <v>1</v>
      </c>
      <c r="F258" s="370">
        <v>108319</v>
      </c>
      <c r="G258" s="371">
        <f>E258*F258</f>
        <v>108319</v>
      </c>
    </row>
    <row r="259" spans="2:7">
      <c r="B259" s="59"/>
      <c r="C259" s="26"/>
      <c r="D259" s="59"/>
      <c r="E259" s="372"/>
      <c r="F259" s="370"/>
      <c r="G259" s="371"/>
    </row>
    <row r="260" ht="16.5" customHeight="1" spans="2:7">
      <c r="B260" s="59" t="s">
        <v>1286</v>
      </c>
      <c r="C260" s="26" t="s">
        <v>1287</v>
      </c>
      <c r="D260" s="59"/>
      <c r="E260" s="372"/>
      <c r="F260" s="370"/>
      <c r="G260" s="371"/>
    </row>
    <row r="261" ht="18.75" customHeight="1" spans="2:7">
      <c r="B261" s="59"/>
      <c r="C261" s="26" t="s">
        <v>1288</v>
      </c>
      <c r="D261" s="59"/>
      <c r="E261" s="372"/>
      <c r="F261" s="370"/>
      <c r="G261" s="371"/>
    </row>
    <row r="262" ht="69" customHeight="1" spans="2:7">
      <c r="B262" s="59" t="s">
        <v>1289</v>
      </c>
      <c r="C262" s="26" t="s">
        <v>1290</v>
      </c>
      <c r="D262" s="59"/>
      <c r="E262" s="372"/>
      <c r="F262" s="370"/>
      <c r="G262" s="371"/>
    </row>
    <row r="263" spans="2:7">
      <c r="B263" s="59"/>
      <c r="C263" s="26"/>
      <c r="D263" s="59"/>
      <c r="E263" s="372"/>
      <c r="F263" s="370"/>
      <c r="G263" s="371"/>
    </row>
    <row r="264" ht="24.75" customHeight="1" spans="2:7">
      <c r="B264" s="59" t="s">
        <v>1289</v>
      </c>
      <c r="C264" s="26" t="s">
        <v>1291</v>
      </c>
      <c r="D264" s="59"/>
      <c r="E264" s="372"/>
      <c r="F264" s="370"/>
      <c r="G264" s="371"/>
    </row>
    <row r="265" ht="24.75" customHeight="1" spans="2:7">
      <c r="B265" s="59" t="s">
        <v>1292</v>
      </c>
      <c r="C265" s="104" t="s">
        <v>1068</v>
      </c>
      <c r="D265" s="59" t="s">
        <v>1056</v>
      </c>
      <c r="E265" s="373">
        <v>7</v>
      </c>
      <c r="F265" s="370">
        <v>152720</v>
      </c>
      <c r="G265" s="371">
        <f t="shared" ref="G265:G274" si="11">E265*F265</f>
        <v>1069040</v>
      </c>
    </row>
    <row r="266" ht="24.75" customHeight="1" spans="2:7">
      <c r="B266" s="59" t="s">
        <v>1293</v>
      </c>
      <c r="C266" s="104" t="s">
        <v>1070</v>
      </c>
      <c r="D266" s="59"/>
      <c r="E266" s="373">
        <v>5</v>
      </c>
      <c r="F266" s="370">
        <v>152893</v>
      </c>
      <c r="G266" s="371">
        <f t="shared" si="11"/>
        <v>764465</v>
      </c>
    </row>
    <row r="267" ht="24.75" customHeight="1" spans="2:7">
      <c r="B267" s="59" t="s">
        <v>1294</v>
      </c>
      <c r="C267" s="104" t="s">
        <v>1072</v>
      </c>
      <c r="D267" s="59"/>
      <c r="E267" s="373">
        <v>6</v>
      </c>
      <c r="F267" s="370">
        <v>153065</v>
      </c>
      <c r="G267" s="371">
        <f t="shared" si="11"/>
        <v>918390</v>
      </c>
    </row>
    <row r="268" ht="24.75" customHeight="1" spans="2:7">
      <c r="B268" s="59" t="s">
        <v>1295</v>
      </c>
      <c r="C268" s="104" t="s">
        <v>1074</v>
      </c>
      <c r="D268" s="59"/>
      <c r="E268" s="373">
        <v>4</v>
      </c>
      <c r="F268" s="370">
        <v>153238</v>
      </c>
      <c r="G268" s="371">
        <f t="shared" si="11"/>
        <v>612952</v>
      </c>
    </row>
    <row r="269" ht="24.75" customHeight="1" spans="2:7">
      <c r="B269" s="59" t="s">
        <v>1296</v>
      </c>
      <c r="C269" s="104" t="s">
        <v>1076</v>
      </c>
      <c r="D269" s="59"/>
      <c r="E269" s="373">
        <v>4</v>
      </c>
      <c r="F269" s="370">
        <v>153410</v>
      </c>
      <c r="G269" s="371">
        <f t="shared" si="11"/>
        <v>613640</v>
      </c>
    </row>
    <row r="270" ht="24.75" customHeight="1" spans="2:7">
      <c r="B270" s="59" t="s">
        <v>1297</v>
      </c>
      <c r="C270" s="104" t="s">
        <v>1078</v>
      </c>
      <c r="D270" s="59"/>
      <c r="E270" s="373">
        <v>4</v>
      </c>
      <c r="F270" s="370">
        <v>153583</v>
      </c>
      <c r="G270" s="371">
        <f t="shared" si="11"/>
        <v>614332</v>
      </c>
    </row>
    <row r="271" ht="24.75" customHeight="1" spans="2:7">
      <c r="B271" s="59" t="s">
        <v>1298</v>
      </c>
      <c r="C271" s="104" t="s">
        <v>1080</v>
      </c>
      <c r="D271" s="59"/>
      <c r="E271" s="373">
        <v>2</v>
      </c>
      <c r="F271" s="370">
        <v>153755</v>
      </c>
      <c r="G271" s="371">
        <f t="shared" si="11"/>
        <v>307510</v>
      </c>
    </row>
    <row r="272" ht="24.75" customHeight="1" spans="2:7">
      <c r="B272" s="59" t="s">
        <v>1299</v>
      </c>
      <c r="C272" s="104" t="s">
        <v>1082</v>
      </c>
      <c r="D272" s="59"/>
      <c r="E272" s="373">
        <v>2</v>
      </c>
      <c r="F272" s="370">
        <v>153928</v>
      </c>
      <c r="G272" s="371">
        <f t="shared" si="11"/>
        <v>307856</v>
      </c>
    </row>
    <row r="273" ht="24.75" customHeight="1" spans="2:7">
      <c r="B273" s="59" t="s">
        <v>1300</v>
      </c>
      <c r="C273" s="104" t="s">
        <v>1084</v>
      </c>
      <c r="D273" s="59"/>
      <c r="E273" s="373">
        <v>2</v>
      </c>
      <c r="F273" s="370">
        <v>154100</v>
      </c>
      <c r="G273" s="371">
        <f t="shared" si="11"/>
        <v>308200</v>
      </c>
    </row>
    <row r="274" s="350" customFormat="1" ht="27.6" spans="2:9">
      <c r="B274" s="383" t="s">
        <v>1301</v>
      </c>
      <c r="C274" s="384" t="s">
        <v>1302</v>
      </c>
      <c r="D274" s="383" t="s">
        <v>1056</v>
      </c>
      <c r="E274" s="385">
        <v>4</v>
      </c>
      <c r="F274" s="386">
        <v>195845</v>
      </c>
      <c r="G274" s="387">
        <f t="shared" si="11"/>
        <v>783380</v>
      </c>
      <c r="H274" s="244" t="s">
        <v>579</v>
      </c>
      <c r="I274" s="352"/>
    </row>
    <row r="275" s="350" customFormat="1" spans="2:9">
      <c r="B275" s="388"/>
      <c r="C275" s="389"/>
      <c r="D275" s="388"/>
      <c r="E275" s="390"/>
      <c r="F275" s="341"/>
      <c r="G275" s="110"/>
      <c r="H275" s="391"/>
      <c r="I275" s="352"/>
    </row>
    <row r="276" s="350" customFormat="1" ht="15.75" customHeight="1" spans="2:9">
      <c r="B276" s="392"/>
      <c r="C276" s="393"/>
      <c r="D276" s="392"/>
      <c r="E276" s="394"/>
      <c r="F276" s="340"/>
      <c r="G276" s="103"/>
      <c r="H276" s="391"/>
      <c r="I276" s="352"/>
    </row>
    <row r="277" ht="21" customHeight="1" spans="2:7">
      <c r="B277" s="59" t="s">
        <v>1303</v>
      </c>
      <c r="C277" s="80" t="s">
        <v>1304</v>
      </c>
      <c r="D277" s="59"/>
      <c r="E277" s="372"/>
      <c r="F277" s="370"/>
      <c r="G277" s="371"/>
    </row>
    <row r="278" ht="18.75" customHeight="1" spans="2:7">
      <c r="B278" s="59"/>
      <c r="C278" s="26" t="s">
        <v>1305</v>
      </c>
      <c r="D278" s="59"/>
      <c r="E278" s="372"/>
      <c r="F278" s="370"/>
      <c r="G278" s="371"/>
    </row>
    <row r="279" ht="85.5" customHeight="1" spans="2:7">
      <c r="B279" s="59" t="s">
        <v>1306</v>
      </c>
      <c r="C279" s="26" t="s">
        <v>1307</v>
      </c>
      <c r="D279" s="59"/>
      <c r="E279" s="372"/>
      <c r="F279" s="370"/>
      <c r="G279" s="371"/>
    </row>
    <row r="280" ht="15" customHeight="1" spans="2:7">
      <c r="B280" s="59"/>
      <c r="C280" s="26"/>
      <c r="D280" s="59"/>
      <c r="E280" s="372"/>
      <c r="F280" s="370"/>
      <c r="G280" s="371"/>
    </row>
    <row r="281" ht="30.75" customHeight="1" spans="2:7">
      <c r="B281" s="59" t="s">
        <v>1306</v>
      </c>
      <c r="C281" s="26" t="s">
        <v>1308</v>
      </c>
      <c r="D281" s="59"/>
      <c r="E281" s="372"/>
      <c r="F281" s="370"/>
      <c r="G281" s="371"/>
    </row>
    <row r="282" ht="25.5" customHeight="1" spans="2:7">
      <c r="B282" s="59" t="s">
        <v>1309</v>
      </c>
      <c r="C282" s="104" t="s">
        <v>1068</v>
      </c>
      <c r="D282" s="59" t="s">
        <v>1056</v>
      </c>
      <c r="E282" s="373">
        <v>3</v>
      </c>
      <c r="F282" s="370">
        <v>443900</v>
      </c>
      <c r="G282" s="371">
        <f>E282*F282</f>
        <v>1331700</v>
      </c>
    </row>
    <row r="283" ht="25.5" customHeight="1" spans="2:7">
      <c r="B283" s="59" t="s">
        <v>1310</v>
      </c>
      <c r="C283" s="104" t="s">
        <v>1070</v>
      </c>
      <c r="D283" s="59" t="s">
        <v>1056</v>
      </c>
      <c r="E283" s="373">
        <v>1</v>
      </c>
      <c r="F283" s="370">
        <v>443900</v>
      </c>
      <c r="G283" s="371">
        <f>E283*F283</f>
        <v>443900</v>
      </c>
    </row>
    <row r="284" ht="24.75" customHeight="1" spans="2:7">
      <c r="B284" s="59"/>
      <c r="C284" s="26"/>
      <c r="D284" s="59"/>
      <c r="E284" s="372"/>
      <c r="F284" s="370"/>
      <c r="G284" s="371"/>
    </row>
    <row r="285" ht="32.25" customHeight="1" spans="2:7">
      <c r="B285" s="59" t="s">
        <v>1311</v>
      </c>
      <c r="C285" s="26" t="s">
        <v>1312</v>
      </c>
      <c r="D285" s="59"/>
      <c r="E285" s="372"/>
      <c r="F285" s="370"/>
      <c r="G285" s="371"/>
    </row>
    <row r="286" ht="18" customHeight="1" spans="2:7">
      <c r="B286" s="59" t="s">
        <v>1313</v>
      </c>
      <c r="C286" s="104" t="s">
        <v>1068</v>
      </c>
      <c r="D286" s="59" t="s">
        <v>1056</v>
      </c>
      <c r="E286" s="373">
        <v>1</v>
      </c>
      <c r="F286" s="370">
        <v>358800</v>
      </c>
      <c r="G286" s="371">
        <f>E286*F286</f>
        <v>358800</v>
      </c>
    </row>
    <row r="287" ht="15.75" customHeight="1" spans="2:7">
      <c r="B287" s="59"/>
      <c r="C287" s="26"/>
      <c r="D287" s="59"/>
      <c r="E287" s="372"/>
      <c r="F287" s="370"/>
      <c r="G287" s="371"/>
    </row>
    <row r="288" ht="20.25" customHeight="1" spans="2:7">
      <c r="B288" s="59" t="s">
        <v>1314</v>
      </c>
      <c r="C288" s="80" t="s">
        <v>1315</v>
      </c>
      <c r="D288" s="59"/>
      <c r="E288" s="372"/>
      <c r="F288" s="370"/>
      <c r="G288" s="371"/>
    </row>
    <row r="289" ht="21" customHeight="1" spans="2:7">
      <c r="B289" s="59"/>
      <c r="C289" s="80" t="s">
        <v>1305</v>
      </c>
      <c r="D289" s="59"/>
      <c r="E289" s="372"/>
      <c r="F289" s="370"/>
      <c r="G289" s="371"/>
    </row>
    <row r="290" ht="72.75" customHeight="1" spans="2:7">
      <c r="B290" s="59" t="s">
        <v>1316</v>
      </c>
      <c r="C290" s="26" t="s">
        <v>1317</v>
      </c>
      <c r="D290" s="59"/>
      <c r="E290" s="395"/>
      <c r="F290" s="370"/>
      <c r="G290" s="371"/>
    </row>
    <row r="291" ht="32.25" customHeight="1" spans="2:7">
      <c r="B291" s="59" t="s">
        <v>1316</v>
      </c>
      <c r="C291" s="26" t="s">
        <v>1318</v>
      </c>
      <c r="D291" s="59"/>
      <c r="E291" s="372"/>
      <c r="F291" s="370"/>
      <c r="G291" s="371"/>
    </row>
    <row r="292" ht="22.5" customHeight="1" spans="2:7">
      <c r="B292" s="59" t="s">
        <v>1319</v>
      </c>
      <c r="C292" s="104" t="s">
        <v>1066</v>
      </c>
      <c r="D292" s="59" t="s">
        <v>1056</v>
      </c>
      <c r="E292" s="373">
        <v>3</v>
      </c>
      <c r="F292" s="370">
        <v>68841</v>
      </c>
      <c r="G292" s="371">
        <f>E292*F292</f>
        <v>206523</v>
      </c>
    </row>
    <row r="293" ht="22.5" customHeight="1" spans="2:7">
      <c r="B293" s="59" t="s">
        <v>1320</v>
      </c>
      <c r="C293" s="104" t="s">
        <v>1068</v>
      </c>
      <c r="D293" s="59" t="s">
        <v>1056</v>
      </c>
      <c r="E293" s="373">
        <v>2</v>
      </c>
      <c r="F293" s="370">
        <v>68841</v>
      </c>
      <c r="G293" s="371">
        <f>E293*F293</f>
        <v>137682</v>
      </c>
    </row>
    <row r="294" ht="22.5" customHeight="1" spans="2:7">
      <c r="B294" s="59" t="s">
        <v>1321</v>
      </c>
      <c r="C294" s="104" t="s">
        <v>1070</v>
      </c>
      <c r="D294" s="59" t="s">
        <v>1056</v>
      </c>
      <c r="E294" s="373">
        <v>2</v>
      </c>
      <c r="F294" s="370">
        <v>68841</v>
      </c>
      <c r="G294" s="371">
        <f>E294*F294</f>
        <v>137682</v>
      </c>
    </row>
    <row r="295" ht="22.5" customHeight="1" spans="2:7">
      <c r="B295" s="59" t="s">
        <v>1322</v>
      </c>
      <c r="C295" s="104" t="s">
        <v>1072</v>
      </c>
      <c r="D295" s="59" t="s">
        <v>1056</v>
      </c>
      <c r="E295" s="373">
        <v>6</v>
      </c>
      <c r="F295" s="370">
        <v>68841</v>
      </c>
      <c r="G295" s="371">
        <f>E295*F295</f>
        <v>413046</v>
      </c>
    </row>
    <row r="296" ht="22.5" customHeight="1" spans="2:7">
      <c r="B296" s="59" t="s">
        <v>1323</v>
      </c>
      <c r="C296" s="104" t="s">
        <v>1078</v>
      </c>
      <c r="D296" s="59" t="s">
        <v>1056</v>
      </c>
      <c r="E296" s="373">
        <v>3</v>
      </c>
      <c r="F296" s="370">
        <v>68841</v>
      </c>
      <c r="G296" s="371">
        <f>E296*F296</f>
        <v>206523</v>
      </c>
    </row>
    <row r="297" ht="22.5" customHeight="1" spans="2:7">
      <c r="B297" s="59"/>
      <c r="C297" s="104"/>
      <c r="D297" s="59"/>
      <c r="E297" s="373"/>
      <c r="F297" s="370"/>
      <c r="G297" s="371"/>
    </row>
    <row r="298" ht="35.25" customHeight="1" spans="2:7">
      <c r="B298" s="59" t="s">
        <v>1324</v>
      </c>
      <c r="C298" s="26" t="s">
        <v>1325</v>
      </c>
      <c r="D298" s="59"/>
      <c r="E298" s="372"/>
      <c r="F298" s="370"/>
      <c r="G298" s="371"/>
    </row>
    <row r="299" ht="22.5" customHeight="1" spans="2:7">
      <c r="B299" s="59" t="s">
        <v>1326</v>
      </c>
      <c r="C299" s="104" t="s">
        <v>1066</v>
      </c>
      <c r="D299" s="59" t="s">
        <v>1056</v>
      </c>
      <c r="E299" s="373">
        <v>10</v>
      </c>
      <c r="F299" s="370">
        <v>70299</v>
      </c>
      <c r="G299" s="371">
        <f>E299*F299</f>
        <v>702990</v>
      </c>
    </row>
    <row r="300" ht="22.5" customHeight="1" spans="2:7">
      <c r="B300" s="59" t="s">
        <v>1327</v>
      </c>
      <c r="C300" s="104" t="s">
        <v>1070</v>
      </c>
      <c r="D300" s="59" t="s">
        <v>1056</v>
      </c>
      <c r="E300" s="373">
        <v>6</v>
      </c>
      <c r="F300" s="370">
        <v>70299</v>
      </c>
      <c r="G300" s="371">
        <f>E300*F300</f>
        <v>421794</v>
      </c>
    </row>
    <row r="301" ht="22.5" customHeight="1" spans="2:7">
      <c r="B301" s="59" t="s">
        <v>1328</v>
      </c>
      <c r="C301" s="104" t="s">
        <v>1072</v>
      </c>
      <c r="D301" s="59" t="s">
        <v>1056</v>
      </c>
      <c r="E301" s="373">
        <v>7</v>
      </c>
      <c r="F301" s="370">
        <v>70299</v>
      </c>
      <c r="G301" s="371">
        <f>E301*F301</f>
        <v>492093</v>
      </c>
    </row>
    <row r="302" ht="22.5" customHeight="1" spans="2:7">
      <c r="B302" s="59"/>
      <c r="C302" s="104"/>
      <c r="D302" s="59"/>
      <c r="E302" s="373"/>
      <c r="F302" s="370"/>
      <c r="G302" s="371"/>
    </row>
    <row r="303" ht="30.75" customHeight="1" spans="2:7">
      <c r="B303" s="59" t="s">
        <v>1329</v>
      </c>
      <c r="C303" s="26" t="s">
        <v>1330</v>
      </c>
      <c r="D303" s="59"/>
      <c r="E303" s="372"/>
      <c r="F303" s="370"/>
      <c r="G303" s="371"/>
    </row>
    <row r="304" ht="26.25" customHeight="1" spans="2:7">
      <c r="B304" s="59" t="s">
        <v>1331</v>
      </c>
      <c r="C304" s="104" t="s">
        <v>1066</v>
      </c>
      <c r="D304" s="59" t="s">
        <v>1056</v>
      </c>
      <c r="E304" s="373">
        <v>3</v>
      </c>
      <c r="F304" s="370">
        <v>42869</v>
      </c>
      <c r="G304" s="371">
        <f t="shared" ref="G304:G314" si="12">E304*F304</f>
        <v>128607</v>
      </c>
    </row>
    <row r="305" ht="26.25" customHeight="1" spans="2:7">
      <c r="B305" s="59" t="s">
        <v>1332</v>
      </c>
      <c r="C305" s="104" t="s">
        <v>1068</v>
      </c>
      <c r="D305" s="59" t="s">
        <v>1056</v>
      </c>
      <c r="E305" s="373">
        <v>25</v>
      </c>
      <c r="F305" s="370">
        <v>42869</v>
      </c>
      <c r="G305" s="371">
        <f t="shared" si="12"/>
        <v>1071725</v>
      </c>
    </row>
    <row r="306" ht="26.25" customHeight="1" spans="2:7">
      <c r="B306" s="59" t="s">
        <v>1333</v>
      </c>
      <c r="C306" s="104" t="s">
        <v>1070</v>
      </c>
      <c r="D306" s="59" t="s">
        <v>1056</v>
      </c>
      <c r="E306" s="373">
        <v>20</v>
      </c>
      <c r="F306" s="370">
        <v>42869</v>
      </c>
      <c r="G306" s="371">
        <f t="shared" si="12"/>
        <v>857380</v>
      </c>
    </row>
    <row r="307" ht="26.25" customHeight="1" spans="2:7">
      <c r="B307" s="59" t="s">
        <v>1334</v>
      </c>
      <c r="C307" s="104" t="s">
        <v>1072</v>
      </c>
      <c r="D307" s="59" t="s">
        <v>1056</v>
      </c>
      <c r="E307" s="373">
        <v>16</v>
      </c>
      <c r="F307" s="370">
        <v>42869</v>
      </c>
      <c r="G307" s="371">
        <f t="shared" si="12"/>
        <v>685904</v>
      </c>
    </row>
    <row r="308" ht="29.25" customHeight="1" spans="2:7">
      <c r="B308" s="67" t="s">
        <v>1335</v>
      </c>
      <c r="C308" s="144" t="s">
        <v>1074</v>
      </c>
      <c r="D308" s="67" t="s">
        <v>1056</v>
      </c>
      <c r="E308" s="374">
        <v>10</v>
      </c>
      <c r="F308" s="375">
        <v>42869</v>
      </c>
      <c r="G308" s="376">
        <f t="shared" si="12"/>
        <v>428690</v>
      </c>
    </row>
    <row r="309" ht="20.25" customHeight="1" spans="2:7">
      <c r="B309" s="59"/>
      <c r="C309" s="104"/>
      <c r="D309" s="59"/>
      <c r="E309" s="373"/>
      <c r="F309" s="370"/>
      <c r="G309" s="371"/>
    </row>
    <row r="310" ht="26.25" customHeight="1" spans="2:7">
      <c r="B310" s="59" t="s">
        <v>1336</v>
      </c>
      <c r="C310" s="104" t="s">
        <v>1076</v>
      </c>
      <c r="D310" s="59" t="s">
        <v>1056</v>
      </c>
      <c r="E310" s="373">
        <v>8</v>
      </c>
      <c r="F310" s="370">
        <v>42869</v>
      </c>
      <c r="G310" s="371">
        <f t="shared" si="12"/>
        <v>342952</v>
      </c>
    </row>
    <row r="311" ht="26.25" customHeight="1" spans="2:7">
      <c r="B311" s="59" t="s">
        <v>1337</v>
      </c>
      <c r="C311" s="104" t="s">
        <v>1078</v>
      </c>
      <c r="D311" s="59" t="s">
        <v>1056</v>
      </c>
      <c r="E311" s="373">
        <v>3</v>
      </c>
      <c r="F311" s="370">
        <v>42869</v>
      </c>
      <c r="G311" s="371">
        <f t="shared" si="12"/>
        <v>128607</v>
      </c>
    </row>
    <row r="312" ht="26.25" customHeight="1" spans="2:7">
      <c r="B312" s="59" t="s">
        <v>1338</v>
      </c>
      <c r="C312" s="104" t="s">
        <v>1080</v>
      </c>
      <c r="D312" s="59" t="s">
        <v>1056</v>
      </c>
      <c r="E312" s="373">
        <v>4</v>
      </c>
      <c r="F312" s="370">
        <v>42869</v>
      </c>
      <c r="G312" s="371">
        <f t="shared" si="12"/>
        <v>171476</v>
      </c>
    </row>
    <row r="313" ht="26.25" customHeight="1" spans="2:7">
      <c r="B313" s="59" t="s">
        <v>1339</v>
      </c>
      <c r="C313" s="104" t="s">
        <v>1082</v>
      </c>
      <c r="D313" s="59" t="s">
        <v>1056</v>
      </c>
      <c r="E313" s="373">
        <v>4</v>
      </c>
      <c r="F313" s="370">
        <v>42869</v>
      </c>
      <c r="G313" s="371">
        <f t="shared" si="12"/>
        <v>171476</v>
      </c>
    </row>
    <row r="314" ht="26.25" customHeight="1" spans="2:7">
      <c r="B314" s="59" t="s">
        <v>1340</v>
      </c>
      <c r="C314" s="104" t="s">
        <v>1084</v>
      </c>
      <c r="D314" s="59" t="s">
        <v>1056</v>
      </c>
      <c r="E314" s="373">
        <v>2</v>
      </c>
      <c r="F314" s="370">
        <v>42869</v>
      </c>
      <c r="G314" s="371">
        <f t="shared" si="12"/>
        <v>85738</v>
      </c>
    </row>
    <row r="315" spans="2:7">
      <c r="B315" s="59"/>
      <c r="C315" s="104"/>
      <c r="D315" s="59"/>
      <c r="E315" s="373"/>
      <c r="F315" s="370"/>
      <c r="G315" s="371"/>
    </row>
    <row r="316" ht="32.25" customHeight="1" spans="2:7">
      <c r="B316" s="59" t="s">
        <v>1341</v>
      </c>
      <c r="C316" s="26" t="s">
        <v>1342</v>
      </c>
      <c r="D316" s="59"/>
      <c r="E316" s="372"/>
      <c r="F316" s="370"/>
      <c r="G316" s="371"/>
    </row>
    <row r="317" ht="23.25" customHeight="1" spans="2:7">
      <c r="B317" s="59" t="s">
        <v>1343</v>
      </c>
      <c r="C317" s="104" t="s">
        <v>1066</v>
      </c>
      <c r="D317" s="59" t="s">
        <v>1056</v>
      </c>
      <c r="E317" s="373">
        <v>3</v>
      </c>
      <c r="F317" s="370">
        <v>65683</v>
      </c>
      <c r="G317" s="371">
        <f>E317*F317</f>
        <v>197049</v>
      </c>
    </row>
    <row r="318" ht="23.25" customHeight="1" spans="2:7">
      <c r="B318" s="59" t="s">
        <v>1344</v>
      </c>
      <c r="C318" s="104" t="s">
        <v>1084</v>
      </c>
      <c r="D318" s="59" t="s">
        <v>1056</v>
      </c>
      <c r="E318" s="373">
        <v>1</v>
      </c>
      <c r="F318" s="370">
        <v>65683</v>
      </c>
      <c r="G318" s="371">
        <f>E318*F318</f>
        <v>65683</v>
      </c>
    </row>
    <row r="319" spans="2:7">
      <c r="B319" s="59"/>
      <c r="C319" s="104"/>
      <c r="D319" s="59"/>
      <c r="E319" s="373"/>
      <c r="F319" s="370"/>
      <c r="G319" s="371"/>
    </row>
    <row r="320" ht="30.75" customHeight="1" spans="2:7">
      <c r="B320" s="59" t="s">
        <v>1345</v>
      </c>
      <c r="C320" s="26" t="s">
        <v>1346</v>
      </c>
      <c r="D320" s="59"/>
      <c r="E320" s="372"/>
      <c r="F320" s="370"/>
      <c r="G320" s="371"/>
    </row>
    <row r="321" ht="22.5" customHeight="1" spans="2:7">
      <c r="B321" s="59" t="s">
        <v>1347</v>
      </c>
      <c r="C321" s="104" t="s">
        <v>1066</v>
      </c>
      <c r="D321" s="59" t="s">
        <v>1056</v>
      </c>
      <c r="E321" s="373">
        <v>14</v>
      </c>
      <c r="F321" s="370">
        <v>35279</v>
      </c>
      <c r="G321" s="371">
        <f t="shared" ref="G321:G330" si="13">E321*F321</f>
        <v>493906</v>
      </c>
    </row>
    <row r="322" ht="22.5" customHeight="1" spans="2:7">
      <c r="B322" s="59" t="s">
        <v>1348</v>
      </c>
      <c r="C322" s="104" t="s">
        <v>1162</v>
      </c>
      <c r="D322" s="59" t="s">
        <v>1056</v>
      </c>
      <c r="E322" s="373">
        <v>7</v>
      </c>
      <c r="F322" s="370">
        <v>35279</v>
      </c>
      <c r="G322" s="371">
        <f t="shared" si="13"/>
        <v>246953</v>
      </c>
    </row>
    <row r="323" ht="22.5" customHeight="1" spans="2:7">
      <c r="B323" s="59" t="s">
        <v>1349</v>
      </c>
      <c r="C323" s="104" t="s">
        <v>1068</v>
      </c>
      <c r="D323" s="59" t="s">
        <v>1056</v>
      </c>
      <c r="E323" s="373">
        <v>16</v>
      </c>
      <c r="F323" s="370">
        <v>35279</v>
      </c>
      <c r="G323" s="371">
        <f t="shared" si="13"/>
        <v>564464</v>
      </c>
    </row>
    <row r="324" ht="22.5" customHeight="1" spans="2:7">
      <c r="B324" s="59" t="s">
        <v>1350</v>
      </c>
      <c r="C324" s="104" t="s">
        <v>1070</v>
      </c>
      <c r="D324" s="59" t="s">
        <v>1056</v>
      </c>
      <c r="E324" s="373">
        <v>13</v>
      </c>
      <c r="F324" s="370">
        <v>35279</v>
      </c>
      <c r="G324" s="371">
        <f t="shared" si="13"/>
        <v>458627</v>
      </c>
    </row>
    <row r="325" ht="22.5" customHeight="1" spans="2:7">
      <c r="B325" s="59" t="s">
        <v>1351</v>
      </c>
      <c r="C325" s="104" t="s">
        <v>1072</v>
      </c>
      <c r="D325" s="59" t="s">
        <v>1056</v>
      </c>
      <c r="E325" s="373">
        <v>18</v>
      </c>
      <c r="F325" s="370">
        <v>35279</v>
      </c>
      <c r="G325" s="371">
        <f t="shared" si="13"/>
        <v>635022</v>
      </c>
    </row>
    <row r="326" ht="22.5" customHeight="1" spans="2:7">
      <c r="B326" s="59" t="s">
        <v>1352</v>
      </c>
      <c r="C326" s="104" t="s">
        <v>1074</v>
      </c>
      <c r="D326" s="59" t="s">
        <v>1056</v>
      </c>
      <c r="E326" s="373">
        <v>10</v>
      </c>
      <c r="F326" s="370">
        <v>35279</v>
      </c>
      <c r="G326" s="371">
        <f t="shared" si="13"/>
        <v>352790</v>
      </c>
    </row>
    <row r="327" ht="22.5" customHeight="1" spans="2:7">
      <c r="B327" s="59" t="s">
        <v>1353</v>
      </c>
      <c r="C327" s="104" t="s">
        <v>1076</v>
      </c>
      <c r="D327" s="59" t="s">
        <v>1056</v>
      </c>
      <c r="E327" s="373">
        <v>14</v>
      </c>
      <c r="F327" s="370">
        <v>35279</v>
      </c>
      <c r="G327" s="371">
        <f t="shared" si="13"/>
        <v>493906</v>
      </c>
    </row>
    <row r="328" ht="22.5" customHeight="1" spans="2:7">
      <c r="B328" s="59" t="s">
        <v>1354</v>
      </c>
      <c r="C328" s="104" t="s">
        <v>1078</v>
      </c>
      <c r="D328" s="59" t="s">
        <v>1056</v>
      </c>
      <c r="E328" s="373">
        <v>14</v>
      </c>
      <c r="F328" s="370">
        <v>35279</v>
      </c>
      <c r="G328" s="371">
        <f t="shared" si="13"/>
        <v>493906</v>
      </c>
    </row>
    <row r="329" ht="22.5" customHeight="1" spans="2:7">
      <c r="B329" s="59" t="s">
        <v>1355</v>
      </c>
      <c r="C329" s="104" t="s">
        <v>1080</v>
      </c>
      <c r="D329" s="59" t="s">
        <v>1056</v>
      </c>
      <c r="E329" s="373">
        <v>6</v>
      </c>
      <c r="F329" s="370">
        <v>35279</v>
      </c>
      <c r="G329" s="371">
        <f t="shared" si="13"/>
        <v>211674</v>
      </c>
    </row>
    <row r="330" ht="22.5" customHeight="1" spans="2:7">
      <c r="B330" s="59" t="s">
        <v>1356</v>
      </c>
      <c r="C330" s="104" t="s">
        <v>1084</v>
      </c>
      <c r="D330" s="59" t="s">
        <v>1056</v>
      </c>
      <c r="E330" s="373">
        <v>5</v>
      </c>
      <c r="F330" s="370">
        <v>35279</v>
      </c>
      <c r="G330" s="371">
        <f t="shared" si="13"/>
        <v>176395</v>
      </c>
    </row>
    <row r="331" ht="22.5" customHeight="1" spans="2:7">
      <c r="B331" s="59"/>
      <c r="C331" s="104"/>
      <c r="D331" s="59"/>
      <c r="E331" s="373"/>
      <c r="F331" s="370"/>
      <c r="G331" s="371"/>
    </row>
    <row r="332" ht="36" customHeight="1" spans="2:7">
      <c r="B332" s="59" t="s">
        <v>1357</v>
      </c>
      <c r="C332" s="26" t="s">
        <v>1358</v>
      </c>
      <c r="D332" s="59"/>
      <c r="E332" s="372"/>
      <c r="F332" s="370"/>
      <c r="G332" s="371"/>
    </row>
    <row r="333" ht="21.75" customHeight="1" spans="2:7">
      <c r="B333" s="59" t="s">
        <v>1359</v>
      </c>
      <c r="C333" s="104" t="s">
        <v>1066</v>
      </c>
      <c r="D333" s="59" t="s">
        <v>1056</v>
      </c>
      <c r="E333" s="373">
        <v>22</v>
      </c>
      <c r="F333" s="370">
        <v>39395</v>
      </c>
      <c r="G333" s="371">
        <f t="shared" ref="G333:G344" si="14">E333*F333</f>
        <v>866690</v>
      </c>
    </row>
    <row r="334" ht="21.75" customHeight="1" spans="2:7">
      <c r="B334" s="59" t="s">
        <v>1360</v>
      </c>
      <c r="C334" s="104" t="s">
        <v>1162</v>
      </c>
      <c r="D334" s="59" t="s">
        <v>1056</v>
      </c>
      <c r="E334" s="373">
        <v>4</v>
      </c>
      <c r="F334" s="370">
        <v>39395</v>
      </c>
      <c r="G334" s="371">
        <f t="shared" si="14"/>
        <v>157580</v>
      </c>
    </row>
    <row r="335" ht="21.75" customHeight="1" spans="2:7">
      <c r="B335" s="59" t="s">
        <v>1361</v>
      </c>
      <c r="C335" s="104" t="s">
        <v>1068</v>
      </c>
      <c r="D335" s="59" t="s">
        <v>1056</v>
      </c>
      <c r="E335" s="373">
        <v>23</v>
      </c>
      <c r="F335" s="370">
        <v>39395</v>
      </c>
      <c r="G335" s="371">
        <f t="shared" si="14"/>
        <v>906085</v>
      </c>
    </row>
    <row r="336" ht="21.75" customHeight="1" spans="2:7">
      <c r="B336" s="59" t="s">
        <v>1362</v>
      </c>
      <c r="C336" s="104" t="s">
        <v>1070</v>
      </c>
      <c r="D336" s="59" t="s">
        <v>1056</v>
      </c>
      <c r="E336" s="373">
        <v>18</v>
      </c>
      <c r="F336" s="370">
        <v>39395</v>
      </c>
      <c r="G336" s="371">
        <f t="shared" si="14"/>
        <v>709110</v>
      </c>
    </row>
    <row r="337" ht="21.75" customHeight="1" spans="2:7">
      <c r="B337" s="59" t="s">
        <v>1363</v>
      </c>
      <c r="C337" s="104" t="s">
        <v>1072</v>
      </c>
      <c r="D337" s="59" t="s">
        <v>1056</v>
      </c>
      <c r="E337" s="373">
        <v>53</v>
      </c>
      <c r="F337" s="370">
        <v>39395</v>
      </c>
      <c r="G337" s="371">
        <f t="shared" si="14"/>
        <v>2087935</v>
      </c>
    </row>
    <row r="338" ht="21.75" customHeight="1" spans="2:7">
      <c r="B338" s="59" t="s">
        <v>1364</v>
      </c>
      <c r="C338" s="104" t="s">
        <v>1074</v>
      </c>
      <c r="D338" s="59" t="s">
        <v>1056</v>
      </c>
      <c r="E338" s="373">
        <v>16</v>
      </c>
      <c r="F338" s="370">
        <v>39395</v>
      </c>
      <c r="G338" s="371">
        <f t="shared" si="14"/>
        <v>630320</v>
      </c>
    </row>
    <row r="339" ht="21.75" customHeight="1" spans="2:7">
      <c r="B339" s="59" t="s">
        <v>1365</v>
      </c>
      <c r="C339" s="104" t="s">
        <v>1076</v>
      </c>
      <c r="D339" s="59" t="s">
        <v>1056</v>
      </c>
      <c r="E339" s="373">
        <v>25</v>
      </c>
      <c r="F339" s="370">
        <v>39395</v>
      </c>
      <c r="G339" s="371">
        <f t="shared" si="14"/>
        <v>984875</v>
      </c>
    </row>
    <row r="340" ht="21.75" customHeight="1" spans="2:7">
      <c r="B340" s="59" t="s">
        <v>1366</v>
      </c>
      <c r="C340" s="104" t="s">
        <v>1078</v>
      </c>
      <c r="D340" s="59" t="s">
        <v>1056</v>
      </c>
      <c r="E340" s="373">
        <v>38</v>
      </c>
      <c r="F340" s="370">
        <v>39395</v>
      </c>
      <c r="G340" s="371">
        <f t="shared" si="14"/>
        <v>1497010</v>
      </c>
    </row>
    <row r="341" ht="21.75" customHeight="1" spans="2:7">
      <c r="B341" s="59" t="s">
        <v>1367</v>
      </c>
      <c r="C341" s="104" t="s">
        <v>1080</v>
      </c>
      <c r="D341" s="59" t="s">
        <v>1056</v>
      </c>
      <c r="E341" s="373">
        <v>4</v>
      </c>
      <c r="F341" s="370">
        <v>39395</v>
      </c>
      <c r="G341" s="371">
        <f t="shared" si="14"/>
        <v>157580</v>
      </c>
    </row>
    <row r="342" ht="21.75" customHeight="1" spans="2:7">
      <c r="B342" s="59" t="s">
        <v>1368</v>
      </c>
      <c r="C342" s="104" t="s">
        <v>1082</v>
      </c>
      <c r="D342" s="59" t="s">
        <v>1056</v>
      </c>
      <c r="E342" s="373">
        <v>4</v>
      </c>
      <c r="F342" s="370">
        <v>39395</v>
      </c>
      <c r="G342" s="371">
        <f t="shared" si="14"/>
        <v>157580</v>
      </c>
    </row>
    <row r="343" ht="21.75" customHeight="1" spans="2:7">
      <c r="B343" s="59" t="s">
        <v>1369</v>
      </c>
      <c r="C343" s="104" t="s">
        <v>1084</v>
      </c>
      <c r="D343" s="59" t="s">
        <v>1056</v>
      </c>
      <c r="E343" s="373">
        <v>6</v>
      </c>
      <c r="F343" s="370">
        <v>39395</v>
      </c>
      <c r="G343" s="371">
        <f t="shared" si="14"/>
        <v>236370</v>
      </c>
    </row>
    <row r="344" ht="33" customHeight="1" spans="2:7">
      <c r="B344" s="67" t="s">
        <v>1370</v>
      </c>
      <c r="C344" s="144" t="s">
        <v>1371</v>
      </c>
      <c r="D344" s="67" t="s">
        <v>1056</v>
      </c>
      <c r="E344" s="374">
        <v>2</v>
      </c>
      <c r="F344" s="375">
        <v>39395</v>
      </c>
      <c r="G344" s="376">
        <f t="shared" si="14"/>
        <v>78790</v>
      </c>
    </row>
    <row r="345" ht="21" customHeight="1" spans="2:7">
      <c r="B345" s="59"/>
      <c r="C345" s="104"/>
      <c r="D345" s="59"/>
      <c r="E345" s="373"/>
      <c r="F345" s="370"/>
      <c r="G345" s="371"/>
    </row>
    <row r="346" ht="36" customHeight="1" spans="2:7">
      <c r="B346" s="59" t="s">
        <v>1372</v>
      </c>
      <c r="C346" s="26" t="s">
        <v>1373</v>
      </c>
      <c r="D346" s="59"/>
      <c r="E346" s="372"/>
      <c r="F346" s="370"/>
      <c r="G346" s="371"/>
    </row>
    <row r="347" ht="21.75" customHeight="1" spans="2:7">
      <c r="B347" s="59" t="s">
        <v>1374</v>
      </c>
      <c r="C347" s="104" t="s">
        <v>1066</v>
      </c>
      <c r="D347" s="59" t="s">
        <v>1056</v>
      </c>
      <c r="E347" s="373">
        <v>7</v>
      </c>
      <c r="F347" s="370">
        <v>64127</v>
      </c>
      <c r="G347" s="371">
        <f t="shared" ref="G347:G352" si="15">E347*F347</f>
        <v>448889</v>
      </c>
    </row>
    <row r="348" ht="21.75" customHeight="1" spans="2:7">
      <c r="B348" s="59" t="s">
        <v>1375</v>
      </c>
      <c r="C348" s="104" t="s">
        <v>1068</v>
      </c>
      <c r="D348" s="59" t="s">
        <v>1056</v>
      </c>
      <c r="E348" s="373">
        <v>10</v>
      </c>
      <c r="F348" s="370">
        <v>64127</v>
      </c>
      <c r="G348" s="371">
        <f t="shared" si="15"/>
        <v>641270</v>
      </c>
    </row>
    <row r="349" ht="21.75" customHeight="1" spans="2:7">
      <c r="B349" s="59" t="s">
        <v>1376</v>
      </c>
      <c r="C349" s="104" t="s">
        <v>1070</v>
      </c>
      <c r="D349" s="59" t="s">
        <v>1056</v>
      </c>
      <c r="E349" s="373">
        <v>1</v>
      </c>
      <c r="F349" s="370">
        <v>64127</v>
      </c>
      <c r="G349" s="371">
        <f t="shared" si="15"/>
        <v>64127</v>
      </c>
    </row>
    <row r="350" ht="21.75" customHeight="1" spans="2:7">
      <c r="B350" s="59" t="s">
        <v>1377</v>
      </c>
      <c r="C350" s="104" t="s">
        <v>1072</v>
      </c>
      <c r="D350" s="59" t="s">
        <v>1056</v>
      </c>
      <c r="E350" s="373">
        <v>1</v>
      </c>
      <c r="F350" s="370">
        <v>64127</v>
      </c>
      <c r="G350" s="371">
        <f t="shared" si="15"/>
        <v>64127</v>
      </c>
    </row>
    <row r="351" ht="21.75" customHeight="1" spans="2:7">
      <c r="B351" s="59" t="s">
        <v>1378</v>
      </c>
      <c r="C351" s="104" t="s">
        <v>1076</v>
      </c>
      <c r="D351" s="59" t="s">
        <v>1056</v>
      </c>
      <c r="E351" s="373">
        <v>1</v>
      </c>
      <c r="F351" s="370">
        <v>64127</v>
      </c>
      <c r="G351" s="371">
        <f t="shared" si="15"/>
        <v>64127</v>
      </c>
    </row>
    <row r="352" ht="21.75" customHeight="1" spans="2:7">
      <c r="B352" s="59" t="s">
        <v>1379</v>
      </c>
      <c r="C352" s="104" t="s">
        <v>1078</v>
      </c>
      <c r="D352" s="59" t="s">
        <v>1056</v>
      </c>
      <c r="E352" s="373">
        <v>1</v>
      </c>
      <c r="F352" s="370">
        <v>64127</v>
      </c>
      <c r="G352" s="371">
        <f t="shared" si="15"/>
        <v>64127</v>
      </c>
    </row>
    <row r="353" ht="21.75" customHeight="1" spans="2:7">
      <c r="B353" s="59"/>
      <c r="C353" s="104"/>
      <c r="D353" s="59"/>
      <c r="E353" s="373"/>
      <c r="F353" s="370"/>
      <c r="G353" s="371"/>
    </row>
    <row r="354" ht="33" customHeight="1" spans="2:7">
      <c r="B354" s="59" t="s">
        <v>1380</v>
      </c>
      <c r="C354" s="26" t="s">
        <v>1381</v>
      </c>
      <c r="D354" s="59"/>
      <c r="E354" s="372"/>
      <c r="F354" s="370"/>
      <c r="G354" s="371"/>
    </row>
    <row r="355" ht="22.5" customHeight="1" spans="2:7">
      <c r="B355" s="59" t="s">
        <v>1382</v>
      </c>
      <c r="C355" s="104" t="s">
        <v>1066</v>
      </c>
      <c r="D355" s="59" t="s">
        <v>1056</v>
      </c>
      <c r="E355" s="373">
        <v>3</v>
      </c>
      <c r="F355" s="370">
        <v>58255</v>
      </c>
      <c r="G355" s="371">
        <f>E355*F355</f>
        <v>174765</v>
      </c>
    </row>
    <row r="356" ht="22.5" customHeight="1" spans="2:7">
      <c r="B356" s="59" t="s">
        <v>1383</v>
      </c>
      <c r="C356" s="104" t="s">
        <v>1068</v>
      </c>
      <c r="D356" s="59" t="s">
        <v>1056</v>
      </c>
      <c r="E356" s="373">
        <v>1</v>
      </c>
      <c r="F356" s="370">
        <v>58255</v>
      </c>
      <c r="G356" s="371">
        <f>E356*F356</f>
        <v>58255</v>
      </c>
    </row>
    <row r="357" ht="22.5" customHeight="1" spans="2:7">
      <c r="B357" s="59" t="s">
        <v>1384</v>
      </c>
      <c r="C357" s="104" t="s">
        <v>1070</v>
      </c>
      <c r="D357" s="59" t="s">
        <v>1056</v>
      </c>
      <c r="E357" s="373">
        <v>4</v>
      </c>
      <c r="F357" s="370">
        <v>58255</v>
      </c>
      <c r="G357" s="371">
        <f>E357*F357</f>
        <v>233020</v>
      </c>
    </row>
    <row r="358" ht="22.5" customHeight="1" spans="2:7">
      <c r="B358" s="59" t="s">
        <v>1385</v>
      </c>
      <c r="C358" s="104" t="s">
        <v>1074</v>
      </c>
      <c r="D358" s="59" t="s">
        <v>1056</v>
      </c>
      <c r="E358" s="373">
        <v>1</v>
      </c>
      <c r="F358" s="370">
        <v>58255</v>
      </c>
      <c r="G358" s="371">
        <f>E358*F358</f>
        <v>58255</v>
      </c>
    </row>
    <row r="359" ht="22.5" customHeight="1" spans="2:7">
      <c r="B359" s="59" t="s">
        <v>1386</v>
      </c>
      <c r="C359" s="104" t="s">
        <v>1078</v>
      </c>
      <c r="D359" s="59" t="s">
        <v>1056</v>
      </c>
      <c r="E359" s="373">
        <v>1</v>
      </c>
      <c r="F359" s="370">
        <v>58255</v>
      </c>
      <c r="G359" s="371">
        <f>E359*F359</f>
        <v>58255</v>
      </c>
    </row>
    <row r="360" ht="22.5" customHeight="1" spans="2:7">
      <c r="B360" s="59"/>
      <c r="C360" s="104"/>
      <c r="D360" s="59"/>
      <c r="E360" s="373"/>
      <c r="F360" s="370"/>
      <c r="G360" s="371"/>
    </row>
    <row r="361" ht="30.75" customHeight="1" spans="2:7">
      <c r="B361" s="59" t="s">
        <v>1387</v>
      </c>
      <c r="C361" s="26" t="s">
        <v>1388</v>
      </c>
      <c r="D361" s="59"/>
      <c r="E361" s="372"/>
      <c r="F361" s="370"/>
      <c r="G361" s="371"/>
    </row>
    <row r="362" ht="22.5" customHeight="1" spans="2:7">
      <c r="B362" s="59" t="s">
        <v>1389</v>
      </c>
      <c r="C362" s="104" t="s">
        <v>1066</v>
      </c>
      <c r="D362" s="59" t="s">
        <v>1056</v>
      </c>
      <c r="E362" s="373">
        <v>20</v>
      </c>
      <c r="F362" s="370">
        <v>33472</v>
      </c>
      <c r="G362" s="371">
        <f t="shared" ref="G362:G372" si="16">E362*F362</f>
        <v>669440</v>
      </c>
    </row>
    <row r="363" ht="22.5" customHeight="1" spans="2:7">
      <c r="B363" s="59" t="s">
        <v>1390</v>
      </c>
      <c r="C363" s="104" t="s">
        <v>1162</v>
      </c>
      <c r="D363" s="59" t="s">
        <v>1056</v>
      </c>
      <c r="E363" s="373">
        <v>7</v>
      </c>
      <c r="F363" s="370">
        <v>33472</v>
      </c>
      <c r="G363" s="371">
        <f t="shared" si="16"/>
        <v>234304</v>
      </c>
    </row>
    <row r="364" ht="22.5" customHeight="1" spans="2:7">
      <c r="B364" s="59" t="s">
        <v>1391</v>
      </c>
      <c r="C364" s="104" t="s">
        <v>1068</v>
      </c>
      <c r="D364" s="59" t="s">
        <v>1056</v>
      </c>
      <c r="E364" s="373">
        <v>31</v>
      </c>
      <c r="F364" s="370">
        <v>33472</v>
      </c>
      <c r="G364" s="371">
        <f t="shared" si="16"/>
        <v>1037632</v>
      </c>
    </row>
    <row r="365" ht="22.5" customHeight="1" spans="2:7">
      <c r="B365" s="59" t="s">
        <v>1392</v>
      </c>
      <c r="C365" s="104" t="s">
        <v>1070</v>
      </c>
      <c r="D365" s="59" t="s">
        <v>1056</v>
      </c>
      <c r="E365" s="373">
        <v>36</v>
      </c>
      <c r="F365" s="370">
        <v>33472</v>
      </c>
      <c r="G365" s="371">
        <f t="shared" si="16"/>
        <v>1204992</v>
      </c>
    </row>
    <row r="366" ht="22.5" customHeight="1" spans="2:7">
      <c r="B366" s="59" t="s">
        <v>1393</v>
      </c>
      <c r="C366" s="104" t="s">
        <v>1072</v>
      </c>
      <c r="D366" s="59" t="s">
        <v>1056</v>
      </c>
      <c r="E366" s="373">
        <v>43</v>
      </c>
      <c r="F366" s="370">
        <v>33472</v>
      </c>
      <c r="G366" s="371">
        <f t="shared" si="16"/>
        <v>1439296</v>
      </c>
    </row>
    <row r="367" ht="22.5" customHeight="1" spans="2:7">
      <c r="B367" s="59" t="s">
        <v>1394</v>
      </c>
      <c r="C367" s="104" t="s">
        <v>1074</v>
      </c>
      <c r="D367" s="59" t="s">
        <v>1056</v>
      </c>
      <c r="E367" s="373">
        <v>41</v>
      </c>
      <c r="F367" s="370">
        <v>33472</v>
      </c>
      <c r="G367" s="371">
        <f t="shared" si="16"/>
        <v>1372352</v>
      </c>
    </row>
    <row r="368" ht="22.5" customHeight="1" spans="2:7">
      <c r="B368" s="59" t="s">
        <v>1395</v>
      </c>
      <c r="C368" s="104" t="s">
        <v>1076</v>
      </c>
      <c r="D368" s="59" t="s">
        <v>1056</v>
      </c>
      <c r="E368" s="373">
        <v>37</v>
      </c>
      <c r="F368" s="370">
        <v>33472</v>
      </c>
      <c r="G368" s="371">
        <f t="shared" si="16"/>
        <v>1238464</v>
      </c>
    </row>
    <row r="369" ht="22.5" customHeight="1" spans="2:7">
      <c r="B369" s="59" t="s">
        <v>1396</v>
      </c>
      <c r="C369" s="104" t="s">
        <v>1078</v>
      </c>
      <c r="D369" s="59" t="s">
        <v>1056</v>
      </c>
      <c r="E369" s="373">
        <v>25</v>
      </c>
      <c r="F369" s="370">
        <v>33472</v>
      </c>
      <c r="G369" s="371">
        <f t="shared" si="16"/>
        <v>836800</v>
      </c>
    </row>
    <row r="370" ht="22.5" customHeight="1" spans="2:7">
      <c r="B370" s="59" t="s">
        <v>1397</v>
      </c>
      <c r="C370" s="104" t="s">
        <v>1080</v>
      </c>
      <c r="D370" s="59" t="s">
        <v>1056</v>
      </c>
      <c r="E370" s="373">
        <v>14</v>
      </c>
      <c r="F370" s="370">
        <v>33472</v>
      </c>
      <c r="G370" s="371">
        <f t="shared" si="16"/>
        <v>468608</v>
      </c>
    </row>
    <row r="371" ht="22.5" customHeight="1" spans="2:7">
      <c r="B371" s="59" t="s">
        <v>1398</v>
      </c>
      <c r="C371" s="104" t="s">
        <v>1082</v>
      </c>
      <c r="D371" s="59" t="s">
        <v>1056</v>
      </c>
      <c r="E371" s="373">
        <v>14</v>
      </c>
      <c r="F371" s="370">
        <v>33472</v>
      </c>
      <c r="G371" s="371">
        <f t="shared" si="16"/>
        <v>468608</v>
      </c>
    </row>
    <row r="372" ht="22.5" customHeight="1" spans="2:7">
      <c r="B372" s="59" t="s">
        <v>1399</v>
      </c>
      <c r="C372" s="104" t="s">
        <v>1084</v>
      </c>
      <c r="D372" s="59" t="s">
        <v>1056</v>
      </c>
      <c r="E372" s="373">
        <v>17</v>
      </c>
      <c r="F372" s="370">
        <v>33472</v>
      </c>
      <c r="G372" s="371">
        <f t="shared" si="16"/>
        <v>569024</v>
      </c>
    </row>
    <row r="373" spans="2:7">
      <c r="B373" s="59"/>
      <c r="C373" s="104"/>
      <c r="D373" s="59"/>
      <c r="E373" s="373"/>
      <c r="F373" s="370"/>
      <c r="G373" s="371"/>
    </row>
    <row r="374" ht="31.5" customHeight="1" spans="2:7">
      <c r="B374" s="59" t="s">
        <v>1400</v>
      </c>
      <c r="C374" s="26" t="s">
        <v>1401</v>
      </c>
      <c r="D374" s="59"/>
      <c r="E374" s="372"/>
      <c r="F374" s="370"/>
      <c r="G374" s="371"/>
    </row>
    <row r="375" ht="22.5" customHeight="1" spans="2:7">
      <c r="B375" s="59" t="s">
        <v>1402</v>
      </c>
      <c r="C375" s="104" t="s">
        <v>1068</v>
      </c>
      <c r="D375" s="59" t="s">
        <v>1056</v>
      </c>
      <c r="E375" s="373">
        <v>2</v>
      </c>
      <c r="F375" s="370">
        <v>73913</v>
      </c>
      <c r="G375" s="371">
        <f>E375*F375</f>
        <v>147826</v>
      </c>
    </row>
    <row r="376" ht="22.5" customHeight="1" spans="2:7">
      <c r="B376" s="59" t="s">
        <v>1403</v>
      </c>
      <c r="C376" s="104" t="s">
        <v>1072</v>
      </c>
      <c r="D376" s="59" t="s">
        <v>1056</v>
      </c>
      <c r="E376" s="373">
        <v>10</v>
      </c>
      <c r="F376" s="370">
        <v>73913</v>
      </c>
      <c r="G376" s="371">
        <f>E376*F376</f>
        <v>739130</v>
      </c>
    </row>
    <row r="377" ht="22.5" customHeight="1" spans="2:7">
      <c r="B377" s="59" t="s">
        <v>1404</v>
      </c>
      <c r="C377" s="104" t="s">
        <v>1074</v>
      </c>
      <c r="D377" s="59" t="s">
        <v>1056</v>
      </c>
      <c r="E377" s="373">
        <v>2</v>
      </c>
      <c r="F377" s="370">
        <v>73913</v>
      </c>
      <c r="G377" s="371">
        <f>E377*F377</f>
        <v>147826</v>
      </c>
    </row>
    <row r="378" ht="22.5" customHeight="1" spans="2:7">
      <c r="B378" s="59" t="s">
        <v>1405</v>
      </c>
      <c r="C378" s="104" t="s">
        <v>1076</v>
      </c>
      <c r="D378" s="59" t="s">
        <v>1056</v>
      </c>
      <c r="E378" s="373">
        <v>4</v>
      </c>
      <c r="F378" s="370">
        <v>73913</v>
      </c>
      <c r="G378" s="371">
        <f>E378*F378</f>
        <v>295652</v>
      </c>
    </row>
    <row r="379" ht="41.25" customHeight="1" spans="2:7">
      <c r="B379" s="67" t="s">
        <v>1406</v>
      </c>
      <c r="C379" s="144" t="s">
        <v>1078</v>
      </c>
      <c r="D379" s="67" t="s">
        <v>1056</v>
      </c>
      <c r="E379" s="374">
        <v>9</v>
      </c>
      <c r="F379" s="375">
        <v>73913</v>
      </c>
      <c r="G379" s="376">
        <f>E379*F379</f>
        <v>665217</v>
      </c>
    </row>
    <row r="380" ht="22.5" customHeight="1" spans="2:7">
      <c r="B380" s="59"/>
      <c r="C380" s="104"/>
      <c r="D380" s="59"/>
      <c r="E380" s="373"/>
      <c r="F380" s="370"/>
      <c r="G380" s="371"/>
    </row>
    <row r="381" ht="60.75" customHeight="1" spans="2:7">
      <c r="B381" s="59" t="s">
        <v>1407</v>
      </c>
      <c r="C381" s="26" t="s">
        <v>1408</v>
      </c>
      <c r="D381" s="59"/>
      <c r="E381" s="372"/>
      <c r="F381" s="370"/>
      <c r="G381" s="371"/>
    </row>
    <row r="382" ht="22.5" customHeight="1" spans="2:7">
      <c r="B382" s="59" t="s">
        <v>1409</v>
      </c>
      <c r="C382" s="104" t="s">
        <v>1070</v>
      </c>
      <c r="D382" s="59" t="s">
        <v>1056</v>
      </c>
      <c r="E382" s="373">
        <v>4</v>
      </c>
      <c r="F382" s="370">
        <v>50271</v>
      </c>
      <c r="G382" s="371">
        <f t="shared" ref="G382:G389" si="17">E382*F382</f>
        <v>201084</v>
      </c>
    </row>
    <row r="383" ht="22.5" customHeight="1" spans="2:7">
      <c r="B383" s="59" t="s">
        <v>1410</v>
      </c>
      <c r="C383" s="104" t="s">
        <v>1072</v>
      </c>
      <c r="D383" s="59" t="s">
        <v>1056</v>
      </c>
      <c r="E383" s="373">
        <v>8</v>
      </c>
      <c r="F383" s="370">
        <v>50271</v>
      </c>
      <c r="G383" s="371">
        <f t="shared" si="17"/>
        <v>402168</v>
      </c>
    </row>
    <row r="384" ht="22.5" customHeight="1" spans="2:7">
      <c r="B384" s="59" t="s">
        <v>1411</v>
      </c>
      <c r="C384" s="104" t="s">
        <v>1074</v>
      </c>
      <c r="D384" s="59" t="s">
        <v>1056</v>
      </c>
      <c r="E384" s="373">
        <v>12</v>
      </c>
      <c r="F384" s="370">
        <v>50271</v>
      </c>
      <c r="G384" s="371">
        <f t="shared" si="17"/>
        <v>603252</v>
      </c>
    </row>
    <row r="385" ht="22.5" customHeight="1" spans="2:7">
      <c r="B385" s="59" t="s">
        <v>1412</v>
      </c>
      <c r="C385" s="104" t="s">
        <v>1076</v>
      </c>
      <c r="D385" s="59" t="s">
        <v>1056</v>
      </c>
      <c r="E385" s="373">
        <v>10</v>
      </c>
      <c r="F385" s="370">
        <v>50271</v>
      </c>
      <c r="G385" s="371">
        <f t="shared" si="17"/>
        <v>502710</v>
      </c>
    </row>
    <row r="386" ht="22.5" customHeight="1" spans="2:7">
      <c r="B386" s="59" t="s">
        <v>1413</v>
      </c>
      <c r="C386" s="104" t="s">
        <v>1078</v>
      </c>
      <c r="D386" s="59" t="s">
        <v>1056</v>
      </c>
      <c r="E386" s="373">
        <v>5</v>
      </c>
      <c r="F386" s="370">
        <v>50271</v>
      </c>
      <c r="G386" s="371">
        <f t="shared" si="17"/>
        <v>251355</v>
      </c>
    </row>
    <row r="387" ht="22.5" customHeight="1" spans="2:7">
      <c r="B387" s="59" t="s">
        <v>1414</v>
      </c>
      <c r="C387" s="104" t="s">
        <v>1080</v>
      </c>
      <c r="D387" s="59" t="s">
        <v>1056</v>
      </c>
      <c r="E387" s="373">
        <v>4</v>
      </c>
      <c r="F387" s="370">
        <v>50271</v>
      </c>
      <c r="G387" s="371">
        <f t="shared" si="17"/>
        <v>201084</v>
      </c>
    </row>
    <row r="388" ht="22.5" customHeight="1" spans="2:7">
      <c r="B388" s="59" t="s">
        <v>1415</v>
      </c>
      <c r="C388" s="104" t="s">
        <v>1082</v>
      </c>
      <c r="D388" s="59" t="s">
        <v>1056</v>
      </c>
      <c r="E388" s="373">
        <v>4</v>
      </c>
      <c r="F388" s="370">
        <v>50271</v>
      </c>
      <c r="G388" s="371">
        <f t="shared" si="17"/>
        <v>201084</v>
      </c>
    </row>
    <row r="389" ht="22.5" customHeight="1" spans="2:7">
      <c r="B389" s="59" t="s">
        <v>1416</v>
      </c>
      <c r="C389" s="104" t="s">
        <v>1084</v>
      </c>
      <c r="D389" s="59" t="s">
        <v>1056</v>
      </c>
      <c r="E389" s="373">
        <v>1</v>
      </c>
      <c r="F389" s="370">
        <v>50271</v>
      </c>
      <c r="G389" s="371">
        <f t="shared" si="17"/>
        <v>50271</v>
      </c>
    </row>
    <row r="390" ht="22.5" customHeight="1" spans="2:7">
      <c r="B390" s="59"/>
      <c r="C390" s="104"/>
      <c r="D390" s="59"/>
      <c r="E390" s="373"/>
      <c r="F390" s="370"/>
      <c r="G390" s="371"/>
    </row>
    <row r="391" ht="32.25" customHeight="1" spans="2:7">
      <c r="B391" s="59" t="s">
        <v>1417</v>
      </c>
      <c r="C391" s="26" t="s">
        <v>1418</v>
      </c>
      <c r="D391" s="59"/>
      <c r="E391" s="372"/>
      <c r="F391" s="370"/>
      <c r="G391" s="371"/>
    </row>
    <row r="392" ht="15" customHeight="1" spans="2:7">
      <c r="B392" s="59" t="s">
        <v>1419</v>
      </c>
      <c r="C392" s="104" t="s">
        <v>1084</v>
      </c>
      <c r="D392" s="59" t="s">
        <v>1056</v>
      </c>
      <c r="E392" s="373">
        <v>11</v>
      </c>
      <c r="F392" s="370">
        <v>70299</v>
      </c>
      <c r="G392" s="371">
        <f>E392*F392</f>
        <v>773289</v>
      </c>
    </row>
    <row r="393" ht="14.25" customHeight="1" spans="2:7">
      <c r="B393" s="59"/>
      <c r="C393" s="104"/>
      <c r="D393" s="59"/>
      <c r="E393" s="373"/>
      <c r="F393" s="370"/>
      <c r="G393" s="371"/>
    </row>
    <row r="394" ht="33.75" customHeight="1" spans="2:7">
      <c r="B394" s="59" t="s">
        <v>1420</v>
      </c>
      <c r="C394" s="26" t="s">
        <v>1421</v>
      </c>
      <c r="D394" s="59"/>
      <c r="E394" s="372"/>
      <c r="F394" s="370"/>
      <c r="G394" s="371"/>
    </row>
    <row r="395" ht="22.5" customHeight="1" spans="2:7">
      <c r="B395" s="59" t="s">
        <v>1422</v>
      </c>
      <c r="C395" s="104" t="s">
        <v>1066</v>
      </c>
      <c r="D395" s="59" t="s">
        <v>1056</v>
      </c>
      <c r="E395" s="373">
        <v>5</v>
      </c>
      <c r="F395" s="370">
        <v>27206</v>
      </c>
      <c r="G395" s="371">
        <f t="shared" ref="G395:G405" si="18">E395*F395</f>
        <v>136030</v>
      </c>
    </row>
    <row r="396" ht="22.5" customHeight="1" spans="2:7">
      <c r="B396" s="59" t="s">
        <v>1423</v>
      </c>
      <c r="C396" s="104" t="s">
        <v>1068</v>
      </c>
      <c r="D396" s="59" t="s">
        <v>1056</v>
      </c>
      <c r="E396" s="373">
        <v>16</v>
      </c>
      <c r="F396" s="370">
        <v>27206</v>
      </c>
      <c r="G396" s="371">
        <f t="shared" si="18"/>
        <v>435296</v>
      </c>
    </row>
    <row r="397" ht="22.5" customHeight="1" spans="2:7">
      <c r="B397" s="59" t="s">
        <v>1424</v>
      </c>
      <c r="C397" s="104" t="s">
        <v>1070</v>
      </c>
      <c r="D397" s="59" t="s">
        <v>1056</v>
      </c>
      <c r="E397" s="373">
        <v>16</v>
      </c>
      <c r="F397" s="370">
        <v>27206</v>
      </c>
      <c r="G397" s="371">
        <f t="shared" si="18"/>
        <v>435296</v>
      </c>
    </row>
    <row r="398" ht="22.5" customHeight="1" spans="2:7">
      <c r="B398" s="59" t="s">
        <v>1425</v>
      </c>
      <c r="C398" s="104" t="s">
        <v>1072</v>
      </c>
      <c r="D398" s="59" t="s">
        <v>1056</v>
      </c>
      <c r="E398" s="373">
        <v>14</v>
      </c>
      <c r="F398" s="370">
        <v>27206</v>
      </c>
      <c r="G398" s="371">
        <f t="shared" si="18"/>
        <v>380884</v>
      </c>
    </row>
    <row r="399" ht="22.5" customHeight="1" spans="2:7">
      <c r="B399" s="59" t="s">
        <v>1426</v>
      </c>
      <c r="C399" s="104" t="s">
        <v>1074</v>
      </c>
      <c r="D399" s="59" t="s">
        <v>1056</v>
      </c>
      <c r="E399" s="373">
        <v>15</v>
      </c>
      <c r="F399" s="370">
        <v>27206</v>
      </c>
      <c r="G399" s="371">
        <f t="shared" si="18"/>
        <v>408090</v>
      </c>
    </row>
    <row r="400" ht="22.5" customHeight="1" spans="2:7">
      <c r="B400" s="59" t="s">
        <v>1427</v>
      </c>
      <c r="C400" s="104" t="s">
        <v>1076</v>
      </c>
      <c r="D400" s="59" t="s">
        <v>1056</v>
      </c>
      <c r="E400" s="373">
        <v>12</v>
      </c>
      <c r="F400" s="370">
        <v>27206</v>
      </c>
      <c r="G400" s="371">
        <f t="shared" si="18"/>
        <v>326472</v>
      </c>
    </row>
    <row r="401" ht="22.5" customHeight="1" spans="2:7">
      <c r="B401" s="59" t="s">
        <v>1428</v>
      </c>
      <c r="C401" s="104" t="s">
        <v>1078</v>
      </c>
      <c r="D401" s="59" t="s">
        <v>1056</v>
      </c>
      <c r="E401" s="373">
        <v>13</v>
      </c>
      <c r="F401" s="370">
        <v>27206</v>
      </c>
      <c r="G401" s="371">
        <f t="shared" si="18"/>
        <v>353678</v>
      </c>
    </row>
    <row r="402" ht="22.5" customHeight="1" spans="2:7">
      <c r="B402" s="59" t="s">
        <v>1429</v>
      </c>
      <c r="C402" s="104" t="s">
        <v>1080</v>
      </c>
      <c r="D402" s="59" t="s">
        <v>1056</v>
      </c>
      <c r="E402" s="373">
        <v>7</v>
      </c>
      <c r="F402" s="370">
        <v>27206</v>
      </c>
      <c r="G402" s="371">
        <f t="shared" si="18"/>
        <v>190442</v>
      </c>
    </row>
    <row r="403" ht="22.5" customHeight="1" spans="2:7">
      <c r="B403" s="59" t="s">
        <v>1430</v>
      </c>
      <c r="C403" s="104" t="s">
        <v>1082</v>
      </c>
      <c r="D403" s="59" t="s">
        <v>1056</v>
      </c>
      <c r="E403" s="373">
        <v>1</v>
      </c>
      <c r="F403" s="370">
        <v>27206</v>
      </c>
      <c r="G403" s="371">
        <f t="shared" si="18"/>
        <v>27206</v>
      </c>
    </row>
    <row r="404" ht="22.5" customHeight="1" spans="2:7">
      <c r="B404" s="59" t="s">
        <v>1431</v>
      </c>
      <c r="C404" s="104" t="s">
        <v>1084</v>
      </c>
      <c r="D404" s="59" t="s">
        <v>1056</v>
      </c>
      <c r="E404" s="373">
        <v>6</v>
      </c>
      <c r="F404" s="370">
        <v>27206</v>
      </c>
      <c r="G404" s="371">
        <f t="shared" si="18"/>
        <v>163236</v>
      </c>
    </row>
    <row r="405" ht="22.5" customHeight="1" spans="2:7">
      <c r="B405" s="59" t="s">
        <v>1432</v>
      </c>
      <c r="C405" s="104" t="s">
        <v>1433</v>
      </c>
      <c r="D405" s="59" t="s">
        <v>1056</v>
      </c>
      <c r="E405" s="373">
        <v>1</v>
      </c>
      <c r="F405" s="370">
        <v>27206</v>
      </c>
      <c r="G405" s="371">
        <f t="shared" si="18"/>
        <v>27206</v>
      </c>
    </row>
    <row r="406" ht="22.5" customHeight="1" spans="2:7">
      <c r="B406" s="59"/>
      <c r="C406" s="104"/>
      <c r="D406" s="59"/>
      <c r="E406" s="373"/>
      <c r="F406" s="370"/>
      <c r="G406" s="371"/>
    </row>
    <row r="407" ht="18.75" customHeight="1" spans="2:7">
      <c r="B407" s="359" t="s">
        <v>1434</v>
      </c>
      <c r="C407" s="77" t="s">
        <v>1435</v>
      </c>
      <c r="D407" s="59"/>
      <c r="E407" s="372"/>
      <c r="F407" s="370"/>
      <c r="G407" s="371"/>
    </row>
    <row r="408" ht="19.5" customHeight="1" spans="2:7">
      <c r="B408" s="59"/>
      <c r="C408" s="26" t="s">
        <v>1436</v>
      </c>
      <c r="D408" s="59"/>
      <c r="E408" s="372"/>
      <c r="F408" s="370"/>
      <c r="G408" s="371"/>
    </row>
    <row r="409" ht="57" customHeight="1" spans="2:7">
      <c r="B409" s="59" t="s">
        <v>1437</v>
      </c>
      <c r="C409" s="26" t="s">
        <v>1438</v>
      </c>
      <c r="D409" s="59"/>
      <c r="E409" s="395"/>
      <c r="F409" s="370"/>
      <c r="G409" s="371"/>
    </row>
    <row r="410" spans="2:7">
      <c r="B410" s="59"/>
      <c r="C410" s="26"/>
      <c r="D410" s="59"/>
      <c r="E410" s="395"/>
      <c r="F410" s="370"/>
      <c r="G410" s="371"/>
    </row>
    <row r="411" ht="24" customHeight="1" spans="2:7">
      <c r="B411" s="59" t="s">
        <v>1437</v>
      </c>
      <c r="C411" s="26" t="s">
        <v>1439</v>
      </c>
      <c r="D411" s="59"/>
      <c r="E411" s="372"/>
      <c r="F411" s="370"/>
      <c r="G411" s="371"/>
    </row>
    <row r="412" ht="45.75" customHeight="1" spans="2:7">
      <c r="B412" s="67" t="s">
        <v>1440</v>
      </c>
      <c r="C412" s="144" t="s">
        <v>1066</v>
      </c>
      <c r="D412" s="67" t="s">
        <v>1441</v>
      </c>
      <c r="E412" s="374">
        <v>69</v>
      </c>
      <c r="F412" s="375">
        <v>13159</v>
      </c>
      <c r="G412" s="376">
        <f>E412*F412</f>
        <v>907971</v>
      </c>
    </row>
    <row r="413" ht="21.75" customHeight="1" spans="2:7">
      <c r="B413" s="59"/>
      <c r="C413" s="104"/>
      <c r="D413" s="59"/>
      <c r="E413" s="373"/>
      <c r="F413" s="370"/>
      <c r="G413" s="371"/>
    </row>
    <row r="414" ht="19.5" customHeight="1" spans="2:7">
      <c r="B414" s="359" t="s">
        <v>1442</v>
      </c>
      <c r="C414" s="77" t="s">
        <v>1443</v>
      </c>
      <c r="D414" s="59"/>
      <c r="E414" s="372"/>
      <c r="F414" s="370"/>
      <c r="G414" s="371"/>
    </row>
    <row r="415" ht="20.25" customHeight="1" spans="2:7">
      <c r="B415" s="59"/>
      <c r="C415" s="26" t="s">
        <v>1444</v>
      </c>
      <c r="D415" s="59"/>
      <c r="E415" s="372"/>
      <c r="F415" s="370"/>
      <c r="G415" s="371"/>
    </row>
    <row r="416" ht="96" customHeight="1" spans="2:7">
      <c r="B416" s="59" t="s">
        <v>1445</v>
      </c>
      <c r="C416" s="26" t="s">
        <v>1446</v>
      </c>
      <c r="D416" s="59"/>
      <c r="E416" s="395"/>
      <c r="F416" s="370"/>
      <c r="G416" s="371"/>
    </row>
    <row r="417" spans="2:7">
      <c r="B417" s="59"/>
      <c r="C417" s="26"/>
      <c r="D417" s="59"/>
      <c r="E417" s="395"/>
      <c r="F417" s="370"/>
      <c r="G417" s="371"/>
    </row>
    <row r="418" ht="31.5" customHeight="1" spans="2:7">
      <c r="B418" s="59" t="s">
        <v>1445</v>
      </c>
      <c r="C418" s="26" t="s">
        <v>1447</v>
      </c>
      <c r="D418" s="59"/>
      <c r="E418" s="372"/>
      <c r="F418" s="370"/>
      <c r="G418" s="371"/>
    </row>
    <row r="419" ht="17.25" customHeight="1" spans="2:7">
      <c r="B419" s="59" t="s">
        <v>1448</v>
      </c>
      <c r="C419" s="104" t="s">
        <v>1066</v>
      </c>
      <c r="D419" s="59" t="s">
        <v>1056</v>
      </c>
      <c r="E419" s="373">
        <v>1</v>
      </c>
      <c r="F419" s="370">
        <v>196903</v>
      </c>
      <c r="G419" s="371">
        <f>E419*F419</f>
        <v>196903</v>
      </c>
    </row>
    <row r="420" spans="2:7">
      <c r="B420" s="59"/>
      <c r="C420" s="26"/>
      <c r="D420" s="59"/>
      <c r="E420" s="395"/>
      <c r="F420" s="370"/>
      <c r="G420" s="371"/>
    </row>
    <row r="421" ht="32.25" customHeight="1" spans="2:7">
      <c r="B421" s="59" t="s">
        <v>1449</v>
      </c>
      <c r="C421" s="26" t="s">
        <v>1450</v>
      </c>
      <c r="D421" s="59"/>
      <c r="E421" s="372"/>
      <c r="F421" s="370"/>
      <c r="G421" s="371"/>
    </row>
    <row r="422" ht="16.5" customHeight="1" spans="2:7">
      <c r="B422" s="59" t="s">
        <v>1451</v>
      </c>
      <c r="C422" s="104" t="s">
        <v>1066</v>
      </c>
      <c r="D422" s="59" t="s">
        <v>1056</v>
      </c>
      <c r="E422" s="373">
        <v>1</v>
      </c>
      <c r="F422" s="370">
        <v>153353</v>
      </c>
      <c r="G422" s="371">
        <f>E422*F422</f>
        <v>153353</v>
      </c>
    </row>
    <row r="423" spans="2:7">
      <c r="B423" s="59"/>
      <c r="C423" s="104"/>
      <c r="D423" s="59"/>
      <c r="E423" s="373"/>
      <c r="F423" s="370"/>
      <c r="G423" s="371"/>
    </row>
    <row r="424" ht="34.5" customHeight="1" spans="2:7">
      <c r="B424" s="59" t="s">
        <v>1452</v>
      </c>
      <c r="C424" s="26" t="s">
        <v>1453</v>
      </c>
      <c r="D424" s="59"/>
      <c r="E424" s="372"/>
      <c r="F424" s="370"/>
      <c r="G424" s="371"/>
    </row>
    <row r="425" ht="17.25" customHeight="1" spans="2:7">
      <c r="B425" s="59" t="s">
        <v>1454</v>
      </c>
      <c r="C425" s="104" t="s">
        <v>1066</v>
      </c>
      <c r="D425" s="59" t="s">
        <v>1056</v>
      </c>
      <c r="E425" s="373">
        <v>1</v>
      </c>
      <c r="F425" s="370">
        <v>88458</v>
      </c>
      <c r="G425" s="371">
        <f>E425*F425</f>
        <v>88458</v>
      </c>
    </row>
    <row r="426" ht="15" customHeight="1" spans="2:7">
      <c r="B426" s="59"/>
      <c r="C426" s="104"/>
      <c r="D426" s="59"/>
      <c r="E426" s="373"/>
      <c r="F426" s="370"/>
      <c r="G426" s="371"/>
    </row>
    <row r="427" ht="43.5" customHeight="1" spans="2:7">
      <c r="B427" s="59" t="s">
        <v>1455</v>
      </c>
      <c r="C427" s="26" t="s">
        <v>1456</v>
      </c>
      <c r="D427" s="59"/>
      <c r="E427" s="373"/>
      <c r="F427" s="370"/>
      <c r="G427" s="371"/>
    </row>
    <row r="428" ht="18" customHeight="1" spans="2:7">
      <c r="B428" s="59" t="s">
        <v>1457</v>
      </c>
      <c r="C428" s="104" t="s">
        <v>1066</v>
      </c>
      <c r="D428" s="59" t="s">
        <v>1056</v>
      </c>
      <c r="E428" s="373">
        <v>1</v>
      </c>
      <c r="F428" s="370">
        <v>190429</v>
      </c>
      <c r="G428" s="371">
        <f>E428*F428</f>
        <v>190429</v>
      </c>
    </row>
    <row r="429" spans="2:7">
      <c r="B429" s="59"/>
      <c r="C429" s="104"/>
      <c r="D429" s="59"/>
      <c r="E429" s="373"/>
      <c r="F429" s="370"/>
      <c r="G429" s="371"/>
    </row>
    <row r="430" ht="99" customHeight="1" spans="2:7">
      <c r="B430" s="59" t="s">
        <v>1458</v>
      </c>
      <c r="C430" s="26" t="s">
        <v>1459</v>
      </c>
      <c r="D430" s="59"/>
      <c r="E430" s="395"/>
      <c r="F430" s="370"/>
      <c r="G430" s="371"/>
    </row>
    <row r="431" spans="2:7">
      <c r="B431" s="59"/>
      <c r="C431" s="26"/>
      <c r="D431" s="59"/>
      <c r="E431" s="395"/>
      <c r="F431" s="370"/>
      <c r="G431" s="371"/>
    </row>
    <row r="432" ht="30" customHeight="1" spans="2:7">
      <c r="B432" s="59" t="s">
        <v>1460</v>
      </c>
      <c r="C432" s="26" t="s">
        <v>1461</v>
      </c>
      <c r="D432" s="59"/>
      <c r="E432" s="372"/>
      <c r="F432" s="370"/>
      <c r="G432" s="371"/>
    </row>
    <row r="433" ht="22.5" customHeight="1" spans="2:7">
      <c r="B433" s="59" t="s">
        <v>1462</v>
      </c>
      <c r="C433" s="104" t="s">
        <v>1066</v>
      </c>
      <c r="D433" s="59" t="s">
        <v>1056</v>
      </c>
      <c r="E433" s="373">
        <v>5</v>
      </c>
      <c r="F433" s="370">
        <v>576610</v>
      </c>
      <c r="G433" s="371">
        <f>E433*F433</f>
        <v>2883050</v>
      </c>
    </row>
    <row r="434" ht="22.5" customHeight="1" spans="2:7">
      <c r="B434" s="59" t="s">
        <v>1463</v>
      </c>
      <c r="C434" s="104" t="s">
        <v>1068</v>
      </c>
      <c r="D434" s="59" t="s">
        <v>1056</v>
      </c>
      <c r="E434" s="373">
        <v>2</v>
      </c>
      <c r="F434" s="370">
        <v>576610</v>
      </c>
      <c r="G434" s="371">
        <f>E434*F434</f>
        <v>1153220</v>
      </c>
    </row>
    <row r="435" ht="22.5" customHeight="1" spans="2:7">
      <c r="B435" s="59"/>
      <c r="C435" s="104"/>
      <c r="D435" s="59"/>
      <c r="E435" s="373"/>
      <c r="F435" s="370"/>
      <c r="G435" s="371"/>
    </row>
    <row r="436" ht="29.25" customHeight="1" spans="2:7">
      <c r="B436" s="59" t="s">
        <v>1464</v>
      </c>
      <c r="C436" s="26" t="s">
        <v>1465</v>
      </c>
      <c r="D436" s="59"/>
      <c r="E436" s="372"/>
      <c r="F436" s="370"/>
      <c r="G436" s="371"/>
    </row>
    <row r="437" ht="18.75" customHeight="1" spans="2:7">
      <c r="B437" s="59" t="s">
        <v>1466</v>
      </c>
      <c r="C437" s="104" t="s">
        <v>1066</v>
      </c>
      <c r="D437" s="59" t="s">
        <v>1056</v>
      </c>
      <c r="E437" s="373">
        <v>1</v>
      </c>
      <c r="F437" s="370">
        <v>537984</v>
      </c>
      <c r="G437" s="371">
        <f>E437*F437</f>
        <v>537984</v>
      </c>
    </row>
    <row r="438" spans="2:7">
      <c r="B438" s="59"/>
      <c r="C438" s="26"/>
      <c r="D438" s="59"/>
      <c r="E438" s="372"/>
      <c r="F438" s="370"/>
      <c r="G438" s="371"/>
    </row>
    <row r="439" ht="18.75" customHeight="1" spans="2:7">
      <c r="B439" s="359" t="s">
        <v>1467</v>
      </c>
      <c r="C439" s="137" t="s">
        <v>1468</v>
      </c>
      <c r="D439" s="396"/>
      <c r="E439" s="372"/>
      <c r="F439" s="397"/>
      <c r="G439" s="371"/>
    </row>
    <row r="440" ht="18.75" customHeight="1" spans="2:7">
      <c r="B440" s="64"/>
      <c r="C440" s="81" t="s">
        <v>1469</v>
      </c>
      <c r="D440" s="396"/>
      <c r="E440" s="372"/>
      <c r="F440" s="397"/>
      <c r="G440" s="371"/>
    </row>
    <row r="441" ht="18.75" customHeight="1" spans="2:7">
      <c r="B441" s="64"/>
      <c r="C441" s="65" t="s">
        <v>1470</v>
      </c>
      <c r="D441" s="396"/>
      <c r="E441" s="372"/>
      <c r="F441" s="397"/>
      <c r="G441" s="371"/>
    </row>
    <row r="442" ht="86.25" customHeight="1" spans="2:10">
      <c r="B442" s="59" t="s">
        <v>1471</v>
      </c>
      <c r="C442" s="65" t="s">
        <v>1472</v>
      </c>
      <c r="D442" s="64" t="s">
        <v>205</v>
      </c>
      <c r="E442" s="373">
        <v>273</v>
      </c>
      <c r="F442" s="398">
        <v>3591</v>
      </c>
      <c r="G442" s="371">
        <f>E442*F442</f>
        <v>980343</v>
      </c>
      <c r="I442" s="400"/>
      <c r="J442" s="401"/>
    </row>
    <row r="443" spans="2:10">
      <c r="B443" s="64"/>
      <c r="C443" s="65"/>
      <c r="D443" s="396"/>
      <c r="E443" s="372"/>
      <c r="F443" s="397"/>
      <c r="G443" s="371"/>
      <c r="I443" s="400"/>
      <c r="J443" s="401"/>
    </row>
    <row r="444" ht="32.25" customHeight="1" spans="2:10">
      <c r="B444" s="67" t="s">
        <v>1473</v>
      </c>
      <c r="C444" s="159" t="s">
        <v>1474</v>
      </c>
      <c r="D444" s="79" t="s">
        <v>205</v>
      </c>
      <c r="E444" s="374">
        <v>161</v>
      </c>
      <c r="F444" s="399">
        <v>3591</v>
      </c>
      <c r="G444" s="376">
        <f>E444*F444</f>
        <v>578151</v>
      </c>
      <c r="I444" s="400"/>
      <c r="J444" s="401"/>
    </row>
    <row r="445" spans="2:10">
      <c r="B445" s="64"/>
      <c r="C445" s="65"/>
      <c r="D445" s="64"/>
      <c r="E445" s="372"/>
      <c r="F445" s="370"/>
      <c r="G445" s="371"/>
      <c r="I445" s="400"/>
      <c r="J445" s="401"/>
    </row>
    <row r="446" ht="45.75" customHeight="1" spans="2:10">
      <c r="B446" s="59" t="s">
        <v>1475</v>
      </c>
      <c r="C446" s="65" t="s">
        <v>1476</v>
      </c>
      <c r="D446" s="64" t="s">
        <v>205</v>
      </c>
      <c r="E446" s="373">
        <v>69</v>
      </c>
      <c r="F446" s="398">
        <v>3513</v>
      </c>
      <c r="G446" s="371">
        <f>E446*F446</f>
        <v>242397</v>
      </c>
      <c r="I446" s="400"/>
      <c r="J446" s="401"/>
    </row>
    <row r="447" ht="16.5" customHeight="1" spans="2:10">
      <c r="B447" s="64"/>
      <c r="C447" s="65"/>
      <c r="D447" s="396"/>
      <c r="E447" s="372"/>
      <c r="F447" s="397"/>
      <c r="G447" s="371"/>
      <c r="I447" s="400"/>
      <c r="J447" s="401"/>
    </row>
    <row r="448" ht="33.75" customHeight="1" spans="2:10">
      <c r="B448" s="59" t="s">
        <v>1477</v>
      </c>
      <c r="C448" s="65" t="s">
        <v>1478</v>
      </c>
      <c r="D448" s="64" t="s">
        <v>205</v>
      </c>
      <c r="E448" s="373">
        <v>62</v>
      </c>
      <c r="F448" s="398">
        <v>9934</v>
      </c>
      <c r="G448" s="371">
        <f>E448*F448</f>
        <v>615908</v>
      </c>
      <c r="I448" s="400"/>
      <c r="J448" s="401"/>
    </row>
    <row r="449" ht="14.25" customHeight="1" spans="2:7">
      <c r="B449" s="64"/>
      <c r="C449" s="65"/>
      <c r="D449" s="396"/>
      <c r="E449" s="372"/>
      <c r="F449" s="397"/>
      <c r="G449" s="371"/>
    </row>
    <row r="450" ht="18" customHeight="1" spans="2:7">
      <c r="B450" s="359" t="s">
        <v>1479</v>
      </c>
      <c r="C450" s="137" t="s">
        <v>1480</v>
      </c>
      <c r="D450" s="396"/>
      <c r="E450" s="372"/>
      <c r="F450" s="397"/>
      <c r="G450" s="371"/>
    </row>
    <row r="451" ht="157.5" customHeight="1" spans="2:7">
      <c r="B451" s="59" t="s">
        <v>1481</v>
      </c>
      <c r="C451" s="65" t="s">
        <v>1482</v>
      </c>
      <c r="D451" s="396"/>
      <c r="E451" s="372"/>
      <c r="F451" s="397"/>
      <c r="G451" s="371"/>
    </row>
    <row r="452" ht="99.75" customHeight="1" spans="2:7">
      <c r="B452" s="64"/>
      <c r="C452" s="26" t="s">
        <v>1483</v>
      </c>
      <c r="D452" s="396" t="s">
        <v>163</v>
      </c>
      <c r="E452" s="372"/>
      <c r="F452" s="397"/>
      <c r="G452" s="371"/>
    </row>
    <row r="453" ht="18.75" customHeight="1" spans="2:10">
      <c r="B453" s="59" t="s">
        <v>1484</v>
      </c>
      <c r="C453" s="65" t="s">
        <v>1485</v>
      </c>
      <c r="D453" s="396" t="s">
        <v>225</v>
      </c>
      <c r="E453" s="373">
        <v>42</v>
      </c>
      <c r="F453" s="398">
        <v>32902</v>
      </c>
      <c r="G453" s="371">
        <f>E453*F453</f>
        <v>1381884</v>
      </c>
      <c r="J453" s="402"/>
    </row>
    <row r="454" ht="18.75" customHeight="1" spans="2:7">
      <c r="B454" s="64"/>
      <c r="C454" s="65"/>
      <c r="D454" s="396"/>
      <c r="E454" s="372"/>
      <c r="F454" s="371"/>
      <c r="G454" s="371"/>
    </row>
    <row r="455" ht="18.75" customHeight="1" spans="2:7">
      <c r="B455" s="59" t="s">
        <v>1486</v>
      </c>
      <c r="C455" s="65" t="s">
        <v>1487</v>
      </c>
      <c r="D455" s="396" t="s">
        <v>225</v>
      </c>
      <c r="E455" s="373">
        <v>91</v>
      </c>
      <c r="F455" s="398">
        <f>F453</f>
        <v>32902</v>
      </c>
      <c r="G455" s="371">
        <f>E455*F455</f>
        <v>2994082</v>
      </c>
    </row>
    <row r="456" ht="18.75" customHeight="1" spans="2:7">
      <c r="B456" s="64"/>
      <c r="C456" s="65"/>
      <c r="D456" s="396"/>
      <c r="E456" s="372"/>
      <c r="F456" s="371"/>
      <c r="G456" s="371"/>
    </row>
    <row r="457" ht="18.75" customHeight="1" spans="2:7">
      <c r="B457" s="59" t="s">
        <v>1488</v>
      </c>
      <c r="C457" s="65" t="s">
        <v>1489</v>
      </c>
      <c r="D457" s="396" t="s">
        <v>225</v>
      </c>
      <c r="E457" s="373">
        <v>98</v>
      </c>
      <c r="F457" s="398">
        <f>F453</f>
        <v>32902</v>
      </c>
      <c r="G457" s="371">
        <f>E457*F457</f>
        <v>3224396</v>
      </c>
    </row>
    <row r="458" ht="18.75" customHeight="1" spans="2:7">
      <c r="B458" s="64"/>
      <c r="C458" s="65"/>
      <c r="D458" s="396"/>
      <c r="E458" s="372"/>
      <c r="F458" s="371"/>
      <c r="G458" s="371"/>
    </row>
    <row r="459" ht="18.75" customHeight="1" spans="2:7">
      <c r="B459" s="59" t="s">
        <v>1490</v>
      </c>
      <c r="C459" s="65" t="s">
        <v>1491</v>
      </c>
      <c r="D459" s="396" t="s">
        <v>225</v>
      </c>
      <c r="E459" s="373">
        <v>49</v>
      </c>
      <c r="F459" s="398">
        <f>F453</f>
        <v>32902</v>
      </c>
      <c r="G459" s="371">
        <f>E459*F459</f>
        <v>1612198</v>
      </c>
    </row>
    <row r="460" ht="18.75" customHeight="1" spans="2:7">
      <c r="B460" s="64"/>
      <c r="C460" s="65"/>
      <c r="D460" s="396"/>
      <c r="E460" s="372"/>
      <c r="F460" s="371"/>
      <c r="G460" s="371"/>
    </row>
    <row r="461" ht="18.75" customHeight="1" spans="2:7">
      <c r="B461" s="59" t="s">
        <v>1492</v>
      </c>
      <c r="C461" s="65" t="s">
        <v>1493</v>
      </c>
      <c r="D461" s="396" t="s">
        <v>225</v>
      </c>
      <c r="E461" s="373">
        <v>49</v>
      </c>
      <c r="F461" s="398">
        <f>F453</f>
        <v>32902</v>
      </c>
      <c r="G461" s="371">
        <f>E461*F461</f>
        <v>1612198</v>
      </c>
    </row>
    <row r="462" ht="18.75" customHeight="1" spans="2:7">
      <c r="B462" s="64"/>
      <c r="C462" s="65"/>
      <c r="D462" s="396"/>
      <c r="E462" s="372"/>
      <c r="F462" s="371"/>
      <c r="G462" s="371"/>
    </row>
    <row r="463" ht="18.75" customHeight="1" spans="2:8">
      <c r="B463" s="59" t="s">
        <v>1494</v>
      </c>
      <c r="C463" s="65" t="s">
        <v>1495</v>
      </c>
      <c r="D463" s="396" t="s">
        <v>225</v>
      </c>
      <c r="E463" s="373">
        <v>98</v>
      </c>
      <c r="F463" s="398">
        <f>F453</f>
        <v>32902</v>
      </c>
      <c r="G463" s="371">
        <f>E463*F463</f>
        <v>3224396</v>
      </c>
      <c r="H463" s="402"/>
    </row>
    <row r="464" ht="18.75" customHeight="1" spans="2:7">
      <c r="B464" s="64"/>
      <c r="C464" s="65"/>
      <c r="D464" s="396"/>
      <c r="E464" s="372"/>
      <c r="F464" s="371"/>
      <c r="G464" s="371"/>
    </row>
    <row r="465" ht="58.5" customHeight="1" spans="2:7">
      <c r="B465" s="59" t="s">
        <v>1496</v>
      </c>
      <c r="C465" s="65" t="s">
        <v>1497</v>
      </c>
      <c r="D465" s="396"/>
      <c r="E465" s="372"/>
      <c r="F465" s="370"/>
      <c r="G465" s="371"/>
    </row>
    <row r="466" spans="2:7">
      <c r="B466" s="64"/>
      <c r="C466" s="65"/>
      <c r="D466" s="396"/>
      <c r="E466" s="372"/>
      <c r="F466" s="370"/>
      <c r="G466" s="371"/>
    </row>
    <row r="467" ht="22.5" customHeight="1" spans="2:10">
      <c r="B467" s="59" t="s">
        <v>1498</v>
      </c>
      <c r="C467" s="65" t="s">
        <v>1499</v>
      </c>
      <c r="D467" s="396" t="s">
        <v>1500</v>
      </c>
      <c r="E467" s="372">
        <v>4</v>
      </c>
      <c r="F467" s="398">
        <v>560900</v>
      </c>
      <c r="G467" s="371">
        <f>E467*F467</f>
        <v>2243600</v>
      </c>
      <c r="J467" s="402"/>
    </row>
    <row r="468" ht="22.5" customHeight="1" spans="2:10">
      <c r="B468" s="59" t="s">
        <v>1501</v>
      </c>
      <c r="C468" s="65" t="s">
        <v>1502</v>
      </c>
      <c r="D468" s="396" t="s">
        <v>1500</v>
      </c>
      <c r="E468" s="372">
        <v>2</v>
      </c>
      <c r="F468" s="398">
        <v>521998</v>
      </c>
      <c r="G468" s="371">
        <f>E468*F468</f>
        <v>1043996</v>
      </c>
      <c r="J468" s="402"/>
    </row>
    <row r="469" spans="2:7">
      <c r="B469" s="64"/>
      <c r="C469" s="65"/>
      <c r="D469" s="396"/>
      <c r="E469" s="372"/>
      <c r="F469" s="397"/>
      <c r="G469" s="371"/>
    </row>
    <row r="470" ht="72" customHeight="1" spans="2:8">
      <c r="B470" s="67" t="s">
        <v>1503</v>
      </c>
      <c r="C470" s="159" t="s">
        <v>1504</v>
      </c>
      <c r="D470" s="403" t="s">
        <v>1500</v>
      </c>
      <c r="E470" s="404">
        <v>1</v>
      </c>
      <c r="F470" s="341" t="s">
        <v>1505</v>
      </c>
      <c r="G470" s="376"/>
      <c r="H470" s="244" t="s">
        <v>236</v>
      </c>
    </row>
    <row r="471" ht="21.75" customHeight="1" spans="2:7">
      <c r="B471" s="64"/>
      <c r="C471" s="65"/>
      <c r="D471" s="396"/>
      <c r="E471" s="372"/>
      <c r="F471" s="370"/>
      <c r="G471" s="371"/>
    </row>
    <row r="472" ht="21" customHeight="1" spans="2:7">
      <c r="B472" s="359" t="s">
        <v>1506</v>
      </c>
      <c r="C472" s="137" t="s">
        <v>1507</v>
      </c>
      <c r="D472" s="396"/>
      <c r="E472" s="372"/>
      <c r="F472" s="397"/>
      <c r="G472" s="371"/>
    </row>
    <row r="473" ht="21.75" customHeight="1" spans="2:7">
      <c r="B473" s="64"/>
      <c r="C473" s="81" t="s">
        <v>1508</v>
      </c>
      <c r="D473" s="396"/>
      <c r="E473" s="372"/>
      <c r="F473" s="397"/>
      <c r="G473" s="371"/>
    </row>
    <row r="474" ht="72.75" customHeight="1" spans="2:10">
      <c r="B474" s="59" t="s">
        <v>1509</v>
      </c>
      <c r="C474" s="65" t="s">
        <v>1510</v>
      </c>
      <c r="D474" s="396" t="s">
        <v>1500</v>
      </c>
      <c r="E474" s="372">
        <v>4</v>
      </c>
      <c r="F474" s="398">
        <v>391100</v>
      </c>
      <c r="G474" s="371">
        <f>E474*F474</f>
        <v>1564400</v>
      </c>
      <c r="H474" s="322" t="s">
        <v>1511</v>
      </c>
      <c r="I474" s="400"/>
      <c r="J474" s="401"/>
    </row>
    <row r="475" spans="2:8">
      <c r="B475" s="64"/>
      <c r="C475" s="65"/>
      <c r="D475" s="396"/>
      <c r="E475" s="405"/>
      <c r="F475" s="397"/>
      <c r="G475" s="371"/>
      <c r="H475" s="322"/>
    </row>
    <row r="476" ht="18" customHeight="1" spans="2:10">
      <c r="B476" s="59" t="s">
        <v>1512</v>
      </c>
      <c r="C476" s="65" t="s">
        <v>1513</v>
      </c>
      <c r="D476" s="406" t="s">
        <v>1500</v>
      </c>
      <c r="E476" s="407">
        <v>8</v>
      </c>
      <c r="F476" s="408">
        <v>377100</v>
      </c>
      <c r="G476" s="409">
        <f>E476*F476</f>
        <v>3016800</v>
      </c>
      <c r="H476" s="322" t="s">
        <v>1511</v>
      </c>
      <c r="J476" s="401"/>
    </row>
    <row r="477" ht="14.25" customHeight="1" spans="2:8">
      <c r="B477" s="64"/>
      <c r="C477" s="65"/>
      <c r="D477" s="396"/>
      <c r="E477" s="410"/>
      <c r="F477" s="21"/>
      <c r="G477" s="103"/>
      <c r="H477" s="322"/>
    </row>
    <row r="478" ht="98.25" customHeight="1" spans="2:10">
      <c r="B478" s="59" t="s">
        <v>1514</v>
      </c>
      <c r="C478" s="65" t="s">
        <v>1515</v>
      </c>
      <c r="D478" s="406" t="s">
        <v>1516</v>
      </c>
      <c r="E478" s="407">
        <v>1</v>
      </c>
      <c r="F478" s="411"/>
      <c r="G478" s="412">
        <v>222386</v>
      </c>
      <c r="H478" s="322" t="s">
        <v>1511</v>
      </c>
      <c r="I478" s="400"/>
      <c r="J478" s="401"/>
    </row>
    <row r="479" spans="2:10">
      <c r="B479" s="64"/>
      <c r="C479" s="65"/>
      <c r="D479" s="406"/>
      <c r="E479" s="407"/>
      <c r="F479" s="409"/>
      <c r="G479" s="409"/>
      <c r="I479" s="400"/>
      <c r="J479" s="322"/>
    </row>
    <row r="480" ht="28.5" customHeight="1" spans="2:10">
      <c r="B480" s="59" t="s">
        <v>1517</v>
      </c>
      <c r="C480" s="65" t="s">
        <v>1518</v>
      </c>
      <c r="D480" s="406" t="s">
        <v>1516</v>
      </c>
      <c r="E480" s="407">
        <v>1</v>
      </c>
      <c r="F480" s="411"/>
      <c r="G480" s="412">
        <v>264375</v>
      </c>
      <c r="H480" s="321" t="s">
        <v>1511</v>
      </c>
      <c r="I480" s="400"/>
      <c r="J480" s="401"/>
    </row>
    <row r="481" spans="2:7">
      <c r="B481" s="64"/>
      <c r="C481" s="65"/>
      <c r="D481" s="396"/>
      <c r="E481" s="372"/>
      <c r="F481" s="370"/>
      <c r="G481" s="371"/>
    </row>
    <row r="482" ht="22.5" customHeight="1" spans="2:7">
      <c r="B482" s="59" t="s">
        <v>1519</v>
      </c>
      <c r="C482" s="137" t="s">
        <v>1520</v>
      </c>
      <c r="D482" s="396"/>
      <c r="E482" s="372"/>
      <c r="F482" s="397"/>
      <c r="G482" s="371"/>
    </row>
    <row r="483" ht="18.75" customHeight="1" spans="2:7">
      <c r="B483" s="64"/>
      <c r="C483" s="81" t="s">
        <v>1521</v>
      </c>
      <c r="D483" s="396"/>
      <c r="E483" s="372"/>
      <c r="F483" s="397"/>
      <c r="G483" s="371"/>
    </row>
    <row r="484" ht="98.25" customHeight="1" spans="2:7">
      <c r="B484" s="59" t="s">
        <v>1522</v>
      </c>
      <c r="C484" s="65" t="s">
        <v>1523</v>
      </c>
      <c r="D484" s="396"/>
      <c r="E484" s="373"/>
      <c r="F484" s="370"/>
      <c r="G484" s="371"/>
    </row>
    <row r="485" ht="26.25" customHeight="1" spans="2:10">
      <c r="B485" s="59" t="s">
        <v>1524</v>
      </c>
      <c r="C485" s="65" t="s">
        <v>1525</v>
      </c>
      <c r="D485" s="396" t="s">
        <v>1500</v>
      </c>
      <c r="E485" s="373">
        <v>2</v>
      </c>
      <c r="F485" s="398">
        <v>2720700</v>
      </c>
      <c r="G485" s="371">
        <f>E485*F485</f>
        <v>5441400</v>
      </c>
      <c r="J485" s="402"/>
    </row>
    <row r="486" ht="26.25" customHeight="1" spans="2:10">
      <c r="B486" s="59" t="s">
        <v>1526</v>
      </c>
      <c r="C486" s="65" t="s">
        <v>1527</v>
      </c>
      <c r="D486" s="396" t="s">
        <v>1500</v>
      </c>
      <c r="E486" s="373">
        <v>1</v>
      </c>
      <c r="F486" s="398">
        <v>2250600</v>
      </c>
      <c r="G486" s="371">
        <f>E486*F486</f>
        <v>2250600</v>
      </c>
      <c r="J486" s="402"/>
    </row>
    <row r="487" spans="2:7">
      <c r="B487" s="64"/>
      <c r="C487" s="65"/>
      <c r="D487" s="396"/>
      <c r="E487" s="373"/>
      <c r="F487" s="370"/>
      <c r="G487" s="371"/>
    </row>
    <row r="488" ht="19.5" customHeight="1" spans="2:7">
      <c r="B488" s="59" t="s">
        <v>1528</v>
      </c>
      <c r="C488" s="137" t="s">
        <v>1529</v>
      </c>
      <c r="D488" s="396"/>
      <c r="E488" s="373"/>
      <c r="F488" s="370"/>
      <c r="G488" s="371"/>
    </row>
    <row r="489" ht="17.25" customHeight="1" spans="2:7">
      <c r="B489" s="64"/>
      <c r="C489" s="81" t="s">
        <v>1530</v>
      </c>
      <c r="D489" s="396"/>
      <c r="E489" s="373"/>
      <c r="F489" s="370"/>
      <c r="G489" s="371"/>
    </row>
    <row r="490" ht="69.75" customHeight="1" spans="2:7">
      <c r="B490" s="59" t="s">
        <v>1531</v>
      </c>
      <c r="C490" s="65" t="s">
        <v>1532</v>
      </c>
      <c r="D490" s="396"/>
      <c r="E490" s="373"/>
      <c r="F490" s="370"/>
      <c r="G490" s="371"/>
    </row>
    <row r="491" ht="19.5" customHeight="1" spans="2:10">
      <c r="B491" s="59" t="s">
        <v>1533</v>
      </c>
      <c r="C491" s="65" t="s">
        <v>1534</v>
      </c>
      <c r="D491" s="396" t="s">
        <v>62</v>
      </c>
      <c r="E491" s="373">
        <v>1</v>
      </c>
      <c r="F491" s="398">
        <v>912900</v>
      </c>
      <c r="G491" s="371">
        <f>E491*F491</f>
        <v>912900</v>
      </c>
      <c r="J491" s="402"/>
    </row>
    <row r="492" ht="20.25" customHeight="1" spans="2:7">
      <c r="B492" s="64"/>
      <c r="C492" s="65"/>
      <c r="D492" s="396"/>
      <c r="E492" s="372"/>
      <c r="F492" s="370"/>
      <c r="G492" s="371"/>
    </row>
    <row r="493" ht="18" customHeight="1" spans="2:7">
      <c r="B493" s="59" t="s">
        <v>1535</v>
      </c>
      <c r="C493" s="81" t="s">
        <v>1536</v>
      </c>
      <c r="D493" s="396"/>
      <c r="E493" s="372"/>
      <c r="F493" s="370"/>
      <c r="G493" s="371"/>
    </row>
    <row r="494" ht="18" customHeight="1" spans="2:7">
      <c r="B494" s="64"/>
      <c r="C494" s="81" t="s">
        <v>1537</v>
      </c>
      <c r="D494" s="396"/>
      <c r="E494" s="372"/>
      <c r="F494" s="370"/>
      <c r="G494" s="371"/>
    </row>
    <row r="495" ht="60" customHeight="1" spans="2:7">
      <c r="B495" s="59" t="s">
        <v>1538</v>
      </c>
      <c r="C495" s="192" t="s">
        <v>1539</v>
      </c>
      <c r="D495" s="396"/>
      <c r="E495" s="372"/>
      <c r="F495" s="370"/>
      <c r="G495" s="371"/>
    </row>
    <row r="496" ht="14.25" customHeight="1" spans="2:7">
      <c r="B496" s="59"/>
      <c r="C496" s="192"/>
      <c r="D496" s="396"/>
      <c r="E496" s="372"/>
      <c r="F496" s="370"/>
      <c r="G496" s="371"/>
    </row>
    <row r="497" ht="34.5" customHeight="1" spans="2:8">
      <c r="B497" s="67" t="s">
        <v>1540</v>
      </c>
      <c r="C497" s="413" t="s">
        <v>1541</v>
      </c>
      <c r="D497" s="79" t="s">
        <v>205</v>
      </c>
      <c r="E497" s="374">
        <v>225</v>
      </c>
      <c r="F497" s="375">
        <v>1357</v>
      </c>
      <c r="G497" s="414">
        <f>E497*F497</f>
        <v>305325</v>
      </c>
      <c r="H497" s="321" t="s">
        <v>1542</v>
      </c>
    </row>
    <row r="498" ht="21" customHeight="1" spans="2:7">
      <c r="B498" s="64"/>
      <c r="C498" s="192"/>
      <c r="D498" s="64"/>
      <c r="E498" s="373"/>
      <c r="F498" s="370"/>
      <c r="G498" s="415"/>
    </row>
    <row r="499" ht="18.75" customHeight="1" spans="2:7">
      <c r="B499" s="59" t="s">
        <v>1543</v>
      </c>
      <c r="C499" s="137" t="s">
        <v>1544</v>
      </c>
      <c r="D499" s="396"/>
      <c r="E499" s="372"/>
      <c r="F499" s="397"/>
      <c r="G499" s="371"/>
    </row>
    <row r="500" ht="16.5" customHeight="1" spans="2:7">
      <c r="B500" s="64"/>
      <c r="C500" s="81" t="s">
        <v>1545</v>
      </c>
      <c r="D500" s="396"/>
      <c r="E500" s="372"/>
      <c r="F500" s="397"/>
      <c r="G500" s="371"/>
    </row>
    <row r="501" ht="70.5" customHeight="1" spans="2:7">
      <c r="B501" s="59" t="s">
        <v>1546</v>
      </c>
      <c r="C501" s="65" t="s">
        <v>1547</v>
      </c>
      <c r="D501" s="396"/>
      <c r="E501" s="372"/>
      <c r="F501" s="397"/>
      <c r="G501" s="371"/>
    </row>
    <row r="502" ht="28.5" customHeight="1" spans="2:7">
      <c r="B502" s="59" t="s">
        <v>1548</v>
      </c>
      <c r="C502" s="26" t="s">
        <v>1549</v>
      </c>
      <c r="D502" s="64" t="s">
        <v>205</v>
      </c>
      <c r="E502" s="373">
        <v>28</v>
      </c>
      <c r="F502" s="370">
        <v>4209</v>
      </c>
      <c r="G502" s="371">
        <f>E502*F502</f>
        <v>117852</v>
      </c>
    </row>
    <row r="503" ht="28.5" customHeight="1" spans="2:7">
      <c r="B503" s="59" t="s">
        <v>1550</v>
      </c>
      <c r="C503" s="26" t="s">
        <v>1551</v>
      </c>
      <c r="D503" s="64" t="s">
        <v>205</v>
      </c>
      <c r="E503" s="373">
        <v>49</v>
      </c>
      <c r="F503" s="370">
        <v>4209</v>
      </c>
      <c r="G503" s="371">
        <f>E503*F503</f>
        <v>206241</v>
      </c>
    </row>
    <row r="504" ht="28.5" customHeight="1" spans="2:7">
      <c r="B504" s="59" t="s">
        <v>1552</v>
      </c>
      <c r="C504" s="26" t="s">
        <v>1553</v>
      </c>
      <c r="D504" s="64" t="s">
        <v>205</v>
      </c>
      <c r="E504" s="373">
        <v>36</v>
      </c>
      <c r="F504" s="370">
        <v>4209</v>
      </c>
      <c r="G504" s="371">
        <f>E504*F504</f>
        <v>151524</v>
      </c>
    </row>
    <row r="505" ht="28.5" customHeight="1" spans="2:7">
      <c r="B505" s="59" t="s">
        <v>1554</v>
      </c>
      <c r="C505" s="26" t="s">
        <v>1555</v>
      </c>
      <c r="D505" s="64" t="s">
        <v>205</v>
      </c>
      <c r="E505" s="373">
        <v>56</v>
      </c>
      <c r="F505" s="370">
        <v>4209</v>
      </c>
      <c r="G505" s="371">
        <f>E505*F505</f>
        <v>235704</v>
      </c>
    </row>
    <row r="506" ht="26.25" customHeight="1" spans="2:7">
      <c r="B506" s="59"/>
      <c r="C506" s="26"/>
      <c r="D506" s="64"/>
      <c r="E506" s="373"/>
      <c r="F506" s="370"/>
      <c r="G506" s="371"/>
    </row>
    <row r="507" ht="26.25" customHeight="1" spans="2:7">
      <c r="B507" s="59"/>
      <c r="C507" s="26"/>
      <c r="D507" s="64"/>
      <c r="E507" s="373"/>
      <c r="F507" s="370"/>
      <c r="G507" s="371"/>
    </row>
    <row r="508" ht="26.25" customHeight="1" spans="2:7">
      <c r="B508" s="59"/>
      <c r="C508" s="26"/>
      <c r="D508" s="64"/>
      <c r="E508" s="373"/>
      <c r="F508" s="370"/>
      <c r="G508" s="371"/>
    </row>
    <row r="509" ht="26.25" customHeight="1" spans="2:7">
      <c r="B509" s="64"/>
      <c r="C509" s="160"/>
      <c r="D509" s="64"/>
      <c r="E509" s="62"/>
      <c r="F509" s="397"/>
      <c r="G509" s="397"/>
    </row>
    <row r="510" spans="2:7">
      <c r="B510" s="64"/>
      <c r="C510" s="160"/>
      <c r="D510" s="64"/>
      <c r="E510" s="62"/>
      <c r="F510" s="397"/>
      <c r="G510" s="397"/>
    </row>
    <row r="511" ht="27.75" customHeight="1" spans="2:7">
      <c r="B511" s="64"/>
      <c r="C511" s="331" t="s">
        <v>215</v>
      </c>
      <c r="D511" s="64"/>
      <c r="E511" s="62"/>
      <c r="F511" s="416" t="s">
        <v>946</v>
      </c>
      <c r="G511" s="417">
        <f>SUM(G35:G509)</f>
        <v>138018049</v>
      </c>
    </row>
    <row r="512" ht="14.55" spans="2:7">
      <c r="B512" s="83"/>
      <c r="C512" s="418"/>
      <c r="D512" s="121"/>
      <c r="E512" s="419"/>
      <c r="F512" s="420"/>
      <c r="G512" s="420"/>
    </row>
    <row r="513" spans="2:5">
      <c r="B513" s="346"/>
      <c r="C513" s="421"/>
      <c r="D513" s="348"/>
      <c r="E513" s="422"/>
    </row>
    <row r="514" spans="2:5">
      <c r="B514" s="346"/>
      <c r="C514" s="421"/>
      <c r="D514" s="348"/>
      <c r="E514" s="422"/>
    </row>
  </sheetData>
  <mergeCells count="3">
    <mergeCell ref="B2:G2"/>
    <mergeCell ref="B3:G3"/>
    <mergeCell ref="B4:C4"/>
  </mergeCells>
  <pageMargins left="0.85" right="0.1" top="0.35" bottom="0.3" header="0.3" footer="0.15"/>
  <pageSetup paperSize="9" scale="89" firstPageNumber="38" orientation="portrait" useFirstPageNumber="1"/>
  <headerFooter>
    <oddFooter>&amp;C&amp;P</oddFooter>
  </headerFooter>
  <rowBreaks count="7" manualBreakCount="7">
    <brk id="31" max="6" man="1"/>
    <brk id="163" max="6" man="1"/>
    <brk id="344" max="6" man="1"/>
    <brk id="379" max="6" man="1"/>
    <brk id="412" max="6" man="1"/>
    <brk id="470" max="6" man="1"/>
    <brk id="497" max="6" man="1"/>
  </row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B2:G44"/>
  <sheetViews>
    <sheetView view="pageBreakPreview" zoomScaleNormal="100" topLeftCell="A31" workbookViewId="0">
      <selection activeCell="C38" sqref="C38"/>
    </sheetView>
  </sheetViews>
  <sheetFormatPr defaultColWidth="10.287037037037" defaultRowHeight="13.8" outlineLevelCol="6"/>
  <cols>
    <col min="1" max="1" width="10.287037037037" style="323"/>
    <col min="2" max="2" width="9.13888888888889" style="323"/>
    <col min="3" max="3" width="39.8518518518519" style="323" customWidth="1"/>
    <col min="4" max="4" width="6.71296296296296" style="323" customWidth="1"/>
    <col min="5" max="5" width="11.287037037037" style="324" customWidth="1"/>
    <col min="6" max="6" width="13.712962962963" style="325" customWidth="1"/>
    <col min="7" max="7" width="16.712962962963" style="325" customWidth="1"/>
    <col min="8" max="16384" width="10.287037037037" style="323"/>
  </cols>
  <sheetData>
    <row r="2" s="1" customFormat="1" ht="21" customHeight="1" spans="2:7">
      <c r="B2" s="326" t="str">
        <f>W.proof!B2</f>
        <v>PROPOSED DISTRICT GENERAL HOSPITAL AT HAMBANTOTA</v>
      </c>
      <c r="C2" s="326"/>
      <c r="D2" s="326"/>
      <c r="E2" s="326"/>
      <c r="F2" s="326"/>
      <c r="G2" s="326"/>
    </row>
    <row r="3" s="1" customFormat="1" ht="21" customHeight="1" spans="2:7">
      <c r="B3" s="9" t="str">
        <f>W.proof!B3</f>
        <v>CONSTRUCTION AND COMPLETION OF MAIN BUILDING (BLOCK-E)</v>
      </c>
      <c r="C3" s="9"/>
      <c r="D3" s="9"/>
      <c r="E3" s="9"/>
      <c r="F3" s="9"/>
      <c r="G3" s="9"/>
    </row>
    <row r="4" s="1" customFormat="1" ht="22.5" customHeight="1" spans="2:7">
      <c r="B4" s="9" t="str">
        <f>W.proof!B4</f>
        <v>BILL OF QUANTITIES</v>
      </c>
      <c r="C4" s="9"/>
      <c r="D4" s="327" t="s">
        <v>1556</v>
      </c>
      <c r="E4" s="327"/>
      <c r="F4" s="327"/>
      <c r="G4" s="327"/>
    </row>
    <row r="5" ht="22.5" customHeight="1" spans="2:7">
      <c r="B5" s="11" t="s">
        <v>155</v>
      </c>
      <c r="C5" s="11" t="s">
        <v>2</v>
      </c>
      <c r="D5" s="11" t="s">
        <v>156</v>
      </c>
      <c r="E5" s="92" t="s">
        <v>1557</v>
      </c>
      <c r="F5" s="328" t="s">
        <v>158</v>
      </c>
      <c r="G5" s="328" t="s">
        <v>159</v>
      </c>
    </row>
    <row r="6" spans="2:7">
      <c r="B6" s="93"/>
      <c r="C6" s="94"/>
      <c r="D6" s="93"/>
      <c r="E6" s="95"/>
      <c r="F6" s="329"/>
      <c r="G6" s="329"/>
    </row>
    <row r="7" s="321" customFormat="1" ht="21" customHeight="1" spans="2:7">
      <c r="B7" s="330" t="s">
        <v>1558</v>
      </c>
      <c r="C7" s="331" t="s">
        <v>1559</v>
      </c>
      <c r="D7" s="74"/>
      <c r="E7" s="113"/>
      <c r="F7" s="332"/>
      <c r="G7" s="332"/>
    </row>
    <row r="8" ht="21.75" customHeight="1" spans="2:7">
      <c r="B8" s="64"/>
      <c r="C8" s="333" t="s">
        <v>163</v>
      </c>
      <c r="D8" s="93"/>
      <c r="E8" s="95"/>
      <c r="F8" s="334"/>
      <c r="G8" s="334"/>
    </row>
    <row r="9" s="322" customFormat="1" ht="112.5" customHeight="1" spans="2:7">
      <c r="B9" s="64"/>
      <c r="C9" s="22" t="s">
        <v>1560</v>
      </c>
      <c r="D9" s="24"/>
      <c r="E9" s="335"/>
      <c r="F9" s="336"/>
      <c r="G9" s="336"/>
    </row>
    <row r="10" spans="2:7">
      <c r="B10" s="64"/>
      <c r="C10" s="98"/>
      <c r="D10" s="93"/>
      <c r="E10" s="95"/>
      <c r="F10" s="334"/>
      <c r="G10" s="334"/>
    </row>
    <row r="11" s="322" customFormat="1" ht="59.25" customHeight="1" spans="2:7">
      <c r="B11" s="64"/>
      <c r="C11" s="22" t="s">
        <v>1561</v>
      </c>
      <c r="D11" s="24"/>
      <c r="E11" s="335"/>
      <c r="F11" s="336"/>
      <c r="G11" s="336"/>
    </row>
    <row r="12" spans="2:7">
      <c r="B12" s="64"/>
      <c r="C12" s="98"/>
      <c r="D12" s="98"/>
      <c r="E12" s="337"/>
      <c r="F12" s="338"/>
      <c r="G12" s="338"/>
    </row>
    <row r="13" ht="18.75" customHeight="1" spans="2:7">
      <c r="B13" s="64" t="s">
        <v>1562</v>
      </c>
      <c r="C13" s="98" t="s">
        <v>1563</v>
      </c>
      <c r="D13" s="98"/>
      <c r="E13" s="337"/>
      <c r="F13" s="338"/>
      <c r="G13" s="338"/>
    </row>
    <row r="14" spans="2:7">
      <c r="B14" s="64"/>
      <c r="C14" s="98"/>
      <c r="D14" s="98"/>
      <c r="E14" s="337"/>
      <c r="F14" s="338"/>
      <c r="G14" s="338"/>
    </row>
    <row r="15" s="322" customFormat="1" ht="113.25" customHeight="1" spans="2:7">
      <c r="B15" s="64"/>
      <c r="C15" s="22" t="s">
        <v>1560</v>
      </c>
      <c r="D15" s="64"/>
      <c r="E15" s="102"/>
      <c r="F15" s="339"/>
      <c r="G15" s="339"/>
    </row>
    <row r="16" ht="47.25" customHeight="1" spans="2:7">
      <c r="B16" s="64" t="s">
        <v>1564</v>
      </c>
      <c r="C16" s="22" t="s">
        <v>1565</v>
      </c>
      <c r="D16" s="64" t="s">
        <v>225</v>
      </c>
      <c r="E16" s="102">
        <v>270</v>
      </c>
      <c r="F16" s="340">
        <v>1584</v>
      </c>
      <c r="G16" s="339">
        <f>E16*F16</f>
        <v>427680</v>
      </c>
    </row>
    <row r="17" spans="2:7">
      <c r="B17" s="64"/>
      <c r="C17" s="22"/>
      <c r="D17" s="64"/>
      <c r="E17" s="102"/>
      <c r="F17" s="340"/>
      <c r="G17" s="339"/>
    </row>
    <row r="18" ht="31.5" customHeight="1" spans="2:7">
      <c r="B18" s="64" t="s">
        <v>1566</v>
      </c>
      <c r="C18" s="22" t="s">
        <v>1567</v>
      </c>
      <c r="D18" s="64" t="s">
        <v>163</v>
      </c>
      <c r="E18" s="102"/>
      <c r="F18" s="340"/>
      <c r="G18" s="339"/>
    </row>
    <row r="19" spans="2:7">
      <c r="B19" s="64"/>
      <c r="C19" s="65"/>
      <c r="D19" s="64"/>
      <c r="E19" s="102"/>
      <c r="F19" s="339"/>
      <c r="G19" s="339"/>
    </row>
    <row r="20" ht="19.5" customHeight="1" spans="2:7">
      <c r="B20" s="64" t="s">
        <v>1568</v>
      </c>
      <c r="C20" s="81" t="s">
        <v>1569</v>
      </c>
      <c r="D20" s="64"/>
      <c r="E20" s="102"/>
      <c r="F20" s="339"/>
      <c r="G20" s="339"/>
    </row>
    <row r="21" spans="2:7">
      <c r="B21" s="64"/>
      <c r="C21" s="65"/>
      <c r="D21" s="64"/>
      <c r="E21" s="102"/>
      <c r="F21" s="339"/>
      <c r="G21" s="339"/>
    </row>
    <row r="22" ht="45" customHeight="1" spans="2:7">
      <c r="B22" s="64" t="s">
        <v>1568</v>
      </c>
      <c r="C22" s="22" t="s">
        <v>1570</v>
      </c>
      <c r="D22" s="64"/>
      <c r="E22" s="102"/>
      <c r="F22" s="339"/>
      <c r="G22" s="339"/>
    </row>
    <row r="23" spans="2:7">
      <c r="B23" s="64"/>
      <c r="C23" s="65"/>
      <c r="D23" s="64"/>
      <c r="E23" s="102"/>
      <c r="F23" s="339"/>
      <c r="G23" s="339"/>
    </row>
    <row r="24" ht="27" customHeight="1" spans="2:7">
      <c r="B24" s="64" t="s">
        <v>1571</v>
      </c>
      <c r="C24" s="65" t="s">
        <v>1572</v>
      </c>
      <c r="D24" s="64" t="s">
        <v>225</v>
      </c>
      <c r="E24" s="102">
        <v>114</v>
      </c>
      <c r="F24" s="340">
        <v>8784</v>
      </c>
      <c r="G24" s="339">
        <f>E24*F24</f>
        <v>1001376</v>
      </c>
    </row>
    <row r="25" ht="27" customHeight="1" spans="2:7">
      <c r="B25" s="64" t="s">
        <v>1573</v>
      </c>
      <c r="C25" s="65" t="s">
        <v>1574</v>
      </c>
      <c r="D25" s="64" t="s">
        <v>225</v>
      </c>
      <c r="E25" s="102">
        <v>170</v>
      </c>
      <c r="F25" s="340">
        <v>9281</v>
      </c>
      <c r="G25" s="339">
        <f>E25*F25</f>
        <v>1577770</v>
      </c>
    </row>
    <row r="26" ht="27" customHeight="1" spans="2:7">
      <c r="B26" s="64" t="s">
        <v>1575</v>
      </c>
      <c r="C26" s="65" t="s">
        <v>1576</v>
      </c>
      <c r="D26" s="64" t="s">
        <v>225</v>
      </c>
      <c r="E26" s="102">
        <v>170</v>
      </c>
      <c r="F26" s="340">
        <v>9612</v>
      </c>
      <c r="G26" s="339">
        <f>E26*F26</f>
        <v>1634040</v>
      </c>
    </row>
    <row r="27" spans="2:7">
      <c r="B27" s="64"/>
      <c r="C27" s="65"/>
      <c r="D27" s="64"/>
      <c r="E27" s="102"/>
      <c r="F27" s="339"/>
      <c r="G27" s="339"/>
    </row>
    <row r="28" ht="57" customHeight="1" spans="2:7">
      <c r="B28" s="79" t="s">
        <v>1577</v>
      </c>
      <c r="C28" s="159" t="s">
        <v>1578</v>
      </c>
      <c r="D28" s="79" t="s">
        <v>205</v>
      </c>
      <c r="E28" s="109">
        <v>21</v>
      </c>
      <c r="F28" s="341">
        <v>1004</v>
      </c>
      <c r="G28" s="342">
        <f>E28*F28</f>
        <v>21084</v>
      </c>
    </row>
    <row r="29" ht="18.75" customHeight="1" spans="2:7">
      <c r="B29" s="64"/>
      <c r="C29" s="65"/>
      <c r="D29" s="64"/>
      <c r="E29" s="102"/>
      <c r="F29" s="339"/>
      <c r="G29" s="339"/>
    </row>
    <row r="30" ht="99" customHeight="1" spans="2:7">
      <c r="B30" s="64" t="s">
        <v>1579</v>
      </c>
      <c r="C30" s="65" t="s">
        <v>1580</v>
      </c>
      <c r="D30" s="64"/>
      <c r="E30" s="102"/>
      <c r="F30" s="340"/>
      <c r="G30" s="339"/>
    </row>
    <row r="31" ht="15" customHeight="1" spans="2:7">
      <c r="B31" s="64"/>
      <c r="C31" s="26"/>
      <c r="D31" s="64"/>
      <c r="E31" s="102"/>
      <c r="F31" s="339"/>
      <c r="G31" s="339"/>
    </row>
    <row r="32" ht="33.75" customHeight="1" spans="2:7">
      <c r="B32" s="64" t="s">
        <v>1581</v>
      </c>
      <c r="C32" s="26" t="s">
        <v>1582</v>
      </c>
      <c r="D32" s="64" t="s">
        <v>205</v>
      </c>
      <c r="E32" s="102">
        <v>18</v>
      </c>
      <c r="F32" s="340">
        <v>1277</v>
      </c>
      <c r="G32" s="339">
        <f t="shared" ref="G32:G38" si="0">E32*F32</f>
        <v>22986</v>
      </c>
    </row>
    <row r="33" ht="33.75" customHeight="1" spans="2:7">
      <c r="B33" s="64" t="s">
        <v>1583</v>
      </c>
      <c r="C33" s="26" t="s">
        <v>1584</v>
      </c>
      <c r="D33" s="64" t="s">
        <v>205</v>
      </c>
      <c r="E33" s="102">
        <v>36</v>
      </c>
      <c r="F33" s="340">
        <v>1277</v>
      </c>
      <c r="G33" s="339">
        <f t="shared" si="0"/>
        <v>45972</v>
      </c>
    </row>
    <row r="34" ht="33.75" customHeight="1" spans="2:7">
      <c r="B34" s="64" t="s">
        <v>1585</v>
      </c>
      <c r="C34" s="65" t="s">
        <v>1586</v>
      </c>
      <c r="D34" s="64" t="s">
        <v>205</v>
      </c>
      <c r="E34" s="102">
        <v>12</v>
      </c>
      <c r="F34" s="340">
        <v>1303</v>
      </c>
      <c r="G34" s="339">
        <f t="shared" si="0"/>
        <v>15636</v>
      </c>
    </row>
    <row r="35" ht="33.75" customHeight="1" spans="2:7">
      <c r="B35" s="64" t="s">
        <v>1587</v>
      </c>
      <c r="C35" s="65" t="s">
        <v>1588</v>
      </c>
      <c r="D35" s="64" t="s">
        <v>205</v>
      </c>
      <c r="E35" s="102">
        <v>50</v>
      </c>
      <c r="F35" s="340">
        <v>1329</v>
      </c>
      <c r="G35" s="339">
        <f t="shared" si="0"/>
        <v>66450</v>
      </c>
    </row>
    <row r="36" ht="33.75" customHeight="1" spans="2:7">
      <c r="B36" s="64" t="s">
        <v>1589</v>
      </c>
      <c r="C36" s="65" t="s">
        <v>1590</v>
      </c>
      <c r="D36" s="64" t="s">
        <v>205</v>
      </c>
      <c r="E36" s="102">
        <v>126</v>
      </c>
      <c r="F36" s="340">
        <v>1354</v>
      </c>
      <c r="G36" s="339">
        <f t="shared" si="0"/>
        <v>170604</v>
      </c>
    </row>
    <row r="37" ht="33.75" customHeight="1" spans="2:7">
      <c r="B37" s="64" t="s">
        <v>1591</v>
      </c>
      <c r="C37" s="65" t="s">
        <v>1592</v>
      </c>
      <c r="D37" s="64" t="s">
        <v>205</v>
      </c>
      <c r="E37" s="102">
        <v>184</v>
      </c>
      <c r="F37" s="340">
        <v>1380</v>
      </c>
      <c r="G37" s="339">
        <f t="shared" si="0"/>
        <v>253920</v>
      </c>
    </row>
    <row r="38" ht="33.75" customHeight="1" spans="2:7">
      <c r="B38" s="64" t="s">
        <v>1593</v>
      </c>
      <c r="C38" s="65" t="s">
        <v>1594</v>
      </c>
      <c r="D38" s="64" t="s">
        <v>205</v>
      </c>
      <c r="E38" s="102">
        <v>243</v>
      </c>
      <c r="F38" s="340">
        <v>1405</v>
      </c>
      <c r="G38" s="339">
        <f t="shared" si="0"/>
        <v>341415</v>
      </c>
    </row>
    <row r="39" ht="27" customHeight="1" spans="2:7">
      <c r="B39" s="64"/>
      <c r="C39" s="26"/>
      <c r="D39" s="64"/>
      <c r="E39" s="102"/>
      <c r="F39" s="339"/>
      <c r="G39" s="339"/>
    </row>
    <row r="40" spans="2:7">
      <c r="B40" s="41"/>
      <c r="C40" s="42"/>
      <c r="D40" s="41"/>
      <c r="E40" s="116"/>
      <c r="F40" s="339"/>
      <c r="G40" s="339"/>
    </row>
    <row r="41" ht="30" customHeight="1" spans="2:7">
      <c r="B41" s="43"/>
      <c r="C41" s="44" t="s">
        <v>215</v>
      </c>
      <c r="D41" s="43"/>
      <c r="E41" s="117"/>
      <c r="F41" s="343" t="s">
        <v>1595</v>
      </c>
      <c r="G41" s="344">
        <f>SUM(G15:G39)</f>
        <v>5578933</v>
      </c>
    </row>
    <row r="42" ht="14.55" spans="2:7">
      <c r="B42" s="83"/>
      <c r="C42" s="120"/>
      <c r="D42" s="121"/>
      <c r="E42" s="122"/>
      <c r="F42" s="345"/>
      <c r="G42" s="345"/>
    </row>
    <row r="43" spans="2:5">
      <c r="B43" s="346"/>
      <c r="C43" s="347"/>
      <c r="D43" s="348"/>
      <c r="E43" s="349"/>
    </row>
    <row r="44" spans="2:5">
      <c r="B44" s="346"/>
      <c r="C44" s="347"/>
      <c r="D44" s="348"/>
      <c r="E44" s="349"/>
    </row>
  </sheetData>
  <mergeCells count="3">
    <mergeCell ref="B2:G2"/>
    <mergeCell ref="B3:G3"/>
    <mergeCell ref="B4:C4"/>
  </mergeCells>
  <pageMargins left="0.85" right="0.25" top="0.35" bottom="0.3" header="0.3" footer="0.15"/>
  <pageSetup paperSize="9" scale="93" firstPageNumber="54" orientation="portrait" useFirstPageNumber="1"/>
  <headerFooter>
    <oddFooter>&amp;C&amp;P</oddFooter>
  </headerFooter>
  <rowBreaks count="1" manualBreakCount="1">
    <brk id="28" max="6"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B1:J882"/>
  <sheetViews>
    <sheetView view="pageBreakPreview" zoomScaleNormal="100" workbookViewId="0">
      <pane ySplit="5" topLeftCell="A736" activePane="bottomLeft" state="frozen"/>
      <selection/>
      <selection pane="bottomLeft" activeCell="I508" sqref="I508"/>
    </sheetView>
  </sheetViews>
  <sheetFormatPr defaultColWidth="10.287037037037" defaultRowHeight="13.8"/>
  <cols>
    <col min="1" max="1" width="10.287037037037" style="170"/>
    <col min="2" max="2" width="9.13888888888889" style="171"/>
    <col min="3" max="3" width="39.5740740740741" style="165" customWidth="1"/>
    <col min="4" max="4" width="6.71296296296296" style="172" customWidth="1"/>
    <col min="5" max="5" width="9.13888888888889" style="172" customWidth="1"/>
    <col min="6" max="8" width="16.712962962963" style="172" customWidth="1"/>
    <col min="9" max="9" width="9.13888888888889" style="170" customWidth="1"/>
    <col min="10" max="10" width="13.5740740740741" style="170" customWidth="1"/>
    <col min="11" max="16384" width="10.287037037037" style="170"/>
  </cols>
  <sheetData>
    <row r="1" spans="2:8">
      <c r="B1" s="168"/>
      <c r="D1" s="165"/>
      <c r="E1" s="165"/>
      <c r="F1" s="165"/>
      <c r="G1" s="165"/>
      <c r="H1" s="165"/>
    </row>
    <row r="2" s="164" customFormat="1" ht="21" customHeight="1" spans="2:9">
      <c r="B2" s="5" t="s">
        <v>20</v>
      </c>
      <c r="C2" s="5"/>
      <c r="D2" s="5"/>
      <c r="E2" s="5"/>
      <c r="F2" s="5"/>
      <c r="G2" s="5"/>
      <c r="H2" s="173"/>
      <c r="I2" s="215"/>
    </row>
    <row r="3" s="164" customFormat="1" ht="21" customHeight="1" spans="2:9">
      <c r="B3" s="7" t="s">
        <v>37</v>
      </c>
      <c r="C3" s="7"/>
      <c r="D3" s="7"/>
      <c r="E3" s="7"/>
      <c r="F3" s="7"/>
      <c r="G3" s="7"/>
      <c r="H3" s="174"/>
      <c r="I3" s="215"/>
    </row>
    <row r="4" s="164" customFormat="1" ht="26.25" customHeight="1" spans="2:9">
      <c r="B4" s="132" t="s">
        <v>153</v>
      </c>
      <c r="C4" s="132"/>
      <c r="D4" s="175" t="s">
        <v>1596</v>
      </c>
      <c r="E4" s="175"/>
      <c r="F4" s="175"/>
      <c r="G4" s="175"/>
      <c r="H4" s="176"/>
      <c r="I4" s="215"/>
    </row>
    <row r="5" s="165" customFormat="1" ht="22.5" customHeight="1" spans="2:9">
      <c r="B5" s="11" t="s">
        <v>155</v>
      </c>
      <c r="C5" s="11" t="s">
        <v>2</v>
      </c>
      <c r="D5" s="11" t="s">
        <v>156</v>
      </c>
      <c r="E5" s="14" t="s">
        <v>157</v>
      </c>
      <c r="F5" s="14" t="s">
        <v>158</v>
      </c>
      <c r="G5" s="14" t="s">
        <v>159</v>
      </c>
      <c r="H5" s="177"/>
      <c r="I5" s="177"/>
    </row>
    <row r="6" s="165" customFormat="1" spans="2:9">
      <c r="B6" s="178"/>
      <c r="C6" s="179"/>
      <c r="D6" s="180"/>
      <c r="E6" s="181"/>
      <c r="F6" s="182"/>
      <c r="G6" s="183"/>
      <c r="H6" s="184"/>
      <c r="I6" s="177"/>
    </row>
    <row r="7" s="165" customFormat="1" ht="15.75" customHeight="1" spans="2:9">
      <c r="B7" s="185" t="s">
        <v>142</v>
      </c>
      <c r="C7" s="186" t="s">
        <v>1596</v>
      </c>
      <c r="D7" s="187"/>
      <c r="E7" s="188"/>
      <c r="F7" s="189"/>
      <c r="G7" s="190"/>
      <c r="H7" s="191"/>
      <c r="I7" s="177"/>
    </row>
    <row r="8" s="165" customFormat="1" spans="2:9">
      <c r="B8" s="185"/>
      <c r="C8" s="186"/>
      <c r="D8" s="187"/>
      <c r="E8" s="188"/>
      <c r="F8" s="189"/>
      <c r="G8" s="190"/>
      <c r="H8" s="191"/>
      <c r="I8" s="177"/>
    </row>
    <row r="9" s="165" customFormat="1" ht="42.75" customHeight="1" spans="2:9">
      <c r="B9" s="185"/>
      <c r="C9" s="192" t="s">
        <v>1597</v>
      </c>
      <c r="D9" s="187"/>
      <c r="E9" s="193"/>
      <c r="F9" s="189"/>
      <c r="G9" s="190"/>
      <c r="H9" s="194"/>
      <c r="I9" s="177"/>
    </row>
    <row r="10" s="165" customFormat="1" ht="7.5" customHeight="1" spans="2:9">
      <c r="B10" s="185"/>
      <c r="C10" s="195"/>
      <c r="D10" s="187"/>
      <c r="E10" s="193"/>
      <c r="F10" s="189"/>
      <c r="G10" s="190"/>
      <c r="H10" s="194"/>
      <c r="I10" s="177"/>
    </row>
    <row r="11" s="165" customFormat="1" ht="16.5" customHeight="1" spans="2:9">
      <c r="B11" s="185"/>
      <c r="C11" s="196" t="s">
        <v>1598</v>
      </c>
      <c r="D11" s="187"/>
      <c r="E11" s="197"/>
      <c r="F11" s="189"/>
      <c r="G11" s="190"/>
      <c r="H11" s="198"/>
      <c r="I11" s="177"/>
    </row>
    <row r="12" s="165" customFormat="1" ht="9" customHeight="1" spans="2:9">
      <c r="B12" s="185"/>
      <c r="C12" s="199"/>
      <c r="D12" s="187"/>
      <c r="E12" s="197"/>
      <c r="F12" s="189"/>
      <c r="G12" s="190"/>
      <c r="H12" s="198"/>
      <c r="I12" s="177"/>
    </row>
    <row r="13" s="165" customFormat="1" ht="18" customHeight="1" spans="2:9">
      <c r="B13" s="185"/>
      <c r="C13" s="200" t="s">
        <v>1599</v>
      </c>
      <c r="D13" s="187"/>
      <c r="E13" s="197"/>
      <c r="F13" s="189"/>
      <c r="G13" s="190"/>
      <c r="H13" s="198"/>
      <c r="I13" s="177"/>
    </row>
    <row r="14" s="165" customFormat="1" ht="19.5" customHeight="1" spans="2:9">
      <c r="B14" s="185"/>
      <c r="C14" s="196" t="s">
        <v>1600</v>
      </c>
      <c r="D14" s="187"/>
      <c r="E14" s="197"/>
      <c r="F14" s="189"/>
      <c r="G14" s="190"/>
      <c r="H14" s="198"/>
      <c r="I14" s="177"/>
    </row>
    <row r="15" s="165" customFormat="1" ht="46.5" customHeight="1" spans="2:9">
      <c r="B15" s="185"/>
      <c r="C15" s="26" t="s">
        <v>1601</v>
      </c>
      <c r="D15" s="187"/>
      <c r="E15" s="201" t="s">
        <v>1602</v>
      </c>
      <c r="F15" s="189"/>
      <c r="G15" s="190"/>
      <c r="H15" s="202" t="s">
        <v>1602</v>
      </c>
      <c r="I15" s="177"/>
    </row>
    <row r="16" s="165" customFormat="1" spans="2:9">
      <c r="B16" s="185"/>
      <c r="C16" s="26"/>
      <c r="D16" s="187"/>
      <c r="E16" s="201"/>
      <c r="F16" s="189"/>
      <c r="G16" s="190"/>
      <c r="H16" s="202"/>
      <c r="I16" s="177"/>
    </row>
    <row r="17" s="165" customFormat="1" ht="30.75" customHeight="1" spans="2:9">
      <c r="B17" s="185"/>
      <c r="C17" s="26" t="s">
        <v>1601</v>
      </c>
      <c r="D17" s="187"/>
      <c r="E17" s="201"/>
      <c r="F17" s="189"/>
      <c r="G17" s="190"/>
      <c r="H17" s="202"/>
      <c r="I17" s="177"/>
    </row>
    <row r="18" s="165" customFormat="1" ht="16.5" customHeight="1" spans="2:9">
      <c r="B18" s="185"/>
      <c r="C18" s="26" t="s">
        <v>1603</v>
      </c>
      <c r="D18" s="187"/>
      <c r="E18" s="201"/>
      <c r="F18" s="189"/>
      <c r="G18" s="190"/>
      <c r="H18" s="202"/>
      <c r="I18" s="177"/>
    </row>
    <row r="19" s="165" customFormat="1" ht="16.5" customHeight="1" spans="2:9">
      <c r="B19" s="185"/>
      <c r="C19" s="26" t="s">
        <v>1604</v>
      </c>
      <c r="D19" s="187"/>
      <c r="E19" s="201"/>
      <c r="F19" s="189"/>
      <c r="G19" s="190"/>
      <c r="H19" s="202"/>
      <c r="I19" s="177"/>
    </row>
    <row r="20" s="165" customFormat="1" ht="16.5" customHeight="1" spans="2:9">
      <c r="B20" s="185"/>
      <c r="C20" s="26" t="s">
        <v>1605</v>
      </c>
      <c r="D20" s="187"/>
      <c r="E20" s="201"/>
      <c r="F20" s="189"/>
      <c r="G20" s="190"/>
      <c r="H20" s="202"/>
      <c r="I20" s="177"/>
    </row>
    <row r="21" s="165" customFormat="1" ht="16.5" customHeight="1" spans="2:9">
      <c r="B21" s="185"/>
      <c r="C21" s="26" t="s">
        <v>1606</v>
      </c>
      <c r="D21" s="187"/>
      <c r="E21" s="201" t="s">
        <v>1602</v>
      </c>
      <c r="F21" s="189"/>
      <c r="G21" s="190"/>
      <c r="H21" s="202" t="s">
        <v>1602</v>
      </c>
      <c r="I21" s="177"/>
    </row>
    <row r="22" s="165" customFormat="1" ht="16.5" customHeight="1" spans="2:9">
      <c r="B22" s="185"/>
      <c r="C22" s="203"/>
      <c r="D22" s="187"/>
      <c r="E22" s="197"/>
      <c r="F22" s="189"/>
      <c r="G22" s="190"/>
      <c r="H22" s="198"/>
      <c r="I22" s="177"/>
    </row>
    <row r="23" s="165" customFormat="1" ht="16.5" customHeight="1" spans="2:9">
      <c r="B23" s="185"/>
      <c r="C23" s="196" t="s">
        <v>1607</v>
      </c>
      <c r="D23" s="187"/>
      <c r="E23" s="201"/>
      <c r="F23" s="189"/>
      <c r="G23" s="190"/>
      <c r="H23" s="202"/>
      <c r="I23" s="177"/>
    </row>
    <row r="24" s="165" customFormat="1" ht="10.5" customHeight="1" spans="2:9">
      <c r="B24" s="185"/>
      <c r="C24" s="26"/>
      <c r="D24" s="187"/>
      <c r="E24" s="201"/>
      <c r="F24" s="189"/>
      <c r="G24" s="190"/>
      <c r="H24" s="202"/>
      <c r="I24" s="177"/>
    </row>
    <row r="25" s="165" customFormat="1" ht="56.25" customHeight="1" spans="2:9">
      <c r="B25" s="185"/>
      <c r="C25" s="26" t="s">
        <v>1608</v>
      </c>
      <c r="D25" s="187"/>
      <c r="E25" s="201" t="s">
        <v>1602</v>
      </c>
      <c r="F25" s="189"/>
      <c r="G25" s="190"/>
      <c r="H25" s="202" t="s">
        <v>1602</v>
      </c>
      <c r="I25" s="177"/>
    </row>
    <row r="26" s="165" customFormat="1" spans="2:9">
      <c r="B26" s="185"/>
      <c r="C26" s="26"/>
      <c r="D26" s="187"/>
      <c r="E26" s="201"/>
      <c r="F26" s="189"/>
      <c r="G26" s="190"/>
      <c r="H26" s="202"/>
      <c r="I26" s="177"/>
    </row>
    <row r="27" s="165" customFormat="1" ht="16.5" customHeight="1" spans="2:9">
      <c r="B27" s="185"/>
      <c r="C27" s="196" t="s">
        <v>1609</v>
      </c>
      <c r="D27" s="187"/>
      <c r="E27" s="197"/>
      <c r="F27" s="189"/>
      <c r="G27" s="190"/>
      <c r="H27" s="198"/>
      <c r="I27" s="177"/>
    </row>
    <row r="28" s="165" customFormat="1" spans="2:9">
      <c r="B28" s="185"/>
      <c r="C28" s="199"/>
      <c r="D28" s="187"/>
      <c r="E28" s="197"/>
      <c r="F28" s="189"/>
      <c r="G28" s="190"/>
      <c r="H28" s="198"/>
      <c r="I28" s="177"/>
    </row>
    <row r="29" s="165" customFormat="1" ht="59.25" customHeight="1" spans="2:9">
      <c r="B29" s="185"/>
      <c r="C29" s="26" t="s">
        <v>1610</v>
      </c>
      <c r="D29" s="187"/>
      <c r="E29" s="201" t="s">
        <v>1602</v>
      </c>
      <c r="F29" s="189"/>
      <c r="G29" s="190"/>
      <c r="H29" s="202" t="s">
        <v>1602</v>
      </c>
      <c r="I29" s="177"/>
    </row>
    <row r="30" s="165" customFormat="1" spans="2:9">
      <c r="B30" s="185"/>
      <c r="C30" s="26"/>
      <c r="D30" s="187"/>
      <c r="E30" s="201"/>
      <c r="F30" s="189"/>
      <c r="G30" s="190"/>
      <c r="H30" s="202"/>
      <c r="I30" s="177"/>
    </row>
    <row r="31" s="165" customFormat="1" ht="69" customHeight="1" spans="2:9">
      <c r="B31" s="185"/>
      <c r="C31" s="26" t="s">
        <v>1611</v>
      </c>
      <c r="D31" s="187"/>
      <c r="E31" s="201" t="s">
        <v>1602</v>
      </c>
      <c r="F31" s="189"/>
      <c r="G31" s="190"/>
      <c r="H31" s="202" t="s">
        <v>1602</v>
      </c>
      <c r="I31" s="177"/>
    </row>
    <row r="32" s="165" customFormat="1" spans="2:9">
      <c r="B32" s="185"/>
      <c r="C32" s="26"/>
      <c r="D32" s="187"/>
      <c r="E32" s="201"/>
      <c r="F32" s="189"/>
      <c r="G32" s="190"/>
      <c r="H32" s="202"/>
      <c r="I32" s="177"/>
    </row>
    <row r="33" s="165" customFormat="1" ht="46.5" customHeight="1" spans="2:9">
      <c r="B33" s="185"/>
      <c r="C33" s="26" t="s">
        <v>1612</v>
      </c>
      <c r="D33" s="187"/>
      <c r="E33" s="201" t="s">
        <v>1602</v>
      </c>
      <c r="F33" s="189"/>
      <c r="G33" s="190"/>
      <c r="H33" s="202" t="s">
        <v>1602</v>
      </c>
      <c r="I33" s="177"/>
    </row>
    <row r="34" s="165" customFormat="1" spans="2:9">
      <c r="B34" s="185"/>
      <c r="C34" s="26"/>
      <c r="D34" s="187"/>
      <c r="E34" s="201"/>
      <c r="F34" s="189"/>
      <c r="G34" s="190"/>
      <c r="H34" s="204"/>
      <c r="I34" s="177"/>
    </row>
    <row r="35" s="165" customFormat="1" ht="18.75" customHeight="1" spans="2:9">
      <c r="B35" s="185"/>
      <c r="C35" s="196" t="s">
        <v>1613</v>
      </c>
      <c r="D35" s="187"/>
      <c r="E35" s="201"/>
      <c r="F35" s="189"/>
      <c r="G35" s="190"/>
      <c r="H35" s="202"/>
      <c r="I35" s="177"/>
    </row>
    <row r="36" s="165" customFormat="1" spans="2:9">
      <c r="B36" s="185"/>
      <c r="C36" s="203"/>
      <c r="D36" s="187"/>
      <c r="E36" s="201"/>
      <c r="F36" s="189"/>
      <c r="G36" s="190"/>
      <c r="H36" s="202"/>
      <c r="I36" s="177"/>
    </row>
    <row r="37" s="165" customFormat="1" ht="48" customHeight="1" spans="2:9">
      <c r="B37" s="205"/>
      <c r="C37" s="31" t="s">
        <v>1614</v>
      </c>
      <c r="D37" s="206"/>
      <c r="E37" s="207" t="s">
        <v>1602</v>
      </c>
      <c r="F37" s="208"/>
      <c r="G37" s="209"/>
      <c r="H37" s="202" t="s">
        <v>1602</v>
      </c>
      <c r="I37" s="177"/>
    </row>
    <row r="38" s="165" customFormat="1" spans="2:9">
      <c r="B38" s="185"/>
      <c r="C38" s="26"/>
      <c r="D38" s="187"/>
      <c r="E38" s="201"/>
      <c r="F38" s="189"/>
      <c r="G38" s="190"/>
      <c r="H38" s="202"/>
      <c r="I38" s="177"/>
    </row>
    <row r="39" s="165" customFormat="1" ht="57" customHeight="1" spans="2:9">
      <c r="B39" s="185"/>
      <c r="C39" s="26" t="s">
        <v>1615</v>
      </c>
      <c r="D39" s="187"/>
      <c r="E39" s="201" t="s">
        <v>1602</v>
      </c>
      <c r="F39" s="189"/>
      <c r="G39" s="190"/>
      <c r="H39" s="202" t="s">
        <v>1602</v>
      </c>
      <c r="I39" s="177"/>
    </row>
    <row r="40" s="165" customFormat="1" spans="2:9">
      <c r="B40" s="185"/>
      <c r="C40" s="203"/>
      <c r="D40" s="187"/>
      <c r="E40" s="201"/>
      <c r="F40" s="189"/>
      <c r="G40" s="190"/>
      <c r="H40" s="202"/>
      <c r="I40" s="177"/>
    </row>
    <row r="41" s="165" customFormat="1" ht="18" customHeight="1" spans="2:9">
      <c r="B41" s="185"/>
      <c r="C41" s="196" t="s">
        <v>1616</v>
      </c>
      <c r="D41" s="187"/>
      <c r="E41" s="201"/>
      <c r="F41" s="189"/>
      <c r="G41" s="190"/>
      <c r="H41" s="202"/>
      <c r="I41" s="177"/>
    </row>
    <row r="42" s="165" customFormat="1" spans="2:9">
      <c r="B42" s="185"/>
      <c r="C42" s="26"/>
      <c r="D42" s="187"/>
      <c r="E42" s="201"/>
      <c r="F42" s="189"/>
      <c r="G42" s="190"/>
      <c r="H42" s="202"/>
      <c r="I42" s="177"/>
    </row>
    <row r="43" s="165" customFormat="1" ht="62.25" customHeight="1" spans="2:9">
      <c r="B43" s="185"/>
      <c r="C43" s="26" t="s">
        <v>1617</v>
      </c>
      <c r="D43" s="187"/>
      <c r="E43" s="201" t="s">
        <v>1602</v>
      </c>
      <c r="F43" s="189"/>
      <c r="G43" s="190"/>
      <c r="H43" s="202" t="s">
        <v>1602</v>
      </c>
      <c r="I43" s="177"/>
    </row>
    <row r="44" s="165" customFormat="1" spans="2:9">
      <c r="B44" s="185"/>
      <c r="C44" s="26"/>
      <c r="D44" s="187"/>
      <c r="E44" s="201"/>
      <c r="F44" s="189"/>
      <c r="G44" s="190"/>
      <c r="H44" s="202"/>
      <c r="I44" s="177"/>
    </row>
    <row r="45" s="165" customFormat="1" ht="18" customHeight="1" spans="2:9">
      <c r="B45" s="185"/>
      <c r="C45" s="196" t="s">
        <v>1618</v>
      </c>
      <c r="D45" s="187"/>
      <c r="E45" s="201"/>
      <c r="F45" s="189"/>
      <c r="G45" s="190"/>
      <c r="H45" s="202"/>
      <c r="I45" s="177"/>
    </row>
    <row r="46" s="165" customFormat="1" spans="2:9">
      <c r="B46" s="185"/>
      <c r="C46" s="203"/>
      <c r="D46" s="187"/>
      <c r="E46" s="201"/>
      <c r="F46" s="189"/>
      <c r="G46" s="190"/>
      <c r="H46" s="202"/>
      <c r="I46" s="177"/>
    </row>
    <row r="47" s="165" customFormat="1" ht="69" customHeight="1" spans="2:9">
      <c r="B47" s="185"/>
      <c r="C47" s="26" t="s">
        <v>1619</v>
      </c>
      <c r="D47" s="187"/>
      <c r="E47" s="201" t="s">
        <v>1602</v>
      </c>
      <c r="F47" s="189"/>
      <c r="G47" s="190"/>
      <c r="H47" s="202" t="s">
        <v>1602</v>
      </c>
      <c r="I47" s="177"/>
    </row>
    <row r="48" s="165" customFormat="1" spans="2:9">
      <c r="B48" s="185"/>
      <c r="C48" s="186"/>
      <c r="D48" s="187"/>
      <c r="E48" s="201"/>
      <c r="F48" s="189"/>
      <c r="G48" s="190"/>
      <c r="H48" s="202"/>
      <c r="I48" s="177"/>
    </row>
    <row r="49" s="165" customFormat="1" ht="18" customHeight="1" spans="2:9">
      <c r="B49" s="185" t="s">
        <v>1620</v>
      </c>
      <c r="C49" s="186" t="s">
        <v>1621</v>
      </c>
      <c r="D49" s="187"/>
      <c r="E49" s="201"/>
      <c r="F49" s="189"/>
      <c r="G49" s="190"/>
      <c r="H49" s="202"/>
      <c r="I49" s="177"/>
    </row>
    <row r="50" s="165" customFormat="1" spans="2:9">
      <c r="B50" s="210"/>
      <c r="C50" s="211"/>
      <c r="D50" s="187"/>
      <c r="E50" s="201"/>
      <c r="F50" s="189"/>
      <c r="G50" s="190"/>
      <c r="H50" s="202"/>
      <c r="I50" s="177"/>
    </row>
    <row r="51" s="165" customFormat="1" ht="30.75" customHeight="1" spans="2:9">
      <c r="B51" s="185"/>
      <c r="C51" s="212" t="s">
        <v>1622</v>
      </c>
      <c r="D51" s="187"/>
      <c r="E51" s="201"/>
      <c r="F51" s="189"/>
      <c r="G51" s="190"/>
      <c r="H51" s="202"/>
      <c r="I51" s="177"/>
    </row>
    <row r="52" s="165" customFormat="1" spans="2:9">
      <c r="B52" s="185"/>
      <c r="C52" s="212"/>
      <c r="D52" s="187"/>
      <c r="E52" s="201"/>
      <c r="F52" s="189"/>
      <c r="G52" s="190"/>
      <c r="H52" s="202"/>
      <c r="I52" s="177"/>
    </row>
    <row r="53" s="165" customFormat="1" ht="15.75" customHeight="1" spans="2:9">
      <c r="B53" s="213"/>
      <c r="C53" s="214" t="s">
        <v>1623</v>
      </c>
      <c r="D53" s="187"/>
      <c r="E53" s="201"/>
      <c r="F53" s="189"/>
      <c r="G53" s="190"/>
      <c r="H53" s="202"/>
      <c r="I53" s="177"/>
    </row>
    <row r="54" s="165" customFormat="1" spans="2:9">
      <c r="B54" s="213"/>
      <c r="C54" s="199"/>
      <c r="D54" s="187"/>
      <c r="E54" s="201"/>
      <c r="F54" s="189"/>
      <c r="G54" s="190"/>
      <c r="H54" s="202"/>
      <c r="I54" s="177"/>
    </row>
    <row r="55" s="165" customFormat="1" ht="57" customHeight="1" spans="2:9">
      <c r="B55" s="213"/>
      <c r="C55" s="26" t="s">
        <v>1610</v>
      </c>
      <c r="D55" s="187"/>
      <c r="E55" s="201" t="s">
        <v>1602</v>
      </c>
      <c r="F55" s="189"/>
      <c r="G55" s="190"/>
      <c r="H55" s="202" t="s">
        <v>1602</v>
      </c>
      <c r="I55" s="177"/>
    </row>
    <row r="56" s="165" customFormat="1" spans="2:9">
      <c r="B56" s="213"/>
      <c r="C56" s="26"/>
      <c r="D56" s="187"/>
      <c r="E56" s="201"/>
      <c r="F56" s="189"/>
      <c r="G56" s="190"/>
      <c r="H56" s="202"/>
      <c r="I56" s="177"/>
    </row>
    <row r="57" s="165" customFormat="1" ht="69" customHeight="1" spans="2:9">
      <c r="B57" s="213"/>
      <c r="C57" s="26" t="s">
        <v>1611</v>
      </c>
      <c r="D57" s="187"/>
      <c r="E57" s="201" t="s">
        <v>1602</v>
      </c>
      <c r="F57" s="189"/>
      <c r="G57" s="190"/>
      <c r="H57" s="202" t="s">
        <v>1602</v>
      </c>
      <c r="I57" s="177"/>
    </row>
    <row r="58" s="165" customFormat="1" ht="14.25" customHeight="1" spans="2:9">
      <c r="B58" s="213"/>
      <c r="C58" s="26"/>
      <c r="D58" s="187"/>
      <c r="E58" s="201"/>
      <c r="F58" s="189"/>
      <c r="G58" s="190"/>
      <c r="H58" s="202"/>
      <c r="I58" s="177"/>
    </row>
    <row r="59" s="165" customFormat="1" ht="45" customHeight="1" spans="2:9">
      <c r="B59" s="213"/>
      <c r="C59" s="26" t="s">
        <v>1612</v>
      </c>
      <c r="D59" s="187"/>
      <c r="E59" s="201" t="s">
        <v>1602</v>
      </c>
      <c r="F59" s="189"/>
      <c r="G59" s="190"/>
      <c r="H59" s="204" t="s">
        <v>1602</v>
      </c>
      <c r="I59" s="177"/>
    </row>
    <row r="60" s="165" customFormat="1" spans="2:9">
      <c r="B60" s="213"/>
      <c r="C60" s="26"/>
      <c r="D60" s="187"/>
      <c r="E60" s="201"/>
      <c r="F60" s="189"/>
      <c r="G60" s="190"/>
      <c r="H60" s="202"/>
      <c r="I60" s="177"/>
    </row>
    <row r="61" s="165" customFormat="1" ht="16.5" customHeight="1" spans="2:9">
      <c r="B61" s="213"/>
      <c r="C61" s="196" t="s">
        <v>1613</v>
      </c>
      <c r="D61" s="187"/>
      <c r="E61" s="201"/>
      <c r="F61" s="189"/>
      <c r="G61" s="190"/>
      <c r="H61" s="202"/>
      <c r="I61" s="177"/>
    </row>
    <row r="62" s="165" customFormat="1" spans="2:9">
      <c r="B62" s="213"/>
      <c r="C62" s="203"/>
      <c r="D62" s="187"/>
      <c r="E62" s="201"/>
      <c r="F62" s="189"/>
      <c r="G62" s="190"/>
      <c r="H62" s="202"/>
      <c r="I62" s="177"/>
    </row>
    <row r="63" s="165" customFormat="1" ht="45" customHeight="1" spans="2:9">
      <c r="B63" s="213"/>
      <c r="C63" s="26" t="s">
        <v>1614</v>
      </c>
      <c r="D63" s="187"/>
      <c r="E63" s="201" t="s">
        <v>1602</v>
      </c>
      <c r="F63" s="189"/>
      <c r="G63" s="190"/>
      <c r="H63" s="202" t="s">
        <v>1602</v>
      </c>
      <c r="I63" s="177"/>
    </row>
    <row r="64" s="165" customFormat="1" spans="2:9">
      <c r="B64" s="213"/>
      <c r="C64" s="26"/>
      <c r="D64" s="187"/>
      <c r="E64" s="201"/>
      <c r="F64" s="189"/>
      <c r="G64" s="190"/>
      <c r="H64" s="202"/>
      <c r="I64" s="177"/>
    </row>
    <row r="65" s="165" customFormat="1" ht="48" customHeight="1" spans="2:9">
      <c r="B65" s="213"/>
      <c r="C65" s="26" t="s">
        <v>1624</v>
      </c>
      <c r="D65" s="187"/>
      <c r="E65" s="201" t="s">
        <v>1602</v>
      </c>
      <c r="F65" s="189"/>
      <c r="G65" s="190"/>
      <c r="H65" s="202" t="s">
        <v>1602</v>
      </c>
      <c r="I65" s="177"/>
    </row>
    <row r="66" s="165" customFormat="1" ht="24" customHeight="1" spans="2:9">
      <c r="B66" s="216"/>
      <c r="C66" s="31"/>
      <c r="D66" s="206"/>
      <c r="E66" s="207"/>
      <c r="F66" s="208"/>
      <c r="G66" s="209"/>
      <c r="H66" s="202"/>
      <c r="I66" s="177"/>
    </row>
    <row r="67" s="166" customFormat="1" ht="32.25" customHeight="1" spans="2:9">
      <c r="B67" s="217"/>
      <c r="C67" s="218" t="s">
        <v>1625</v>
      </c>
      <c r="D67" s="219"/>
      <c r="E67" s="220"/>
      <c r="F67" s="221"/>
      <c r="G67" s="222"/>
      <c r="H67" s="223"/>
      <c r="I67" s="250"/>
    </row>
    <row r="68" s="165" customFormat="1" ht="111.75" customHeight="1" spans="2:9">
      <c r="B68" s="213"/>
      <c r="C68" s="26" t="s">
        <v>1626</v>
      </c>
      <c r="D68" s="187"/>
      <c r="E68" s="224"/>
      <c r="F68" s="189"/>
      <c r="G68" s="190"/>
      <c r="H68" s="225"/>
      <c r="I68" s="177"/>
    </row>
    <row r="69" s="165" customFormat="1" spans="2:9">
      <c r="B69" s="213"/>
      <c r="C69" s="26"/>
      <c r="D69" s="187"/>
      <c r="E69" s="224"/>
      <c r="F69" s="189"/>
      <c r="G69" s="190"/>
      <c r="H69" s="225"/>
      <c r="I69" s="177"/>
    </row>
    <row r="70" s="165" customFormat="1" ht="18.75" customHeight="1" spans="2:9">
      <c r="B70" s="185" t="s">
        <v>1627</v>
      </c>
      <c r="C70" s="226" t="s">
        <v>1628</v>
      </c>
      <c r="D70" s="227" t="s">
        <v>1629</v>
      </c>
      <c r="E70" s="228">
        <v>560</v>
      </c>
      <c r="F70" s="229">
        <v>8840</v>
      </c>
      <c r="G70" s="190">
        <f>E70*F70</f>
        <v>4950400</v>
      </c>
      <c r="H70" s="230"/>
      <c r="I70" s="177"/>
    </row>
    <row r="71" s="165" customFormat="1" ht="18.75" customHeight="1" spans="2:9">
      <c r="B71" s="210"/>
      <c r="C71" s="226"/>
      <c r="D71" s="187"/>
      <c r="E71" s="224"/>
      <c r="F71" s="189"/>
      <c r="G71" s="190"/>
      <c r="H71" s="225"/>
      <c r="I71" s="177"/>
    </row>
    <row r="72" s="165" customFormat="1" ht="18.75" customHeight="1" spans="2:9">
      <c r="B72" s="663" t="s">
        <v>1630</v>
      </c>
      <c r="C72" s="226" t="s">
        <v>1631</v>
      </c>
      <c r="D72" s="227" t="s">
        <v>1629</v>
      </c>
      <c r="E72" s="228">
        <v>1124</v>
      </c>
      <c r="F72" s="229">
        <v>7436</v>
      </c>
      <c r="G72" s="190">
        <f>E72*F72</f>
        <v>8358064</v>
      </c>
      <c r="H72" s="225"/>
      <c r="I72" s="177"/>
    </row>
    <row r="73" s="165" customFormat="1" ht="18.75" customHeight="1" spans="2:9">
      <c r="B73" s="210"/>
      <c r="C73" s="226"/>
      <c r="D73" s="187"/>
      <c r="E73" s="224"/>
      <c r="F73" s="189"/>
      <c r="G73" s="190"/>
      <c r="H73" s="225"/>
      <c r="I73" s="177"/>
    </row>
    <row r="74" s="165" customFormat="1" ht="18.75" customHeight="1" spans="2:9">
      <c r="B74" s="663" t="s">
        <v>1632</v>
      </c>
      <c r="C74" s="26" t="s">
        <v>1633</v>
      </c>
      <c r="D74" s="227" t="s">
        <v>1629</v>
      </c>
      <c r="E74" s="228">
        <v>975</v>
      </c>
      <c r="F74" s="229">
        <v>6396</v>
      </c>
      <c r="G74" s="190">
        <f>E74*F74</f>
        <v>6236100</v>
      </c>
      <c r="H74" s="225"/>
      <c r="I74" s="177"/>
    </row>
    <row r="75" s="165" customFormat="1" ht="18.75" customHeight="1" spans="2:9">
      <c r="B75" s="210"/>
      <c r="C75" s="26"/>
      <c r="D75" s="187"/>
      <c r="E75" s="224"/>
      <c r="F75" s="189"/>
      <c r="G75" s="190"/>
      <c r="H75" s="225"/>
      <c r="I75" s="177"/>
    </row>
    <row r="76" s="165" customFormat="1" ht="18.75" customHeight="1" spans="2:9">
      <c r="B76" s="663" t="s">
        <v>1634</v>
      </c>
      <c r="C76" s="26" t="s">
        <v>1635</v>
      </c>
      <c r="D76" s="187" t="s">
        <v>1629</v>
      </c>
      <c r="E76" s="224">
        <v>220</v>
      </c>
      <c r="F76" s="231">
        <v>4680</v>
      </c>
      <c r="G76" s="190">
        <f>E76*F76</f>
        <v>1029600</v>
      </c>
      <c r="H76" s="225"/>
      <c r="I76" s="177"/>
    </row>
    <row r="77" s="165" customFormat="1" ht="18.75" customHeight="1" spans="2:9">
      <c r="B77" s="210"/>
      <c r="C77" s="26"/>
      <c r="D77" s="187"/>
      <c r="E77" s="224"/>
      <c r="F77" s="189"/>
      <c r="G77" s="190"/>
      <c r="H77" s="225"/>
      <c r="I77" s="177"/>
    </row>
    <row r="78" s="165" customFormat="1" ht="18.75" customHeight="1" spans="2:9">
      <c r="B78" s="663" t="s">
        <v>1636</v>
      </c>
      <c r="C78" s="26" t="s">
        <v>1637</v>
      </c>
      <c r="D78" s="187" t="s">
        <v>1629</v>
      </c>
      <c r="E78" s="224">
        <v>205</v>
      </c>
      <c r="F78" s="231">
        <v>6240</v>
      </c>
      <c r="G78" s="190">
        <f>E78*F78</f>
        <v>1279200</v>
      </c>
      <c r="H78" s="225"/>
      <c r="I78" s="177"/>
    </row>
    <row r="79" s="165" customFormat="1" ht="18.75" customHeight="1" spans="2:9">
      <c r="B79" s="210"/>
      <c r="C79" s="26"/>
      <c r="D79" s="187"/>
      <c r="E79" s="224"/>
      <c r="F79" s="189"/>
      <c r="G79" s="190"/>
      <c r="H79" s="225"/>
      <c r="I79" s="177"/>
    </row>
    <row r="80" s="165" customFormat="1" ht="18.75" customHeight="1" spans="2:9">
      <c r="B80" s="663" t="s">
        <v>1638</v>
      </c>
      <c r="C80" s="26" t="s">
        <v>1639</v>
      </c>
      <c r="D80" s="187" t="s">
        <v>1629</v>
      </c>
      <c r="E80" s="224">
        <v>85</v>
      </c>
      <c r="F80" s="231">
        <v>7124</v>
      </c>
      <c r="G80" s="190">
        <f>E80*F80</f>
        <v>605540</v>
      </c>
      <c r="H80" s="225"/>
      <c r="I80" s="177"/>
    </row>
    <row r="81" s="165" customFormat="1" ht="18.75" customHeight="1" spans="2:9">
      <c r="B81" s="210"/>
      <c r="C81" s="26"/>
      <c r="D81" s="187"/>
      <c r="E81" s="224"/>
      <c r="F81" s="189"/>
      <c r="G81" s="190"/>
      <c r="H81" s="225"/>
      <c r="I81" s="177"/>
    </row>
    <row r="82" s="165" customFormat="1" ht="18.75" customHeight="1" spans="2:9">
      <c r="B82" s="663" t="s">
        <v>1640</v>
      </c>
      <c r="C82" s="26" t="s">
        <v>1641</v>
      </c>
      <c r="D82" s="187" t="s">
        <v>1629</v>
      </c>
      <c r="E82" s="224">
        <v>51</v>
      </c>
      <c r="F82" s="231">
        <v>7280</v>
      </c>
      <c r="G82" s="190">
        <f>E82*F82</f>
        <v>371280</v>
      </c>
      <c r="H82" s="225"/>
      <c r="I82" s="177"/>
    </row>
    <row r="83" s="165" customFormat="1" ht="18.75" customHeight="1" spans="2:9">
      <c r="B83" s="185"/>
      <c r="C83" s="26"/>
      <c r="D83" s="187"/>
      <c r="E83" s="224"/>
      <c r="F83" s="189"/>
      <c r="G83" s="190"/>
      <c r="H83" s="225"/>
      <c r="I83" s="177"/>
    </row>
    <row r="84" s="165" customFormat="1" ht="59.25" customHeight="1" spans="2:9">
      <c r="B84" s="663" t="s">
        <v>1642</v>
      </c>
      <c r="C84" s="26" t="s">
        <v>1643</v>
      </c>
      <c r="D84" s="227" t="s">
        <v>1629</v>
      </c>
      <c r="E84" s="224">
        <v>217</v>
      </c>
      <c r="F84" s="229">
        <v>5876</v>
      </c>
      <c r="G84" s="190">
        <f>E84*F84</f>
        <v>1275092</v>
      </c>
      <c r="H84" s="225"/>
      <c r="I84" s="177"/>
    </row>
    <row r="85" s="165" customFormat="1" ht="15.75" customHeight="1" spans="2:9">
      <c r="B85" s="185"/>
      <c r="C85" s="26"/>
      <c r="D85" s="227"/>
      <c r="E85" s="224"/>
      <c r="F85" s="232"/>
      <c r="G85" s="190"/>
      <c r="H85" s="225"/>
      <c r="I85" s="177"/>
    </row>
    <row r="86" s="165" customFormat="1" ht="60.75" customHeight="1" spans="2:9">
      <c r="B86" s="663" t="s">
        <v>1644</v>
      </c>
      <c r="C86" s="26" t="s">
        <v>1645</v>
      </c>
      <c r="D86" s="227" t="s">
        <v>1629</v>
      </c>
      <c r="E86" s="224">
        <v>2210</v>
      </c>
      <c r="F86" s="229">
        <v>6084</v>
      </c>
      <c r="G86" s="190">
        <f>E86*F86</f>
        <v>13445640</v>
      </c>
      <c r="H86" s="225"/>
      <c r="I86" s="177"/>
    </row>
    <row r="87" s="165" customFormat="1" spans="2:9">
      <c r="B87" s="210"/>
      <c r="C87" s="26"/>
      <c r="D87" s="227"/>
      <c r="E87" s="224"/>
      <c r="F87" s="232"/>
      <c r="G87" s="190"/>
      <c r="H87" s="225"/>
      <c r="I87" s="177"/>
    </row>
    <row r="88" s="165" customFormat="1" ht="18.75" customHeight="1" spans="2:9">
      <c r="B88" s="210" t="s">
        <v>1646</v>
      </c>
      <c r="C88" s="214" t="s">
        <v>1647</v>
      </c>
      <c r="D88" s="227"/>
      <c r="E88" s="224"/>
      <c r="F88" s="232"/>
      <c r="G88" s="190"/>
      <c r="H88" s="225"/>
      <c r="I88" s="177"/>
    </row>
    <row r="89" s="165" customFormat="1" spans="2:9">
      <c r="B89" s="210"/>
      <c r="C89" s="214"/>
      <c r="D89" s="227"/>
      <c r="E89" s="224"/>
      <c r="F89" s="232"/>
      <c r="G89" s="190"/>
      <c r="H89" s="225"/>
      <c r="I89" s="177"/>
    </row>
    <row r="90" s="165" customFormat="1" ht="82.5" customHeight="1" spans="2:9">
      <c r="B90" s="185"/>
      <c r="C90" s="26" t="s">
        <v>1648</v>
      </c>
      <c r="D90" s="227" t="s">
        <v>1629</v>
      </c>
      <c r="E90" s="224">
        <v>667</v>
      </c>
      <c r="F90" s="229">
        <v>3120</v>
      </c>
      <c r="G90" s="190">
        <f>E90*F90</f>
        <v>2081040</v>
      </c>
      <c r="H90" s="225"/>
      <c r="I90" s="177"/>
    </row>
    <row r="91" s="165" customFormat="1" spans="2:9">
      <c r="B91" s="210"/>
      <c r="C91" s="26"/>
      <c r="D91" s="227"/>
      <c r="E91" s="224"/>
      <c r="F91" s="232"/>
      <c r="G91" s="190"/>
      <c r="H91" s="225"/>
      <c r="I91" s="177"/>
    </row>
    <row r="92" s="165" customFormat="1" ht="42" customHeight="1" spans="2:9">
      <c r="B92" s="185"/>
      <c r="C92" s="26" t="s">
        <v>1649</v>
      </c>
      <c r="D92" s="227" t="s">
        <v>1629</v>
      </c>
      <c r="E92" s="224">
        <v>667</v>
      </c>
      <c r="F92" s="229">
        <v>8840</v>
      </c>
      <c r="G92" s="190">
        <f>E92*F92</f>
        <v>5896280</v>
      </c>
      <c r="H92" s="225"/>
      <c r="I92" s="177"/>
    </row>
    <row r="93" s="165" customFormat="1" ht="15.75" customHeight="1" spans="2:9">
      <c r="B93" s="233"/>
      <c r="C93" s="31"/>
      <c r="D93" s="234"/>
      <c r="E93" s="235"/>
      <c r="F93" s="236"/>
      <c r="G93" s="209"/>
      <c r="H93" s="225"/>
      <c r="I93" s="177"/>
    </row>
    <row r="94" s="165" customFormat="1" ht="29.25" customHeight="1" spans="2:9">
      <c r="B94" s="237"/>
      <c r="C94" s="238" t="s">
        <v>1650</v>
      </c>
      <c r="D94" s="239"/>
      <c r="E94" s="240"/>
      <c r="F94" s="241"/>
      <c r="G94" s="183"/>
      <c r="H94" s="225"/>
      <c r="I94" s="177"/>
    </row>
    <row r="95" s="165" customFormat="1" spans="2:9">
      <c r="B95" s="210"/>
      <c r="C95" s="26"/>
      <c r="D95" s="227"/>
      <c r="E95" s="224"/>
      <c r="F95" s="232"/>
      <c r="G95" s="190"/>
      <c r="H95" s="225"/>
      <c r="I95" s="177"/>
    </row>
    <row r="96" s="165" customFormat="1" ht="70.5" customHeight="1" spans="2:9">
      <c r="B96" s="185"/>
      <c r="C96" s="26" t="s">
        <v>1651</v>
      </c>
      <c r="D96" s="227" t="s">
        <v>1629</v>
      </c>
      <c r="E96" s="224">
        <v>25</v>
      </c>
      <c r="F96" s="229">
        <v>3120</v>
      </c>
      <c r="G96" s="190">
        <f>E96*F96</f>
        <v>78000</v>
      </c>
      <c r="H96" s="225"/>
      <c r="I96" s="177"/>
    </row>
    <row r="97" s="165" customFormat="1" ht="18.75" customHeight="1" spans="2:9">
      <c r="B97" s="242"/>
      <c r="C97" s="214"/>
      <c r="D97" s="243"/>
      <c r="E97" s="224"/>
      <c r="F97" s="244"/>
      <c r="G97" s="190"/>
      <c r="H97" s="245"/>
      <c r="I97" s="177"/>
    </row>
    <row r="98" s="165" customFormat="1" ht="33.75" customHeight="1" spans="2:9">
      <c r="B98" s="185"/>
      <c r="C98" s="26" t="s">
        <v>1652</v>
      </c>
      <c r="D98" s="227" t="s">
        <v>1629</v>
      </c>
      <c r="E98" s="224">
        <v>25</v>
      </c>
      <c r="F98" s="229">
        <v>13000</v>
      </c>
      <c r="G98" s="190">
        <f>E98*F98</f>
        <v>325000</v>
      </c>
      <c r="H98" s="225"/>
      <c r="I98" s="177"/>
    </row>
    <row r="99" s="165" customFormat="1" spans="2:9">
      <c r="B99" s="210"/>
      <c r="C99" s="26"/>
      <c r="D99" s="227"/>
      <c r="E99" s="224"/>
      <c r="F99" s="232"/>
      <c r="G99" s="190"/>
      <c r="H99" s="225"/>
      <c r="I99" s="177"/>
    </row>
    <row r="100" s="165" customFormat="1" ht="21.75" customHeight="1" spans="2:9">
      <c r="B100" s="185" t="s">
        <v>1653</v>
      </c>
      <c r="C100" s="196" t="s">
        <v>1616</v>
      </c>
      <c r="D100" s="227"/>
      <c r="E100" s="224"/>
      <c r="F100" s="232"/>
      <c r="G100" s="190"/>
      <c r="H100" s="225"/>
      <c r="I100" s="177"/>
    </row>
    <row r="101" s="165" customFormat="1" ht="58.5" customHeight="1" spans="2:9">
      <c r="B101" s="210"/>
      <c r="C101" s="26" t="s">
        <v>1617</v>
      </c>
      <c r="D101" s="227"/>
      <c r="E101" s="224"/>
      <c r="F101" s="232"/>
      <c r="G101" s="190"/>
      <c r="H101" s="225"/>
      <c r="I101" s="177"/>
    </row>
    <row r="102" s="165" customFormat="1" spans="2:9">
      <c r="B102" s="213"/>
      <c r="C102" s="26"/>
      <c r="D102" s="227"/>
      <c r="E102" s="224"/>
      <c r="F102" s="232"/>
      <c r="G102" s="190"/>
      <c r="H102" s="225"/>
      <c r="I102" s="177"/>
    </row>
    <row r="103" s="165" customFormat="1" ht="31.5" customHeight="1" spans="2:9">
      <c r="B103" s="210"/>
      <c r="C103" s="26" t="s">
        <v>1654</v>
      </c>
      <c r="D103" s="227"/>
      <c r="E103" s="224"/>
      <c r="F103" s="232"/>
      <c r="G103" s="190"/>
      <c r="H103" s="225"/>
      <c r="I103" s="177"/>
    </row>
    <row r="104" s="165" customFormat="1" ht="21" customHeight="1" spans="2:9">
      <c r="B104" s="210"/>
      <c r="C104" s="26" t="s">
        <v>1655</v>
      </c>
      <c r="D104" s="227"/>
      <c r="E104" s="224"/>
      <c r="F104" s="232"/>
      <c r="G104" s="190"/>
      <c r="H104" s="225"/>
      <c r="I104" s="177"/>
    </row>
    <row r="105" s="165" customFormat="1" ht="20.25" customHeight="1" spans="2:9">
      <c r="B105" s="210"/>
      <c r="C105" s="26" t="s">
        <v>1656</v>
      </c>
      <c r="D105" s="227"/>
      <c r="E105" s="224"/>
      <c r="F105" s="232"/>
      <c r="G105" s="190"/>
      <c r="H105" s="225"/>
      <c r="I105" s="177"/>
    </row>
    <row r="106" s="165" customFormat="1" spans="2:9">
      <c r="B106" s="210"/>
      <c r="C106" s="26"/>
      <c r="D106" s="227"/>
      <c r="E106" s="224"/>
      <c r="F106" s="232"/>
      <c r="G106" s="190"/>
      <c r="H106" s="225"/>
      <c r="I106" s="177"/>
    </row>
    <row r="107" s="165" customFormat="1" ht="21" customHeight="1" spans="2:9">
      <c r="B107" s="185" t="s">
        <v>1657</v>
      </c>
      <c r="C107" s="80" t="s">
        <v>1658</v>
      </c>
      <c r="D107" s="227"/>
      <c r="E107" s="224"/>
      <c r="F107" s="232"/>
      <c r="G107" s="190"/>
      <c r="H107" s="225"/>
      <c r="I107" s="177"/>
    </row>
    <row r="108" s="165" customFormat="1" ht="41.4" spans="2:9">
      <c r="B108" s="242"/>
      <c r="C108" s="26" t="s">
        <v>1659</v>
      </c>
      <c r="D108" s="227"/>
      <c r="E108" s="224"/>
      <c r="F108" s="232"/>
      <c r="G108" s="190"/>
      <c r="H108" s="225"/>
      <c r="I108" s="177"/>
    </row>
    <row r="109" s="165" customFormat="1" ht="18.75" customHeight="1" spans="2:9">
      <c r="B109" s="210"/>
      <c r="C109" s="26" t="s">
        <v>1660</v>
      </c>
      <c r="D109" s="227"/>
      <c r="E109" s="224"/>
      <c r="F109" s="232"/>
      <c r="G109" s="190"/>
      <c r="H109" s="225"/>
      <c r="I109" s="177"/>
    </row>
    <row r="110" s="165" customFormat="1" ht="18.75" customHeight="1" spans="2:9">
      <c r="B110" s="210"/>
      <c r="C110" s="26" t="s">
        <v>1661</v>
      </c>
      <c r="D110" s="227"/>
      <c r="E110" s="224"/>
      <c r="F110" s="232"/>
      <c r="G110" s="190"/>
      <c r="H110" s="225"/>
      <c r="I110" s="177"/>
    </row>
    <row r="111" s="165" customFormat="1" ht="18.75" customHeight="1" spans="2:9">
      <c r="B111" s="210"/>
      <c r="C111" s="26" t="s">
        <v>1662</v>
      </c>
      <c r="D111" s="227"/>
      <c r="E111" s="224"/>
      <c r="F111" s="232"/>
      <c r="G111" s="190"/>
      <c r="H111" s="246"/>
      <c r="I111" s="177"/>
    </row>
    <row r="112" s="165" customFormat="1" ht="18.75" customHeight="1" spans="2:9">
      <c r="B112" s="210"/>
      <c r="C112" s="26" t="s">
        <v>1663</v>
      </c>
      <c r="D112" s="227"/>
      <c r="E112" s="224"/>
      <c r="F112" s="232"/>
      <c r="G112" s="190"/>
      <c r="H112" s="246"/>
      <c r="I112" s="177"/>
    </row>
    <row r="113" s="165" customFormat="1" ht="18.75" customHeight="1" spans="2:9">
      <c r="B113" s="210"/>
      <c r="C113" s="26" t="s">
        <v>1664</v>
      </c>
      <c r="D113" s="227"/>
      <c r="E113" s="224"/>
      <c r="F113" s="232"/>
      <c r="G113" s="190"/>
      <c r="H113" s="246"/>
      <c r="I113" s="177"/>
    </row>
    <row r="114" s="165" customFormat="1" ht="18.75" customHeight="1" spans="2:9">
      <c r="B114" s="210"/>
      <c r="C114" s="26" t="s">
        <v>1665</v>
      </c>
      <c r="D114" s="227"/>
      <c r="E114" s="224"/>
      <c r="F114" s="232"/>
      <c r="G114" s="190"/>
      <c r="H114" s="225"/>
      <c r="I114" s="177"/>
    </row>
    <row r="115" s="165" customFormat="1" ht="18.75" customHeight="1" spans="2:9">
      <c r="B115" s="210"/>
      <c r="C115" s="26" t="s">
        <v>1666</v>
      </c>
      <c r="D115" s="227"/>
      <c r="E115" s="224"/>
      <c r="F115" s="232"/>
      <c r="G115" s="190"/>
      <c r="H115" s="225"/>
      <c r="I115" s="177"/>
    </row>
    <row r="116" s="165" customFormat="1" ht="18.75" customHeight="1" spans="2:9">
      <c r="B116" s="210"/>
      <c r="C116" s="26" t="s">
        <v>1667</v>
      </c>
      <c r="D116" s="227"/>
      <c r="E116" s="224"/>
      <c r="F116" s="232"/>
      <c r="G116" s="190"/>
      <c r="H116" s="225"/>
      <c r="I116" s="177"/>
    </row>
    <row r="117" s="165" customFormat="1" ht="18.75" customHeight="1" spans="2:9">
      <c r="B117" s="210"/>
      <c r="C117" s="26" t="s">
        <v>1668</v>
      </c>
      <c r="D117" s="227"/>
      <c r="E117" s="224"/>
      <c r="F117" s="232"/>
      <c r="G117" s="190"/>
      <c r="H117" s="225"/>
      <c r="I117" s="177"/>
    </row>
    <row r="118" s="165" customFormat="1" ht="18.75" customHeight="1" spans="2:9">
      <c r="B118" s="210"/>
      <c r="C118" s="26" t="s">
        <v>1669</v>
      </c>
      <c r="D118" s="227"/>
      <c r="E118" s="224"/>
      <c r="F118" s="232"/>
      <c r="G118" s="190"/>
      <c r="H118" s="225"/>
      <c r="I118" s="177"/>
    </row>
    <row r="119" s="165" customFormat="1" ht="18.75" customHeight="1" spans="2:9">
      <c r="B119" s="210"/>
      <c r="C119" s="26" t="s">
        <v>1670</v>
      </c>
      <c r="D119" s="227"/>
      <c r="E119" s="224"/>
      <c r="F119" s="232"/>
      <c r="G119" s="190"/>
      <c r="H119" s="225"/>
      <c r="I119" s="177"/>
    </row>
    <row r="120" s="165" customFormat="1" ht="18.75" customHeight="1" spans="2:9">
      <c r="B120" s="210"/>
      <c r="C120" s="26" t="s">
        <v>1671</v>
      </c>
      <c r="D120" s="227"/>
      <c r="E120" s="224"/>
      <c r="F120" s="232"/>
      <c r="G120" s="190"/>
      <c r="H120" s="225"/>
      <c r="I120" s="177"/>
    </row>
    <row r="121" s="165" customFormat="1" ht="18.75" customHeight="1" spans="2:9">
      <c r="B121" s="210"/>
      <c r="C121" s="247" t="s">
        <v>1672</v>
      </c>
      <c r="D121" s="227"/>
      <c r="E121" s="224"/>
      <c r="F121" s="232"/>
      <c r="G121" s="190"/>
      <c r="H121" s="225"/>
      <c r="I121" s="177"/>
    </row>
    <row r="122" s="165" customFormat="1" ht="18.75" customHeight="1" spans="2:9">
      <c r="B122" s="210"/>
      <c r="C122" s="247" t="s">
        <v>1673</v>
      </c>
      <c r="D122" s="227" t="s">
        <v>1629</v>
      </c>
      <c r="E122" s="224">
        <v>1</v>
      </c>
      <c r="F122" s="229">
        <v>9100000</v>
      </c>
      <c r="G122" s="190">
        <f>E122*F122</f>
        <v>9100000</v>
      </c>
      <c r="H122" s="225"/>
      <c r="I122" s="177"/>
    </row>
    <row r="123" s="165" customFormat="1" ht="24" customHeight="1" spans="2:9">
      <c r="B123" s="210"/>
      <c r="C123" s="247" t="s">
        <v>1674</v>
      </c>
      <c r="D123" s="227"/>
      <c r="E123" s="224"/>
      <c r="F123" s="232"/>
      <c r="G123" s="190"/>
      <c r="H123" s="248"/>
      <c r="I123" s="177"/>
    </row>
    <row r="124" s="165" customFormat="1" ht="22.5" customHeight="1" spans="2:9">
      <c r="B124" s="210"/>
      <c r="C124" s="247" t="s">
        <v>1675</v>
      </c>
      <c r="D124" s="227"/>
      <c r="E124" s="224"/>
      <c r="F124" s="232"/>
      <c r="G124" s="190"/>
      <c r="H124" s="248"/>
      <c r="I124" s="177"/>
    </row>
    <row r="125" s="165" customFormat="1" ht="50.25" customHeight="1" spans="2:9">
      <c r="B125" s="233"/>
      <c r="C125" s="249" t="s">
        <v>1676</v>
      </c>
      <c r="D125" s="234"/>
      <c r="E125" s="235"/>
      <c r="F125" s="236"/>
      <c r="G125" s="209"/>
      <c r="H125" s="248"/>
      <c r="I125" s="177"/>
    </row>
    <row r="126" s="165" customFormat="1" ht="17.25" customHeight="1" spans="2:9">
      <c r="B126" s="210"/>
      <c r="C126" s="247"/>
      <c r="D126" s="227"/>
      <c r="E126" s="224"/>
      <c r="F126" s="232"/>
      <c r="G126" s="190"/>
      <c r="H126" s="248"/>
      <c r="I126" s="177"/>
    </row>
    <row r="127" s="165" customFormat="1" ht="81.75" customHeight="1" spans="2:9">
      <c r="B127" s="210"/>
      <c r="C127" s="247" t="s">
        <v>1677</v>
      </c>
      <c r="D127" s="227"/>
      <c r="E127" s="224"/>
      <c r="F127" s="232"/>
      <c r="G127" s="190"/>
      <c r="H127" s="248"/>
      <c r="I127" s="177"/>
    </row>
    <row r="128" s="165" customFormat="1" spans="2:9">
      <c r="B128" s="210"/>
      <c r="C128" s="247"/>
      <c r="D128" s="227"/>
      <c r="E128" s="224"/>
      <c r="F128" s="232"/>
      <c r="G128" s="190"/>
      <c r="H128" s="248"/>
      <c r="I128" s="177"/>
    </row>
    <row r="129" s="165" customFormat="1" ht="18.75" customHeight="1" spans="2:9">
      <c r="B129" s="185" t="s">
        <v>1678</v>
      </c>
      <c r="C129" s="196" t="s">
        <v>1679</v>
      </c>
      <c r="D129" s="227"/>
      <c r="E129" s="251"/>
      <c r="F129" s="232"/>
      <c r="G129" s="190"/>
      <c r="H129" s="248"/>
      <c r="I129" s="177"/>
    </row>
    <row r="130" s="165" customFormat="1" spans="2:9">
      <c r="B130" s="242"/>
      <c r="C130" s="243"/>
      <c r="D130" s="227"/>
      <c r="E130" s="243"/>
      <c r="F130" s="232"/>
      <c r="G130" s="190"/>
      <c r="H130" s="248"/>
      <c r="I130" s="177"/>
    </row>
    <row r="131" s="165" customFormat="1" ht="46.5" customHeight="1" spans="2:9">
      <c r="B131" s="242"/>
      <c r="C131" s="192" t="s">
        <v>1659</v>
      </c>
      <c r="D131" s="227"/>
      <c r="E131" s="243"/>
      <c r="F131" s="232"/>
      <c r="G131" s="190"/>
      <c r="H131" s="248"/>
      <c r="I131" s="177"/>
    </row>
    <row r="132" s="165" customFormat="1" ht="18" customHeight="1" spans="2:9">
      <c r="B132" s="242"/>
      <c r="C132" s="226" t="s">
        <v>1672</v>
      </c>
      <c r="D132" s="227"/>
      <c r="E132" s="243"/>
      <c r="F132" s="232"/>
      <c r="G132" s="190"/>
      <c r="H132" s="248"/>
      <c r="I132" s="177"/>
    </row>
    <row r="133" s="165" customFormat="1" ht="18" customHeight="1" spans="2:9">
      <c r="B133" s="242"/>
      <c r="C133" s="226" t="s">
        <v>1680</v>
      </c>
      <c r="D133" s="227"/>
      <c r="E133" s="243"/>
      <c r="F133" s="232"/>
      <c r="G133" s="190"/>
      <c r="H133" s="248"/>
      <c r="I133" s="177"/>
    </row>
    <row r="134" s="165" customFormat="1" ht="18" customHeight="1" spans="2:9">
      <c r="B134" s="242"/>
      <c r="C134" s="252" t="s">
        <v>1681</v>
      </c>
      <c r="D134" s="227"/>
      <c r="E134" s="243"/>
      <c r="F134" s="232"/>
      <c r="G134" s="190"/>
      <c r="H134" s="248"/>
      <c r="I134" s="177"/>
    </row>
    <row r="135" s="165" customFormat="1" ht="18" customHeight="1" spans="2:9">
      <c r="B135" s="242"/>
      <c r="C135" s="243" t="s">
        <v>1682</v>
      </c>
      <c r="D135" s="227"/>
      <c r="E135" s="243"/>
      <c r="F135" s="232"/>
      <c r="G135" s="190"/>
      <c r="H135" s="248"/>
      <c r="I135" s="177"/>
    </row>
    <row r="136" s="165" customFormat="1" ht="18" customHeight="1" spans="2:9">
      <c r="B136" s="242"/>
      <c r="C136" s="252" t="s">
        <v>1683</v>
      </c>
      <c r="D136" s="227"/>
      <c r="E136" s="251"/>
      <c r="F136" s="232"/>
      <c r="G136" s="190"/>
      <c r="H136" s="248"/>
      <c r="I136" s="177"/>
    </row>
    <row r="137" s="165" customFormat="1" ht="28.5" customHeight="1" spans="2:9">
      <c r="B137" s="242"/>
      <c r="C137" s="252" t="s">
        <v>1676</v>
      </c>
      <c r="D137" s="227"/>
      <c r="E137" s="251"/>
      <c r="F137" s="232"/>
      <c r="G137" s="190"/>
      <c r="H137" s="248"/>
      <c r="I137" s="177"/>
    </row>
    <row r="138" s="165" customFormat="1" ht="12.75" customHeight="1" spans="2:9">
      <c r="B138" s="242"/>
      <c r="C138" s="252"/>
      <c r="D138" s="227"/>
      <c r="E138" s="251"/>
      <c r="F138" s="232"/>
      <c r="G138" s="190"/>
      <c r="H138" s="248"/>
      <c r="I138" s="177"/>
    </row>
    <row r="139" s="165" customFormat="1" ht="81.75" customHeight="1" spans="2:9">
      <c r="B139" s="242"/>
      <c r="C139" s="247" t="s">
        <v>1684</v>
      </c>
      <c r="D139" s="227"/>
      <c r="E139" s="251">
        <v>1</v>
      </c>
      <c r="F139" s="229">
        <v>223600</v>
      </c>
      <c r="G139" s="190">
        <f>E139*F139</f>
        <v>223600</v>
      </c>
      <c r="H139" s="248"/>
      <c r="I139" s="177"/>
    </row>
    <row r="140" s="165" customFormat="1" spans="2:9">
      <c r="B140" s="210"/>
      <c r="C140" s="26"/>
      <c r="D140" s="227"/>
      <c r="E140" s="224"/>
      <c r="F140" s="232"/>
      <c r="G140" s="190"/>
      <c r="H140" s="248"/>
      <c r="I140" s="177"/>
    </row>
    <row r="141" s="165" customFormat="1" ht="17.25" customHeight="1" spans="2:9">
      <c r="B141" s="185" t="s">
        <v>1685</v>
      </c>
      <c r="C141" s="196" t="s">
        <v>1686</v>
      </c>
      <c r="D141" s="227"/>
      <c r="E141" s="251"/>
      <c r="F141" s="232"/>
      <c r="G141" s="190"/>
      <c r="H141" s="248"/>
      <c r="I141" s="177"/>
    </row>
    <row r="142" s="165" customFormat="1" spans="2:9">
      <c r="B142" s="242"/>
      <c r="C142" s="243"/>
      <c r="D142" s="227"/>
      <c r="E142" s="243"/>
      <c r="F142" s="232"/>
      <c r="G142" s="190"/>
      <c r="H142" s="248"/>
      <c r="I142" s="177"/>
    </row>
    <row r="143" s="165" customFormat="1" ht="45.75" customHeight="1" spans="2:9">
      <c r="B143" s="242"/>
      <c r="C143" s="192" t="s">
        <v>1659</v>
      </c>
      <c r="D143" s="227"/>
      <c r="E143" s="243"/>
      <c r="F143" s="232"/>
      <c r="G143" s="190"/>
      <c r="H143" s="248"/>
      <c r="I143" s="177"/>
    </row>
    <row r="144" s="165" customFormat="1" ht="22.5" customHeight="1" spans="2:9">
      <c r="B144" s="242"/>
      <c r="C144" s="226" t="s">
        <v>1672</v>
      </c>
      <c r="D144" s="227"/>
      <c r="E144" s="243"/>
      <c r="F144" s="232"/>
      <c r="G144" s="190"/>
      <c r="H144" s="253"/>
      <c r="I144" s="177"/>
    </row>
    <row r="145" s="165" customFormat="1" ht="22.5" customHeight="1" spans="2:9">
      <c r="B145" s="242"/>
      <c r="C145" s="226" t="s">
        <v>1680</v>
      </c>
      <c r="D145" s="227"/>
      <c r="E145" s="243"/>
      <c r="F145" s="232"/>
      <c r="G145" s="190"/>
      <c r="H145" s="248"/>
      <c r="I145" s="177"/>
    </row>
    <row r="146" s="165" customFormat="1" ht="22.5" customHeight="1" spans="2:9">
      <c r="B146" s="242"/>
      <c r="C146" s="252" t="s">
        <v>1687</v>
      </c>
      <c r="D146" s="227"/>
      <c r="E146" s="243"/>
      <c r="F146" s="232"/>
      <c r="G146" s="190"/>
      <c r="H146" s="248"/>
      <c r="I146" s="177"/>
    </row>
    <row r="147" s="165" customFormat="1" ht="22.5" customHeight="1" spans="2:9">
      <c r="B147" s="242"/>
      <c r="C147" s="243" t="s">
        <v>1682</v>
      </c>
      <c r="D147" s="227"/>
      <c r="E147" s="243"/>
      <c r="F147" s="232"/>
      <c r="G147" s="190"/>
      <c r="H147" s="248"/>
      <c r="I147" s="177"/>
    </row>
    <row r="148" s="165" customFormat="1" ht="22.5" customHeight="1" spans="2:9">
      <c r="B148" s="242"/>
      <c r="C148" s="252" t="s">
        <v>1688</v>
      </c>
      <c r="D148" s="227"/>
      <c r="E148" s="251"/>
      <c r="F148" s="232"/>
      <c r="G148" s="190"/>
      <c r="H148" s="248"/>
      <c r="I148" s="177"/>
    </row>
    <row r="149" s="165" customFormat="1" ht="38.25" customHeight="1" spans="2:9">
      <c r="B149" s="242"/>
      <c r="C149" s="192" t="s">
        <v>1676</v>
      </c>
      <c r="D149" s="227"/>
      <c r="E149" s="251"/>
      <c r="F149" s="232"/>
      <c r="G149" s="190"/>
      <c r="H149" s="248"/>
      <c r="I149" s="177"/>
    </row>
    <row r="150" s="165" customFormat="1" ht="84" customHeight="1" spans="2:9">
      <c r="B150" s="242"/>
      <c r="C150" s="247" t="s">
        <v>1684</v>
      </c>
      <c r="D150" s="227"/>
      <c r="E150" s="251">
        <v>1</v>
      </c>
      <c r="F150" s="229">
        <v>324480</v>
      </c>
      <c r="G150" s="190">
        <f>E150*F150</f>
        <v>324480</v>
      </c>
      <c r="H150" s="248"/>
      <c r="I150" s="177"/>
    </row>
    <row r="151" s="165" customFormat="1" spans="2:9">
      <c r="B151" s="242"/>
      <c r="C151" s="247"/>
      <c r="D151" s="227"/>
      <c r="E151" s="251"/>
      <c r="F151" s="232"/>
      <c r="G151" s="190"/>
      <c r="H151" s="248"/>
      <c r="I151" s="177"/>
    </row>
    <row r="152" s="165" customFormat="1" ht="18" customHeight="1" spans="2:9">
      <c r="B152" s="185" t="s">
        <v>1689</v>
      </c>
      <c r="C152" s="196" t="s">
        <v>1690</v>
      </c>
      <c r="D152" s="227"/>
      <c r="E152" s="251"/>
      <c r="F152" s="232"/>
      <c r="G152" s="190"/>
      <c r="H152" s="248"/>
      <c r="I152" s="177"/>
    </row>
    <row r="153" s="165" customFormat="1" spans="2:9">
      <c r="B153" s="242"/>
      <c r="C153" s="243"/>
      <c r="D153" s="227"/>
      <c r="E153" s="243"/>
      <c r="F153" s="232"/>
      <c r="G153" s="190"/>
      <c r="H153" s="248"/>
      <c r="I153" s="177"/>
    </row>
    <row r="154" s="165" customFormat="1" ht="45.75" customHeight="1" spans="2:9">
      <c r="B154" s="242"/>
      <c r="C154" s="192" t="s">
        <v>1659</v>
      </c>
      <c r="D154" s="227"/>
      <c r="E154" s="243"/>
      <c r="F154" s="232"/>
      <c r="G154" s="190"/>
      <c r="H154" s="248"/>
      <c r="I154" s="177"/>
    </row>
    <row r="155" s="165" customFormat="1" ht="24.75" customHeight="1" spans="2:9">
      <c r="B155" s="254"/>
      <c r="C155" s="255" t="s">
        <v>1672</v>
      </c>
      <c r="D155" s="234"/>
      <c r="E155" s="256"/>
      <c r="F155" s="236"/>
      <c r="G155" s="209"/>
      <c r="H155" s="248"/>
      <c r="I155" s="177"/>
    </row>
    <row r="156" s="166" customFormat="1" ht="24" customHeight="1" spans="2:9">
      <c r="B156" s="257"/>
      <c r="C156" s="258" t="s">
        <v>1691</v>
      </c>
      <c r="D156" s="259"/>
      <c r="E156" s="260"/>
      <c r="F156" s="261"/>
      <c r="G156" s="222"/>
      <c r="H156" s="223"/>
      <c r="I156" s="250"/>
    </row>
    <row r="157" s="165" customFormat="1" ht="18" customHeight="1" spans="2:9">
      <c r="B157" s="242"/>
      <c r="C157" s="252" t="s">
        <v>1692</v>
      </c>
      <c r="D157" s="227"/>
      <c r="E157" s="243"/>
      <c r="F157" s="232"/>
      <c r="G157" s="190"/>
      <c r="H157" s="248"/>
      <c r="I157" s="177"/>
    </row>
    <row r="158" s="165" customFormat="1" ht="18" customHeight="1" spans="2:9">
      <c r="B158" s="242"/>
      <c r="C158" s="252" t="s">
        <v>1693</v>
      </c>
      <c r="D158" s="227"/>
      <c r="E158" s="243"/>
      <c r="F158" s="232"/>
      <c r="G158" s="190"/>
      <c r="H158" s="248"/>
      <c r="I158" s="177"/>
    </row>
    <row r="159" s="165" customFormat="1" ht="18" customHeight="1" spans="2:9">
      <c r="B159" s="242"/>
      <c r="C159" s="252" t="s">
        <v>1694</v>
      </c>
      <c r="D159" s="227"/>
      <c r="E159" s="251"/>
      <c r="F159" s="232"/>
      <c r="G159" s="190"/>
      <c r="H159" s="248"/>
      <c r="I159" s="177"/>
    </row>
    <row r="160" s="165" customFormat="1" ht="18" customHeight="1" spans="2:9">
      <c r="B160" s="242"/>
      <c r="C160" s="252" t="s">
        <v>1695</v>
      </c>
      <c r="D160" s="227"/>
      <c r="E160" s="251"/>
      <c r="F160" s="232"/>
      <c r="G160" s="190"/>
      <c r="H160" s="248"/>
      <c r="I160" s="177"/>
    </row>
    <row r="161" s="165" customFormat="1" ht="18" customHeight="1" spans="2:9">
      <c r="B161" s="242"/>
      <c r="C161" s="252" t="s">
        <v>1696</v>
      </c>
      <c r="D161" s="227"/>
      <c r="E161" s="251"/>
      <c r="F161" s="232"/>
      <c r="G161" s="190"/>
      <c r="H161" s="248"/>
      <c r="I161" s="177"/>
    </row>
    <row r="162" s="165" customFormat="1" ht="18" customHeight="1" spans="2:9">
      <c r="B162" s="242"/>
      <c r="C162" s="252" t="s">
        <v>1697</v>
      </c>
      <c r="D162" s="227"/>
      <c r="E162" s="251"/>
      <c r="F162" s="232"/>
      <c r="G162" s="190"/>
      <c r="H162" s="248"/>
      <c r="I162" s="177"/>
    </row>
    <row r="163" s="165" customFormat="1" ht="35.25" customHeight="1" spans="2:9">
      <c r="B163" s="242"/>
      <c r="C163" s="192" t="s">
        <v>1676</v>
      </c>
      <c r="D163" s="227"/>
      <c r="E163" s="251"/>
      <c r="F163" s="232"/>
      <c r="G163" s="190"/>
      <c r="H163" s="248"/>
      <c r="I163" s="177"/>
    </row>
    <row r="164" s="165" customFormat="1" ht="84" customHeight="1" spans="2:9">
      <c r="B164" s="242"/>
      <c r="C164" s="247" t="s">
        <v>1684</v>
      </c>
      <c r="D164" s="227"/>
      <c r="E164" s="251">
        <v>1</v>
      </c>
      <c r="F164" s="229">
        <v>312000</v>
      </c>
      <c r="G164" s="190">
        <f>E164*F164</f>
        <v>312000</v>
      </c>
      <c r="H164" s="248"/>
      <c r="I164" s="177"/>
    </row>
    <row r="165" s="165" customFormat="1" spans="2:9">
      <c r="B165" s="242"/>
      <c r="C165" s="247"/>
      <c r="D165" s="227"/>
      <c r="E165" s="251"/>
      <c r="F165" s="232"/>
      <c r="G165" s="190"/>
      <c r="H165" s="253"/>
      <c r="I165" s="177"/>
    </row>
    <row r="166" s="165" customFormat="1" spans="2:9">
      <c r="B166" s="185" t="s">
        <v>1698</v>
      </c>
      <c r="C166" s="196" t="s">
        <v>1699</v>
      </c>
      <c r="D166" s="227"/>
      <c r="E166" s="251"/>
      <c r="F166" s="232"/>
      <c r="G166" s="190"/>
      <c r="H166" s="248"/>
      <c r="I166" s="177"/>
    </row>
    <row r="167" s="165" customFormat="1" spans="2:9">
      <c r="B167" s="242"/>
      <c r="C167" s="243"/>
      <c r="D167" s="227"/>
      <c r="E167" s="243"/>
      <c r="F167" s="232"/>
      <c r="G167" s="190"/>
      <c r="H167" s="248"/>
      <c r="I167" s="177"/>
    </row>
    <row r="168" s="165" customFormat="1" ht="45" customHeight="1" spans="2:9">
      <c r="B168" s="242"/>
      <c r="C168" s="192" t="s">
        <v>1659</v>
      </c>
      <c r="D168" s="227"/>
      <c r="E168" s="243"/>
      <c r="F168" s="232"/>
      <c r="G168" s="190"/>
      <c r="H168" s="248"/>
      <c r="I168" s="177"/>
    </row>
    <row r="169" s="165" customFormat="1" ht="18.75" customHeight="1" spans="2:9">
      <c r="B169" s="242"/>
      <c r="C169" s="226" t="s">
        <v>1672</v>
      </c>
      <c r="D169" s="227"/>
      <c r="E169" s="243"/>
      <c r="F169" s="232"/>
      <c r="G169" s="190"/>
      <c r="H169" s="248"/>
      <c r="I169" s="177"/>
    </row>
    <row r="170" s="165" customFormat="1" ht="21" customHeight="1" spans="2:9">
      <c r="B170" s="242"/>
      <c r="C170" s="252" t="s">
        <v>1700</v>
      </c>
      <c r="D170" s="227"/>
      <c r="E170" s="243"/>
      <c r="F170" s="232"/>
      <c r="G170" s="190"/>
      <c r="H170" s="248"/>
      <c r="I170" s="177"/>
    </row>
    <row r="171" s="166" customFormat="1" ht="23.25" customHeight="1" spans="2:9">
      <c r="B171" s="257"/>
      <c r="C171" s="262" t="s">
        <v>1693</v>
      </c>
      <c r="D171" s="259"/>
      <c r="E171" s="260"/>
      <c r="F171" s="261"/>
      <c r="G171" s="222"/>
      <c r="H171" s="223"/>
      <c r="I171" s="250"/>
    </row>
    <row r="172" s="165" customFormat="1" ht="18.75" customHeight="1" spans="2:9">
      <c r="B172" s="242"/>
      <c r="C172" s="252" t="s">
        <v>1701</v>
      </c>
      <c r="D172" s="227"/>
      <c r="E172" s="243"/>
      <c r="F172" s="232"/>
      <c r="G172" s="190"/>
      <c r="H172" s="248"/>
      <c r="I172" s="177"/>
    </row>
    <row r="173" s="165" customFormat="1" ht="18.75" customHeight="1" spans="2:9">
      <c r="B173" s="242"/>
      <c r="C173" s="252" t="s">
        <v>1702</v>
      </c>
      <c r="D173" s="227"/>
      <c r="E173" s="243"/>
      <c r="F173" s="232"/>
      <c r="G173" s="190"/>
      <c r="H173" s="248"/>
      <c r="I173" s="177"/>
    </row>
    <row r="174" s="165" customFormat="1" ht="18.75" customHeight="1" spans="2:9">
      <c r="B174" s="242"/>
      <c r="C174" s="252" t="s">
        <v>1696</v>
      </c>
      <c r="D174" s="227"/>
      <c r="E174" s="251"/>
      <c r="F174" s="232"/>
      <c r="G174" s="190"/>
      <c r="H174" s="248"/>
      <c r="I174" s="177"/>
    </row>
    <row r="175" s="165" customFormat="1" ht="18.75" customHeight="1" spans="2:9">
      <c r="B175" s="242"/>
      <c r="C175" s="252" t="s">
        <v>1697</v>
      </c>
      <c r="D175" s="227"/>
      <c r="E175" s="251"/>
      <c r="F175" s="232"/>
      <c r="G175" s="190"/>
      <c r="H175" s="248"/>
      <c r="I175" s="177"/>
    </row>
    <row r="176" s="165" customFormat="1" ht="37.5" customHeight="1" spans="2:9">
      <c r="B176" s="242"/>
      <c r="C176" s="192" t="s">
        <v>1676</v>
      </c>
      <c r="D176" s="227"/>
      <c r="E176" s="251"/>
      <c r="F176" s="232"/>
      <c r="G176" s="190"/>
      <c r="H176" s="248"/>
      <c r="I176" s="177"/>
    </row>
    <row r="177" s="165" customFormat="1" ht="81.75" customHeight="1" spans="2:9">
      <c r="B177" s="242"/>
      <c r="C177" s="247" t="s">
        <v>1684</v>
      </c>
      <c r="D177" s="227"/>
      <c r="E177" s="251">
        <v>1</v>
      </c>
      <c r="F177" s="229">
        <v>239200</v>
      </c>
      <c r="G177" s="190">
        <f>E177*F177</f>
        <v>239200</v>
      </c>
      <c r="H177" s="248"/>
      <c r="I177" s="177"/>
    </row>
    <row r="178" s="165" customFormat="1" spans="2:9">
      <c r="B178" s="242"/>
      <c r="C178" s="247"/>
      <c r="D178" s="227"/>
      <c r="E178" s="251"/>
      <c r="F178" s="232"/>
      <c r="G178" s="190"/>
      <c r="H178" s="248"/>
      <c r="I178" s="177"/>
    </row>
    <row r="179" s="165" customFormat="1" ht="19.5" customHeight="1" spans="2:9">
      <c r="B179" s="185" t="s">
        <v>1703</v>
      </c>
      <c r="C179" s="196" t="s">
        <v>1704</v>
      </c>
      <c r="D179" s="227"/>
      <c r="E179" s="251"/>
      <c r="F179" s="232"/>
      <c r="G179" s="190"/>
      <c r="H179" s="248"/>
      <c r="I179" s="177"/>
    </row>
    <row r="180" s="165" customFormat="1" spans="2:9">
      <c r="B180" s="242"/>
      <c r="C180" s="243"/>
      <c r="D180" s="227"/>
      <c r="E180" s="243"/>
      <c r="F180" s="232"/>
      <c r="G180" s="190"/>
      <c r="H180" s="248"/>
      <c r="I180" s="177"/>
    </row>
    <row r="181" s="165" customFormat="1" ht="47.25" customHeight="1" spans="2:9">
      <c r="B181" s="242"/>
      <c r="C181" s="192" t="s">
        <v>1659</v>
      </c>
      <c r="D181" s="227"/>
      <c r="E181" s="243"/>
      <c r="F181" s="232"/>
      <c r="G181" s="190"/>
      <c r="H181" s="248"/>
      <c r="I181" s="177"/>
    </row>
    <row r="182" s="165" customFormat="1" ht="18" customHeight="1" spans="2:9">
      <c r="B182" s="242"/>
      <c r="C182" s="226" t="s">
        <v>1672</v>
      </c>
      <c r="D182" s="227"/>
      <c r="E182" s="243"/>
      <c r="F182" s="232"/>
      <c r="G182" s="190"/>
      <c r="H182" s="248"/>
      <c r="I182" s="177"/>
    </row>
    <row r="183" s="165" customFormat="1" ht="18" customHeight="1" spans="2:9">
      <c r="B183" s="242"/>
      <c r="C183" s="252" t="s">
        <v>1702</v>
      </c>
      <c r="D183" s="227"/>
      <c r="E183" s="243"/>
      <c r="F183" s="232"/>
      <c r="G183" s="190"/>
      <c r="H183" s="248"/>
      <c r="I183" s="177"/>
    </row>
    <row r="184" s="165" customFormat="1" ht="18" customHeight="1" spans="2:9">
      <c r="B184" s="242"/>
      <c r="C184" s="243" t="s">
        <v>1705</v>
      </c>
      <c r="D184" s="227"/>
      <c r="E184" s="243"/>
      <c r="F184" s="232"/>
      <c r="G184" s="190"/>
      <c r="H184" s="248"/>
      <c r="I184" s="177"/>
    </row>
    <row r="185" s="165" customFormat="1" ht="39" customHeight="1" spans="2:9">
      <c r="B185" s="254"/>
      <c r="C185" s="263" t="s">
        <v>1676</v>
      </c>
      <c r="D185" s="234"/>
      <c r="E185" s="264"/>
      <c r="F185" s="236"/>
      <c r="G185" s="209"/>
      <c r="H185" s="248"/>
      <c r="I185" s="177"/>
    </row>
    <row r="186" s="165" customFormat="1" ht="16.5" customHeight="1" spans="2:9">
      <c r="B186" s="242"/>
      <c r="C186" s="192"/>
      <c r="D186" s="227"/>
      <c r="E186" s="251"/>
      <c r="F186" s="232"/>
      <c r="G186" s="190"/>
      <c r="H186" s="248"/>
      <c r="I186" s="177"/>
    </row>
    <row r="187" s="165" customFormat="1" ht="84" customHeight="1" spans="2:9">
      <c r="B187" s="242"/>
      <c r="C187" s="247" t="s">
        <v>1684</v>
      </c>
      <c r="D187" s="227"/>
      <c r="E187" s="251">
        <v>1</v>
      </c>
      <c r="F187" s="229">
        <v>98800</v>
      </c>
      <c r="G187" s="190">
        <f>E187*F187</f>
        <v>98800</v>
      </c>
      <c r="H187" s="248"/>
      <c r="I187" s="177"/>
    </row>
    <row r="188" s="165" customFormat="1" spans="2:9">
      <c r="B188" s="242"/>
      <c r="C188" s="247"/>
      <c r="D188" s="227"/>
      <c r="E188" s="251"/>
      <c r="F188" s="232"/>
      <c r="G188" s="190"/>
      <c r="H188" s="253"/>
      <c r="I188" s="177"/>
    </row>
    <row r="189" s="165" customFormat="1" ht="18" customHeight="1" spans="2:9">
      <c r="B189" s="185" t="s">
        <v>1706</v>
      </c>
      <c r="C189" s="196" t="s">
        <v>1707</v>
      </c>
      <c r="D189" s="227"/>
      <c r="E189" s="251"/>
      <c r="F189" s="232"/>
      <c r="G189" s="190"/>
      <c r="H189" s="248"/>
      <c r="I189" s="177"/>
    </row>
    <row r="190" s="165" customFormat="1" spans="2:9">
      <c r="B190" s="242"/>
      <c r="C190" s="243"/>
      <c r="D190" s="227"/>
      <c r="E190" s="243"/>
      <c r="F190" s="232"/>
      <c r="G190" s="190"/>
      <c r="H190" s="248"/>
      <c r="I190" s="177"/>
    </row>
    <row r="191" s="165" customFormat="1" ht="46.5" customHeight="1" spans="2:9">
      <c r="B191" s="242"/>
      <c r="C191" s="192" t="s">
        <v>1659</v>
      </c>
      <c r="D191" s="227"/>
      <c r="E191" s="243"/>
      <c r="F191" s="232"/>
      <c r="G191" s="190"/>
      <c r="H191" s="248"/>
      <c r="I191" s="177"/>
    </row>
    <row r="192" s="165" customFormat="1" ht="18.75" customHeight="1" spans="2:9">
      <c r="B192" s="242"/>
      <c r="C192" s="226" t="s">
        <v>1672</v>
      </c>
      <c r="D192" s="227"/>
      <c r="E192" s="243"/>
      <c r="F192" s="232"/>
      <c r="G192" s="190"/>
      <c r="H192" s="248"/>
      <c r="I192" s="177"/>
    </row>
    <row r="193" s="165" customFormat="1" ht="18.75" customHeight="1" spans="2:9">
      <c r="B193" s="242"/>
      <c r="C193" s="252" t="s">
        <v>1708</v>
      </c>
      <c r="D193" s="227"/>
      <c r="E193" s="243"/>
      <c r="F193" s="232"/>
      <c r="G193" s="190"/>
      <c r="H193" s="248"/>
      <c r="I193" s="177"/>
    </row>
    <row r="194" s="165" customFormat="1" ht="18.75" customHeight="1" spans="2:9">
      <c r="B194" s="242"/>
      <c r="C194" s="252" t="s">
        <v>1709</v>
      </c>
      <c r="D194" s="227"/>
      <c r="E194" s="243"/>
      <c r="F194" s="232"/>
      <c r="G194" s="190"/>
      <c r="H194" s="248"/>
      <c r="I194" s="177"/>
    </row>
    <row r="195" s="165" customFormat="1" ht="18.75" customHeight="1" spans="2:9">
      <c r="B195" s="242"/>
      <c r="C195" s="252" t="s">
        <v>1710</v>
      </c>
      <c r="D195" s="227"/>
      <c r="E195" s="243"/>
      <c r="F195" s="232"/>
      <c r="G195" s="190"/>
      <c r="H195" s="248"/>
      <c r="I195" s="177"/>
    </row>
    <row r="196" s="165" customFormat="1" ht="36" customHeight="1" spans="2:9">
      <c r="B196" s="242"/>
      <c r="C196" s="192" t="s">
        <v>1676</v>
      </c>
      <c r="D196" s="227"/>
      <c r="E196" s="251"/>
      <c r="F196" s="232"/>
      <c r="G196" s="190"/>
      <c r="H196" s="248"/>
      <c r="I196" s="177"/>
    </row>
    <row r="197" s="165" customFormat="1" ht="83.25" customHeight="1" spans="2:9">
      <c r="B197" s="242"/>
      <c r="C197" s="247" t="s">
        <v>1684</v>
      </c>
      <c r="D197" s="227"/>
      <c r="E197" s="251">
        <v>1</v>
      </c>
      <c r="F197" s="229">
        <v>104000</v>
      </c>
      <c r="G197" s="190">
        <f>E197*F197</f>
        <v>104000</v>
      </c>
      <c r="H197" s="248"/>
      <c r="I197" s="177"/>
    </row>
    <row r="198" s="165" customFormat="1" ht="21" customHeight="1" spans="2:9">
      <c r="B198" s="242"/>
      <c r="C198" s="247"/>
      <c r="D198" s="227"/>
      <c r="E198" s="251"/>
      <c r="F198" s="232"/>
      <c r="G198" s="190"/>
      <c r="H198" s="248"/>
      <c r="I198" s="177"/>
    </row>
    <row r="199" s="165" customFormat="1" ht="23.25" customHeight="1" spans="2:9">
      <c r="B199" s="185" t="s">
        <v>1711</v>
      </c>
      <c r="C199" s="196" t="s">
        <v>1712</v>
      </c>
      <c r="D199" s="227"/>
      <c r="E199" s="251"/>
      <c r="F199" s="232"/>
      <c r="G199" s="190"/>
      <c r="H199" s="248"/>
      <c r="I199" s="177"/>
    </row>
    <row r="200" s="165" customFormat="1" spans="2:9">
      <c r="B200" s="242"/>
      <c r="C200" s="243"/>
      <c r="D200" s="227"/>
      <c r="E200" s="243"/>
      <c r="F200" s="232"/>
      <c r="G200" s="190"/>
      <c r="H200" s="248"/>
      <c r="I200" s="177"/>
    </row>
    <row r="201" s="165" customFormat="1" ht="45.75" customHeight="1" spans="2:9">
      <c r="B201" s="242"/>
      <c r="C201" s="192" t="s">
        <v>1659</v>
      </c>
      <c r="D201" s="227"/>
      <c r="E201" s="243"/>
      <c r="F201" s="232"/>
      <c r="G201" s="190"/>
      <c r="H201" s="248"/>
      <c r="I201" s="177"/>
    </row>
    <row r="202" s="165" customFormat="1" ht="18.75" customHeight="1" spans="2:9">
      <c r="B202" s="242"/>
      <c r="C202" s="226" t="s">
        <v>1672</v>
      </c>
      <c r="D202" s="227"/>
      <c r="E202" s="243"/>
      <c r="F202" s="232"/>
      <c r="G202" s="190"/>
      <c r="H202" s="248"/>
      <c r="I202" s="177"/>
    </row>
    <row r="203" s="165" customFormat="1" ht="18.75" customHeight="1" spans="2:9">
      <c r="B203" s="242"/>
      <c r="C203" s="252" t="s">
        <v>1695</v>
      </c>
      <c r="D203" s="227"/>
      <c r="E203" s="243"/>
      <c r="F203" s="232"/>
      <c r="G203" s="190"/>
      <c r="H203" s="248"/>
      <c r="I203" s="177"/>
    </row>
    <row r="204" s="165" customFormat="1" ht="18.75" customHeight="1" spans="2:9">
      <c r="B204" s="242"/>
      <c r="C204" s="252" t="s">
        <v>1713</v>
      </c>
      <c r="D204" s="227"/>
      <c r="E204" s="243"/>
      <c r="F204" s="232"/>
      <c r="G204" s="190"/>
      <c r="H204" s="248"/>
      <c r="I204" s="177"/>
    </row>
    <row r="205" s="165" customFormat="1" ht="18.75" customHeight="1" spans="2:9">
      <c r="B205" s="242"/>
      <c r="C205" s="252" t="s">
        <v>1714</v>
      </c>
      <c r="D205" s="227"/>
      <c r="E205" s="251"/>
      <c r="F205" s="232"/>
      <c r="G205" s="190"/>
      <c r="H205" s="248"/>
      <c r="I205" s="177"/>
    </row>
    <row r="206" s="165" customFormat="1" ht="18.75" customHeight="1" spans="2:9">
      <c r="B206" s="242"/>
      <c r="C206" s="252" t="s">
        <v>1715</v>
      </c>
      <c r="D206" s="227"/>
      <c r="E206" s="251"/>
      <c r="F206" s="232"/>
      <c r="G206" s="190"/>
      <c r="H206" s="248"/>
      <c r="I206" s="177"/>
    </row>
    <row r="207" s="165" customFormat="1" spans="2:9">
      <c r="B207" s="242"/>
      <c r="C207" s="226" t="s">
        <v>886</v>
      </c>
      <c r="D207" s="227"/>
      <c r="E207" s="251"/>
      <c r="F207" s="232"/>
      <c r="G207" s="190"/>
      <c r="H207" s="248"/>
      <c r="I207" s="177"/>
    </row>
    <row r="208" s="165" customFormat="1" ht="84" customHeight="1" spans="2:9">
      <c r="B208" s="242"/>
      <c r="C208" s="247" t="s">
        <v>1684</v>
      </c>
      <c r="D208" s="227"/>
      <c r="E208" s="251">
        <v>1</v>
      </c>
      <c r="F208" s="229">
        <v>80080</v>
      </c>
      <c r="G208" s="190">
        <f>E208*F208</f>
        <v>80080</v>
      </c>
      <c r="H208" s="248"/>
      <c r="I208" s="177"/>
    </row>
    <row r="209" s="165" customFormat="1" spans="2:9">
      <c r="B209" s="242"/>
      <c r="C209" s="247"/>
      <c r="D209" s="227"/>
      <c r="E209" s="251"/>
      <c r="F209" s="232"/>
      <c r="G209" s="190"/>
      <c r="H209" s="253"/>
      <c r="I209" s="177"/>
    </row>
    <row r="210" s="165" customFormat="1" ht="18.75" customHeight="1" spans="2:9">
      <c r="B210" s="185" t="s">
        <v>1716</v>
      </c>
      <c r="C210" s="196" t="s">
        <v>1699</v>
      </c>
      <c r="D210" s="227"/>
      <c r="E210" s="251"/>
      <c r="F210" s="232"/>
      <c r="G210" s="190"/>
      <c r="H210" s="248"/>
      <c r="I210" s="177"/>
    </row>
    <row r="211" s="165" customFormat="1" spans="2:9">
      <c r="B211" s="242"/>
      <c r="C211" s="243"/>
      <c r="D211" s="227"/>
      <c r="E211" s="243"/>
      <c r="F211" s="232"/>
      <c r="G211" s="190"/>
      <c r="H211" s="248"/>
      <c r="I211" s="177"/>
    </row>
    <row r="212" s="165" customFormat="1" ht="45.75" customHeight="1" spans="2:9">
      <c r="B212" s="242"/>
      <c r="C212" s="192" t="s">
        <v>1659</v>
      </c>
      <c r="D212" s="227"/>
      <c r="E212" s="243"/>
      <c r="F212" s="232"/>
      <c r="G212" s="190"/>
      <c r="H212" s="248"/>
      <c r="I212" s="177"/>
    </row>
    <row r="213" s="165" customFormat="1" ht="17.25" customHeight="1" spans="2:9">
      <c r="B213" s="242"/>
      <c r="C213" s="226" t="s">
        <v>1672</v>
      </c>
      <c r="D213" s="227"/>
      <c r="E213" s="243"/>
      <c r="F213" s="232"/>
      <c r="G213" s="190"/>
      <c r="H213" s="248"/>
      <c r="I213" s="177"/>
    </row>
    <row r="214" s="165" customFormat="1" ht="17.25" customHeight="1" spans="2:9">
      <c r="B214" s="242"/>
      <c r="C214" s="252" t="s">
        <v>1695</v>
      </c>
      <c r="D214" s="227"/>
      <c r="E214" s="243"/>
      <c r="F214" s="232"/>
      <c r="G214" s="190"/>
      <c r="H214" s="248"/>
      <c r="I214" s="177"/>
    </row>
    <row r="215" s="165" customFormat="1" ht="17.25" customHeight="1" spans="2:9">
      <c r="B215" s="242"/>
      <c r="C215" s="243" t="s">
        <v>1717</v>
      </c>
      <c r="D215" s="227"/>
      <c r="E215" s="243"/>
      <c r="F215" s="232"/>
      <c r="G215" s="190"/>
      <c r="H215" s="248"/>
      <c r="I215" s="177"/>
    </row>
    <row r="216" s="165" customFormat="1" ht="21.75" customHeight="1" spans="2:9">
      <c r="B216" s="254"/>
      <c r="C216" s="265" t="s">
        <v>1714</v>
      </c>
      <c r="D216" s="234"/>
      <c r="E216" s="264"/>
      <c r="F216" s="236"/>
      <c r="G216" s="209"/>
      <c r="H216" s="248"/>
      <c r="I216" s="177"/>
    </row>
    <row r="217" s="166" customFormat="1" ht="30.75" customHeight="1" spans="2:9">
      <c r="B217" s="257"/>
      <c r="C217" s="262" t="s">
        <v>1715</v>
      </c>
      <c r="D217" s="259"/>
      <c r="E217" s="266"/>
      <c r="F217" s="261"/>
      <c r="G217" s="222"/>
      <c r="H217" s="223"/>
      <c r="I217" s="250"/>
    </row>
    <row r="218" s="165" customFormat="1" ht="34.5" customHeight="1" spans="2:9">
      <c r="B218" s="242"/>
      <c r="C218" s="192" t="s">
        <v>1676</v>
      </c>
      <c r="D218" s="227"/>
      <c r="E218" s="251"/>
      <c r="F218" s="232"/>
      <c r="G218" s="190"/>
      <c r="H218" s="248"/>
      <c r="I218" s="177"/>
    </row>
    <row r="219" s="165" customFormat="1" ht="83.25" customHeight="1" spans="2:9">
      <c r="B219" s="242"/>
      <c r="C219" s="247" t="s">
        <v>1684</v>
      </c>
      <c r="D219" s="227"/>
      <c r="E219" s="251">
        <v>1</v>
      </c>
      <c r="F219" s="229">
        <v>81640</v>
      </c>
      <c r="G219" s="190">
        <f>E219*F219</f>
        <v>81640</v>
      </c>
      <c r="H219" s="248"/>
      <c r="I219" s="177"/>
    </row>
    <row r="220" s="165" customFormat="1" spans="2:9">
      <c r="B220" s="242"/>
      <c r="C220" s="247"/>
      <c r="D220" s="227"/>
      <c r="E220" s="251"/>
      <c r="F220" s="232"/>
      <c r="G220" s="190"/>
      <c r="H220" s="248"/>
      <c r="I220" s="177"/>
    </row>
    <row r="221" s="165" customFormat="1" ht="15.75" customHeight="1" spans="2:9">
      <c r="B221" s="185" t="s">
        <v>1718</v>
      </c>
      <c r="C221" s="196" t="s">
        <v>1704</v>
      </c>
      <c r="D221" s="227"/>
      <c r="E221" s="251"/>
      <c r="F221" s="232"/>
      <c r="G221" s="190"/>
      <c r="H221" s="248"/>
      <c r="I221" s="177"/>
    </row>
    <row r="222" s="165" customFormat="1" spans="2:9">
      <c r="B222" s="242"/>
      <c r="C222" s="243"/>
      <c r="D222" s="227"/>
      <c r="E222" s="243"/>
      <c r="F222" s="232"/>
      <c r="G222" s="190"/>
      <c r="H222" s="248"/>
      <c r="I222" s="177"/>
    </row>
    <row r="223" s="165" customFormat="1" ht="45.75" customHeight="1" spans="2:9">
      <c r="B223" s="242"/>
      <c r="C223" s="192" t="s">
        <v>1659</v>
      </c>
      <c r="D223" s="227"/>
      <c r="E223" s="243"/>
      <c r="F223" s="232"/>
      <c r="G223" s="190"/>
      <c r="H223" s="248"/>
      <c r="I223" s="177"/>
    </row>
    <row r="224" s="165" customFormat="1" ht="17.25" customHeight="1" spans="2:9">
      <c r="B224" s="242"/>
      <c r="C224" s="226" t="s">
        <v>1672</v>
      </c>
      <c r="D224" s="227"/>
      <c r="E224" s="243"/>
      <c r="F224" s="232"/>
      <c r="G224" s="190"/>
      <c r="H224" s="248"/>
      <c r="I224" s="177"/>
    </row>
    <row r="225" s="165" customFormat="1" ht="17.25" customHeight="1" spans="2:9">
      <c r="B225" s="242"/>
      <c r="C225" s="252" t="s">
        <v>1695</v>
      </c>
      <c r="D225" s="227"/>
      <c r="E225" s="243"/>
      <c r="F225" s="232"/>
      <c r="G225" s="190"/>
      <c r="H225" s="248"/>
      <c r="I225" s="177"/>
    </row>
    <row r="226" s="165" customFormat="1" ht="17.25" customHeight="1" spans="2:9">
      <c r="B226" s="242"/>
      <c r="C226" s="252" t="s">
        <v>1713</v>
      </c>
      <c r="D226" s="227"/>
      <c r="E226" s="243"/>
      <c r="F226" s="232"/>
      <c r="G226" s="190"/>
      <c r="H226" s="248"/>
      <c r="I226" s="177"/>
    </row>
    <row r="227" s="165" customFormat="1" ht="33.75" customHeight="1" spans="2:9">
      <c r="B227" s="242"/>
      <c r="C227" s="192" t="s">
        <v>1676</v>
      </c>
      <c r="D227" s="227"/>
      <c r="E227" s="251"/>
      <c r="F227" s="232"/>
      <c r="G227" s="190"/>
      <c r="H227" s="248"/>
      <c r="I227" s="177"/>
    </row>
    <row r="228" s="165" customFormat="1" ht="83.25" customHeight="1" spans="2:9">
      <c r="B228" s="242"/>
      <c r="C228" s="247" t="s">
        <v>1684</v>
      </c>
      <c r="D228" s="227"/>
      <c r="E228" s="251">
        <v>1</v>
      </c>
      <c r="F228" s="229">
        <v>83200</v>
      </c>
      <c r="G228" s="190">
        <f>E228*F228</f>
        <v>83200</v>
      </c>
      <c r="H228" s="248"/>
      <c r="I228" s="177"/>
    </row>
    <row r="229" s="165" customFormat="1" ht="17.25" customHeight="1" spans="2:9">
      <c r="B229" s="242"/>
      <c r="C229" s="247"/>
      <c r="D229" s="227"/>
      <c r="E229" s="251"/>
      <c r="F229" s="232"/>
      <c r="G229" s="190"/>
      <c r="H229" s="248"/>
      <c r="I229" s="177"/>
    </row>
    <row r="230" s="165" customFormat="1" spans="2:9">
      <c r="B230" s="185" t="s">
        <v>1719</v>
      </c>
      <c r="C230" s="196" t="s">
        <v>1720</v>
      </c>
      <c r="D230" s="227"/>
      <c r="E230" s="251"/>
      <c r="F230" s="232"/>
      <c r="G230" s="190"/>
      <c r="H230" s="248"/>
      <c r="I230" s="177"/>
    </row>
    <row r="231" s="165" customFormat="1" spans="2:9">
      <c r="B231" s="242"/>
      <c r="C231" s="243"/>
      <c r="D231" s="227"/>
      <c r="E231" s="243"/>
      <c r="F231" s="232"/>
      <c r="G231" s="190"/>
      <c r="H231" s="248"/>
      <c r="I231" s="177"/>
    </row>
    <row r="232" s="165" customFormat="1" ht="45" customHeight="1" spans="2:9">
      <c r="B232" s="242"/>
      <c r="C232" s="192" t="s">
        <v>1659</v>
      </c>
      <c r="D232" s="227"/>
      <c r="E232" s="243"/>
      <c r="F232" s="232"/>
      <c r="G232" s="190"/>
      <c r="H232" s="248"/>
      <c r="I232" s="177"/>
    </row>
    <row r="233" s="165" customFormat="1" ht="18.75" customHeight="1" spans="2:9">
      <c r="B233" s="242"/>
      <c r="C233" s="226" t="s">
        <v>1672</v>
      </c>
      <c r="D233" s="227"/>
      <c r="E233" s="243"/>
      <c r="F233" s="232"/>
      <c r="G233" s="190"/>
      <c r="H233" s="248"/>
      <c r="I233" s="177"/>
    </row>
    <row r="234" s="165" customFormat="1" ht="18.75" customHeight="1" spans="2:9">
      <c r="B234" s="242"/>
      <c r="C234" s="252" t="s">
        <v>1721</v>
      </c>
      <c r="D234" s="227"/>
      <c r="E234" s="243"/>
      <c r="F234" s="232"/>
      <c r="G234" s="190"/>
      <c r="H234" s="248"/>
      <c r="I234" s="177"/>
    </row>
    <row r="235" s="165" customFormat="1" ht="18.75" customHeight="1" spans="2:9">
      <c r="B235" s="242"/>
      <c r="C235" s="252" t="s">
        <v>1722</v>
      </c>
      <c r="D235" s="227"/>
      <c r="E235" s="243"/>
      <c r="F235" s="232"/>
      <c r="G235" s="190"/>
      <c r="H235" s="248"/>
      <c r="I235" s="177"/>
    </row>
    <row r="236" s="165" customFormat="1" ht="18.75" customHeight="1" spans="2:9">
      <c r="B236" s="242"/>
      <c r="C236" s="252" t="s">
        <v>1723</v>
      </c>
      <c r="D236" s="227"/>
      <c r="E236" s="243"/>
      <c r="F236" s="232"/>
      <c r="G236" s="190"/>
      <c r="H236" s="253"/>
      <c r="I236" s="177"/>
    </row>
    <row r="237" s="165" customFormat="1" ht="36.75" customHeight="1" spans="2:9">
      <c r="B237" s="242"/>
      <c r="C237" s="192" t="s">
        <v>1676</v>
      </c>
      <c r="D237" s="227"/>
      <c r="E237" s="251"/>
      <c r="F237" s="232"/>
      <c r="G237" s="190"/>
      <c r="H237" s="248"/>
      <c r="I237" s="177"/>
    </row>
    <row r="238" s="165" customFormat="1" ht="81.75" customHeight="1" spans="2:10">
      <c r="B238" s="242"/>
      <c r="C238" s="247" t="s">
        <v>1684</v>
      </c>
      <c r="D238" s="227"/>
      <c r="E238" s="251">
        <v>1</v>
      </c>
      <c r="F238" s="229">
        <v>156000</v>
      </c>
      <c r="G238" s="190">
        <f>E238*F238</f>
        <v>156000</v>
      </c>
      <c r="H238" s="248"/>
      <c r="I238" s="177"/>
      <c r="J238" s="267">
        <f>SUM(G43:G238)</f>
        <v>56734236</v>
      </c>
    </row>
    <row r="239" s="165" customFormat="1" spans="2:9">
      <c r="B239" s="242"/>
      <c r="C239" s="247"/>
      <c r="D239" s="227"/>
      <c r="E239" s="251"/>
      <c r="F239" s="232"/>
      <c r="G239" s="190"/>
      <c r="H239" s="248"/>
      <c r="I239" s="177"/>
    </row>
    <row r="240" s="165" customFormat="1" ht="17.25" customHeight="1" spans="2:9">
      <c r="B240" s="185" t="s">
        <v>1724</v>
      </c>
      <c r="C240" s="196" t="s">
        <v>1712</v>
      </c>
      <c r="D240" s="227"/>
      <c r="E240" s="251"/>
      <c r="F240" s="232"/>
      <c r="G240" s="190"/>
      <c r="H240" s="248"/>
      <c r="I240" s="177"/>
    </row>
    <row r="241" s="165" customFormat="1" spans="2:9">
      <c r="B241" s="242"/>
      <c r="C241" s="243"/>
      <c r="D241" s="227"/>
      <c r="E241" s="243"/>
      <c r="F241" s="232"/>
      <c r="G241" s="190"/>
      <c r="H241" s="248"/>
      <c r="I241" s="177"/>
    </row>
    <row r="242" s="165" customFormat="1" ht="45.75" customHeight="1" spans="2:9">
      <c r="B242" s="242"/>
      <c r="C242" s="192" t="s">
        <v>1659</v>
      </c>
      <c r="D242" s="227"/>
      <c r="E242" s="243"/>
      <c r="F242" s="232"/>
      <c r="G242" s="190"/>
      <c r="H242" s="248"/>
      <c r="I242" s="177"/>
    </row>
    <row r="243" s="165" customFormat="1" ht="20.25" customHeight="1" spans="2:9">
      <c r="B243" s="242"/>
      <c r="C243" s="226" t="s">
        <v>1672</v>
      </c>
      <c r="D243" s="227"/>
      <c r="E243" s="243"/>
      <c r="F243" s="232"/>
      <c r="G243" s="190"/>
      <c r="H243" s="248"/>
      <c r="I243" s="177"/>
    </row>
    <row r="244" s="165" customFormat="1" ht="20.25" customHeight="1" spans="2:9">
      <c r="B244" s="242"/>
      <c r="C244" s="252" t="s">
        <v>1725</v>
      </c>
      <c r="D244" s="227"/>
      <c r="E244" s="243"/>
      <c r="F244" s="232"/>
      <c r="G244" s="190"/>
      <c r="H244" s="248"/>
      <c r="I244" s="177"/>
    </row>
    <row r="245" s="165" customFormat="1" ht="25.5" customHeight="1" spans="2:9">
      <c r="B245" s="254"/>
      <c r="C245" s="265" t="s">
        <v>1726</v>
      </c>
      <c r="D245" s="234"/>
      <c r="E245" s="264"/>
      <c r="F245" s="236"/>
      <c r="G245" s="209"/>
      <c r="H245" s="248"/>
      <c r="I245" s="177"/>
    </row>
    <row r="246" s="166" customFormat="1" ht="27" customHeight="1" spans="2:9">
      <c r="B246" s="257"/>
      <c r="C246" s="262" t="s">
        <v>1727</v>
      </c>
      <c r="D246" s="259"/>
      <c r="E246" s="266"/>
      <c r="F246" s="261"/>
      <c r="G246" s="222"/>
      <c r="H246" s="223"/>
      <c r="I246" s="250"/>
    </row>
    <row r="247" s="165" customFormat="1" ht="20.25" customHeight="1" spans="2:9">
      <c r="B247" s="242"/>
      <c r="C247" s="252" t="s">
        <v>1715</v>
      </c>
      <c r="D247" s="227"/>
      <c r="E247" s="251"/>
      <c r="F247" s="232"/>
      <c r="G247" s="190"/>
      <c r="H247" s="248"/>
      <c r="I247" s="177"/>
    </row>
    <row r="248" s="165" customFormat="1" ht="36.75" customHeight="1" spans="2:9">
      <c r="B248" s="242"/>
      <c r="C248" s="192" t="s">
        <v>1676</v>
      </c>
      <c r="D248" s="227"/>
      <c r="E248" s="251"/>
      <c r="F248" s="232"/>
      <c r="G248" s="190"/>
      <c r="H248" s="248"/>
      <c r="I248" s="177"/>
    </row>
    <row r="249" s="165" customFormat="1" ht="81.75" customHeight="1" spans="2:9">
      <c r="B249" s="242"/>
      <c r="C249" s="247" t="s">
        <v>1684</v>
      </c>
      <c r="D249" s="227"/>
      <c r="E249" s="251">
        <v>1</v>
      </c>
      <c r="F249" s="229">
        <v>88400</v>
      </c>
      <c r="G249" s="190">
        <f>E249*F249</f>
        <v>88400</v>
      </c>
      <c r="H249" s="248"/>
      <c r="I249" s="177"/>
    </row>
    <row r="250" s="165" customFormat="1" spans="2:9">
      <c r="B250" s="242"/>
      <c r="C250" s="247"/>
      <c r="D250" s="227"/>
      <c r="E250" s="251"/>
      <c r="F250" s="232"/>
      <c r="G250" s="190"/>
      <c r="H250" s="248"/>
      <c r="I250" s="177"/>
    </row>
    <row r="251" s="165" customFormat="1" spans="2:9">
      <c r="B251" s="185" t="s">
        <v>1728</v>
      </c>
      <c r="C251" s="196" t="s">
        <v>1699</v>
      </c>
      <c r="D251" s="227"/>
      <c r="E251" s="251"/>
      <c r="F251" s="232"/>
      <c r="G251" s="190"/>
      <c r="H251" s="248"/>
      <c r="I251" s="177"/>
    </row>
    <row r="252" s="165" customFormat="1" spans="2:9">
      <c r="B252" s="242"/>
      <c r="C252" s="243"/>
      <c r="D252" s="227"/>
      <c r="E252" s="243"/>
      <c r="F252" s="232"/>
      <c r="G252" s="190"/>
      <c r="H252" s="248"/>
      <c r="I252" s="177"/>
    </row>
    <row r="253" s="165" customFormat="1" ht="45" customHeight="1" spans="2:9">
      <c r="B253" s="242"/>
      <c r="C253" s="192" t="s">
        <v>1659</v>
      </c>
      <c r="D253" s="227"/>
      <c r="E253" s="243"/>
      <c r="F253" s="232"/>
      <c r="G253" s="190"/>
      <c r="H253" s="248"/>
      <c r="I253" s="177"/>
    </row>
    <row r="254" s="165" customFormat="1" ht="20.25" customHeight="1" spans="2:9">
      <c r="B254" s="242"/>
      <c r="C254" s="226" t="s">
        <v>1672</v>
      </c>
      <c r="D254" s="227"/>
      <c r="E254" s="243"/>
      <c r="F254" s="232"/>
      <c r="G254" s="190"/>
      <c r="H254" s="248"/>
      <c r="I254" s="177"/>
    </row>
    <row r="255" s="165" customFormat="1" ht="20.25" customHeight="1" spans="2:9">
      <c r="B255" s="242"/>
      <c r="C255" s="252" t="s">
        <v>1725</v>
      </c>
      <c r="D255" s="227"/>
      <c r="E255" s="243"/>
      <c r="F255" s="232"/>
      <c r="G255" s="190"/>
      <c r="H255" s="248"/>
      <c r="I255" s="177"/>
    </row>
    <row r="256" s="165" customFormat="1" ht="20.25" customHeight="1" spans="2:9">
      <c r="B256" s="242"/>
      <c r="C256" s="252" t="s">
        <v>1726</v>
      </c>
      <c r="D256" s="227"/>
      <c r="E256" s="251"/>
      <c r="F256" s="232"/>
      <c r="G256" s="190"/>
      <c r="H256" s="248"/>
      <c r="I256" s="177"/>
    </row>
    <row r="257" s="165" customFormat="1" ht="20.25" customHeight="1" spans="2:9">
      <c r="B257" s="242"/>
      <c r="C257" s="252" t="s">
        <v>1727</v>
      </c>
      <c r="D257" s="227"/>
      <c r="E257" s="251"/>
      <c r="F257" s="232"/>
      <c r="G257" s="190"/>
      <c r="H257" s="248"/>
      <c r="I257" s="177"/>
    </row>
    <row r="258" s="165" customFormat="1" ht="20.25" customHeight="1" spans="2:9">
      <c r="B258" s="242"/>
      <c r="C258" s="252" t="s">
        <v>1715</v>
      </c>
      <c r="D258" s="227"/>
      <c r="E258" s="251"/>
      <c r="F258" s="232"/>
      <c r="G258" s="190"/>
      <c r="H258" s="248"/>
      <c r="I258" s="177"/>
    </row>
    <row r="259" s="165" customFormat="1" ht="35.25" customHeight="1" spans="2:9">
      <c r="B259" s="242"/>
      <c r="C259" s="192" t="s">
        <v>1676</v>
      </c>
      <c r="D259" s="227"/>
      <c r="E259" s="251"/>
      <c r="F259" s="232"/>
      <c r="G259" s="190"/>
      <c r="H259" s="248"/>
      <c r="I259" s="177"/>
    </row>
    <row r="260" s="165" customFormat="1" ht="84" customHeight="1" spans="2:9">
      <c r="B260" s="242"/>
      <c r="C260" s="247" t="s">
        <v>1684</v>
      </c>
      <c r="D260" s="227"/>
      <c r="E260" s="251">
        <v>1</v>
      </c>
      <c r="F260" s="229">
        <v>88400</v>
      </c>
      <c r="G260" s="190">
        <f>E260*F260</f>
        <v>88400</v>
      </c>
      <c r="H260" s="268"/>
      <c r="I260" s="177"/>
    </row>
    <row r="261" s="165" customFormat="1" ht="13.5" customHeight="1" spans="2:9">
      <c r="B261" s="242"/>
      <c r="C261" s="247"/>
      <c r="D261" s="227"/>
      <c r="E261" s="251"/>
      <c r="F261" s="232"/>
      <c r="G261" s="190"/>
      <c r="H261" s="268"/>
      <c r="I261" s="177"/>
    </row>
    <row r="262" s="166" customFormat="1" ht="23.25" customHeight="1" spans="2:9">
      <c r="B262" s="269" t="s">
        <v>1729</v>
      </c>
      <c r="C262" s="218" t="s">
        <v>1730</v>
      </c>
      <c r="D262" s="259"/>
      <c r="E262" s="266"/>
      <c r="F262" s="261"/>
      <c r="G262" s="222"/>
      <c r="H262" s="223"/>
      <c r="I262" s="250"/>
    </row>
    <row r="263" s="165" customFormat="1" spans="2:9">
      <c r="B263" s="242"/>
      <c r="C263" s="243"/>
      <c r="D263" s="227"/>
      <c r="E263" s="243"/>
      <c r="F263" s="232"/>
      <c r="G263" s="190"/>
      <c r="H263" s="248"/>
      <c r="I263" s="177"/>
    </row>
    <row r="264" s="165" customFormat="1" ht="46.5" customHeight="1" spans="2:9">
      <c r="B264" s="242"/>
      <c r="C264" s="192" t="s">
        <v>1659</v>
      </c>
      <c r="D264" s="227"/>
      <c r="E264" s="243"/>
      <c r="F264" s="232"/>
      <c r="G264" s="190"/>
      <c r="H264" s="248"/>
      <c r="I264" s="177"/>
    </row>
    <row r="265" s="165" customFormat="1" ht="19.5" customHeight="1" spans="2:9">
      <c r="B265" s="242"/>
      <c r="C265" s="226" t="s">
        <v>1672</v>
      </c>
      <c r="D265" s="227"/>
      <c r="E265" s="243"/>
      <c r="F265" s="232"/>
      <c r="G265" s="190"/>
      <c r="H265" s="248"/>
      <c r="I265" s="177"/>
    </row>
    <row r="266" s="165" customFormat="1" ht="19.5" customHeight="1" spans="2:9">
      <c r="B266" s="242"/>
      <c r="C266" s="252" t="s">
        <v>1725</v>
      </c>
      <c r="D266" s="227"/>
      <c r="E266" s="243"/>
      <c r="F266" s="232"/>
      <c r="G266" s="190"/>
      <c r="H266" s="248"/>
      <c r="I266" s="177"/>
    </row>
    <row r="267" s="165" customFormat="1" ht="19.5" customHeight="1" spans="2:9">
      <c r="B267" s="242"/>
      <c r="C267" s="252" t="s">
        <v>1726</v>
      </c>
      <c r="D267" s="227"/>
      <c r="E267" s="251"/>
      <c r="F267" s="232"/>
      <c r="G267" s="190"/>
      <c r="H267" s="248"/>
      <c r="I267" s="177"/>
    </row>
    <row r="268" s="165" customFormat="1" ht="19.5" customHeight="1" spans="2:9">
      <c r="B268" s="242"/>
      <c r="C268" s="252" t="s">
        <v>1727</v>
      </c>
      <c r="D268" s="227"/>
      <c r="E268" s="251"/>
      <c r="F268" s="232"/>
      <c r="G268" s="190"/>
      <c r="H268" s="248"/>
      <c r="I268" s="177"/>
    </row>
    <row r="269" s="165" customFormat="1" ht="19.5" customHeight="1" spans="2:9">
      <c r="B269" s="242"/>
      <c r="C269" s="252" t="s">
        <v>1715</v>
      </c>
      <c r="D269" s="227"/>
      <c r="E269" s="251"/>
      <c r="F269" s="232"/>
      <c r="G269" s="190"/>
      <c r="H269" s="248"/>
      <c r="I269" s="177"/>
    </row>
    <row r="270" s="165" customFormat="1" ht="33" customHeight="1" spans="2:9">
      <c r="B270" s="242"/>
      <c r="C270" s="192" t="s">
        <v>1676</v>
      </c>
      <c r="D270" s="227"/>
      <c r="E270" s="251"/>
      <c r="F270" s="232"/>
      <c r="G270" s="190"/>
      <c r="H270" s="248"/>
      <c r="I270" s="177"/>
    </row>
    <row r="271" s="165" customFormat="1" ht="97.5" customHeight="1" spans="2:9">
      <c r="B271" s="254"/>
      <c r="C271" s="249" t="s">
        <v>1684</v>
      </c>
      <c r="D271" s="234"/>
      <c r="E271" s="264">
        <v>1</v>
      </c>
      <c r="F271" s="270">
        <v>88400</v>
      </c>
      <c r="G271" s="209">
        <f>E271*F271</f>
        <v>88400</v>
      </c>
      <c r="H271" s="248"/>
      <c r="I271" s="177"/>
    </row>
    <row r="272" s="165" customFormat="1" ht="21" customHeight="1" spans="2:9">
      <c r="B272" s="242"/>
      <c r="C272" s="247"/>
      <c r="D272" s="227"/>
      <c r="E272" s="251"/>
      <c r="F272" s="232"/>
      <c r="G272" s="190"/>
      <c r="H272" s="248"/>
      <c r="I272" s="177"/>
    </row>
    <row r="273" s="165" customFormat="1" ht="18" customHeight="1" spans="2:9">
      <c r="B273" s="185" t="s">
        <v>1731</v>
      </c>
      <c r="C273" s="196" t="s">
        <v>1704</v>
      </c>
      <c r="D273" s="227"/>
      <c r="E273" s="251"/>
      <c r="F273" s="232"/>
      <c r="G273" s="190"/>
      <c r="H273" s="248"/>
      <c r="I273" s="177"/>
    </row>
    <row r="274" s="165" customFormat="1" spans="2:9">
      <c r="B274" s="242"/>
      <c r="C274" s="243"/>
      <c r="D274" s="227"/>
      <c r="E274" s="243"/>
      <c r="F274" s="232"/>
      <c r="G274" s="190"/>
      <c r="H274" s="248"/>
      <c r="I274" s="177"/>
    </row>
    <row r="275" s="165" customFormat="1" ht="46.5" customHeight="1" spans="2:9">
      <c r="B275" s="242"/>
      <c r="C275" s="192" t="s">
        <v>1659</v>
      </c>
      <c r="D275" s="227"/>
      <c r="E275" s="243"/>
      <c r="F275" s="232"/>
      <c r="G275" s="190"/>
      <c r="H275" s="248"/>
      <c r="I275" s="177"/>
    </row>
    <row r="276" s="165" customFormat="1" ht="17.25" customHeight="1" spans="2:9">
      <c r="B276" s="242"/>
      <c r="C276" s="226" t="s">
        <v>1672</v>
      </c>
      <c r="D276" s="227"/>
      <c r="E276" s="243"/>
      <c r="F276" s="232"/>
      <c r="G276" s="190"/>
      <c r="H276" s="248"/>
      <c r="I276" s="177"/>
    </row>
    <row r="277" s="165" customFormat="1" ht="17.25" customHeight="1" spans="2:9">
      <c r="B277" s="242"/>
      <c r="C277" s="252" t="s">
        <v>1725</v>
      </c>
      <c r="D277" s="227"/>
      <c r="E277" s="243"/>
      <c r="F277" s="232"/>
      <c r="G277" s="190"/>
      <c r="H277" s="248"/>
      <c r="I277" s="177"/>
    </row>
    <row r="278" s="165" customFormat="1" ht="17.25" customHeight="1" spans="2:9">
      <c r="B278" s="242"/>
      <c r="C278" s="252" t="s">
        <v>1726</v>
      </c>
      <c r="D278" s="227"/>
      <c r="E278" s="251"/>
      <c r="F278" s="232"/>
      <c r="G278" s="190"/>
      <c r="H278" s="248"/>
      <c r="I278" s="177"/>
    </row>
    <row r="279" s="165" customFormat="1" ht="34.5" customHeight="1" spans="2:9">
      <c r="B279" s="242"/>
      <c r="C279" s="192" t="s">
        <v>1676</v>
      </c>
      <c r="D279" s="227"/>
      <c r="E279" s="251"/>
      <c r="F279" s="232"/>
      <c r="G279" s="190"/>
      <c r="H279" s="248"/>
      <c r="I279" s="177"/>
    </row>
    <row r="280" s="165" customFormat="1" ht="84.75" customHeight="1" spans="2:9">
      <c r="B280" s="242"/>
      <c r="C280" s="247" t="s">
        <v>1684</v>
      </c>
      <c r="D280" s="227"/>
      <c r="E280" s="251">
        <v>1</v>
      </c>
      <c r="F280" s="229">
        <v>78000</v>
      </c>
      <c r="G280" s="190">
        <f>E280*F280</f>
        <v>78000</v>
      </c>
      <c r="H280" s="248"/>
      <c r="I280" s="177"/>
    </row>
    <row r="281" s="165" customFormat="1" spans="2:9">
      <c r="B281" s="242"/>
      <c r="C281" s="247"/>
      <c r="D281" s="227"/>
      <c r="E281" s="251"/>
      <c r="F281" s="232"/>
      <c r="G281" s="190"/>
      <c r="H281" s="248"/>
      <c r="I281" s="177"/>
    </row>
    <row r="282" s="165" customFormat="1" ht="23.25" customHeight="1" spans="2:9">
      <c r="B282" s="185" t="s">
        <v>1732</v>
      </c>
      <c r="C282" s="196" t="s">
        <v>1733</v>
      </c>
      <c r="D282" s="227"/>
      <c r="E282" s="251"/>
      <c r="F282" s="232"/>
      <c r="G282" s="190"/>
      <c r="H282" s="248"/>
      <c r="I282" s="177"/>
    </row>
    <row r="283" s="165" customFormat="1" spans="2:9">
      <c r="B283" s="242"/>
      <c r="C283" s="243"/>
      <c r="D283" s="227"/>
      <c r="E283" s="243"/>
      <c r="F283" s="232"/>
      <c r="G283" s="190"/>
      <c r="H283" s="248"/>
      <c r="I283" s="177"/>
    </row>
    <row r="284" s="165" customFormat="1" ht="46.5" customHeight="1" spans="2:9">
      <c r="B284" s="242"/>
      <c r="C284" s="192" t="s">
        <v>1659</v>
      </c>
      <c r="D284" s="227"/>
      <c r="E284" s="243"/>
      <c r="F284" s="232"/>
      <c r="G284" s="190"/>
      <c r="H284" s="248"/>
      <c r="I284" s="177"/>
    </row>
    <row r="285" s="165" customFormat="1" ht="16.5" customHeight="1" spans="2:9">
      <c r="B285" s="242"/>
      <c r="C285" s="226" t="s">
        <v>1672</v>
      </c>
      <c r="D285" s="227"/>
      <c r="E285" s="243"/>
      <c r="F285" s="232"/>
      <c r="G285" s="190"/>
      <c r="H285" s="248"/>
      <c r="I285" s="177"/>
    </row>
    <row r="286" s="165" customFormat="1" ht="16.5" customHeight="1" spans="2:9">
      <c r="B286" s="242"/>
      <c r="C286" s="252" t="s">
        <v>1734</v>
      </c>
      <c r="D286" s="227"/>
      <c r="E286" s="243"/>
      <c r="F286" s="232"/>
      <c r="G286" s="190"/>
      <c r="H286" s="248"/>
      <c r="I286" s="177"/>
    </row>
    <row r="287" s="165" customFormat="1" ht="16.5" customHeight="1" spans="2:9">
      <c r="B287" s="242"/>
      <c r="C287" s="252" t="s">
        <v>1693</v>
      </c>
      <c r="D287" s="227"/>
      <c r="E287" s="243"/>
      <c r="F287" s="232"/>
      <c r="G287" s="190"/>
      <c r="H287" s="248"/>
      <c r="I287" s="177"/>
    </row>
    <row r="288" s="165" customFormat="1" ht="16.5" customHeight="1" spans="2:9">
      <c r="B288" s="242"/>
      <c r="C288" s="252" t="s">
        <v>1735</v>
      </c>
      <c r="D288" s="227"/>
      <c r="E288" s="243"/>
      <c r="F288" s="232"/>
      <c r="G288" s="190"/>
      <c r="H288" s="248"/>
      <c r="I288" s="177"/>
    </row>
    <row r="289" s="165" customFormat="1" ht="16.5" customHeight="1" spans="2:9">
      <c r="B289" s="242"/>
      <c r="C289" s="252" t="s">
        <v>1708</v>
      </c>
      <c r="D289" s="227"/>
      <c r="E289" s="251"/>
      <c r="F289" s="232"/>
      <c r="G289" s="190"/>
      <c r="H289" s="253"/>
      <c r="I289" s="177"/>
    </row>
    <row r="290" s="165" customFormat="1" ht="16.5" customHeight="1" spans="2:9">
      <c r="B290" s="242"/>
      <c r="C290" s="252" t="s">
        <v>1725</v>
      </c>
      <c r="D290" s="227"/>
      <c r="E290" s="251"/>
      <c r="F290" s="232"/>
      <c r="G290" s="190"/>
      <c r="H290" s="248"/>
      <c r="I290" s="177"/>
    </row>
    <row r="291" s="165" customFormat="1" ht="33.75" customHeight="1" spans="2:9">
      <c r="B291" s="242"/>
      <c r="C291" s="192" t="s">
        <v>1676</v>
      </c>
      <c r="D291" s="227"/>
      <c r="E291" s="251"/>
      <c r="F291" s="232"/>
      <c r="G291" s="190"/>
      <c r="H291" s="248"/>
      <c r="I291" s="177"/>
    </row>
    <row r="292" s="165" customFormat="1" ht="84" customHeight="1" spans="2:9">
      <c r="B292" s="242"/>
      <c r="C292" s="247" t="s">
        <v>1684</v>
      </c>
      <c r="D292" s="227"/>
      <c r="E292" s="251">
        <v>1</v>
      </c>
      <c r="F292" s="229">
        <v>195000</v>
      </c>
      <c r="G292" s="190">
        <f>E292*F292</f>
        <v>195000</v>
      </c>
      <c r="H292" s="248"/>
      <c r="I292" s="177"/>
    </row>
    <row r="293" s="165" customFormat="1" ht="16.5" customHeight="1" spans="2:9">
      <c r="B293" s="242"/>
      <c r="C293" s="247"/>
      <c r="D293" s="227"/>
      <c r="E293" s="251"/>
      <c r="F293" s="232"/>
      <c r="G293" s="190"/>
      <c r="H293" s="248"/>
      <c r="I293" s="177"/>
    </row>
    <row r="294" s="165" customFormat="1" spans="2:9">
      <c r="B294" s="185" t="s">
        <v>1736</v>
      </c>
      <c r="C294" s="196" t="s">
        <v>1690</v>
      </c>
      <c r="D294" s="227"/>
      <c r="E294" s="251"/>
      <c r="F294" s="232"/>
      <c r="G294" s="190"/>
      <c r="H294" s="248"/>
      <c r="I294" s="177"/>
    </row>
    <row r="295" s="165" customFormat="1" spans="2:9">
      <c r="B295" s="242"/>
      <c r="C295" s="243"/>
      <c r="D295" s="227"/>
      <c r="E295" s="243"/>
      <c r="F295" s="232"/>
      <c r="G295" s="190"/>
      <c r="H295" s="248"/>
      <c r="I295" s="177"/>
    </row>
    <row r="296" s="165" customFormat="1" ht="45" customHeight="1" spans="2:9">
      <c r="B296" s="242"/>
      <c r="C296" s="192" t="s">
        <v>1659</v>
      </c>
      <c r="D296" s="227"/>
      <c r="E296" s="243"/>
      <c r="F296" s="232"/>
      <c r="G296" s="190"/>
      <c r="H296" s="248"/>
      <c r="I296" s="177"/>
    </row>
    <row r="297" s="165" customFormat="1" ht="18" customHeight="1" spans="2:9">
      <c r="B297" s="242"/>
      <c r="C297" s="226" t="s">
        <v>1672</v>
      </c>
      <c r="D297" s="227"/>
      <c r="E297" s="243"/>
      <c r="F297" s="232"/>
      <c r="G297" s="190"/>
      <c r="H297" s="248"/>
      <c r="I297" s="177"/>
    </row>
    <row r="298" s="165" customFormat="1" ht="18" customHeight="1" spans="2:9">
      <c r="B298" s="242"/>
      <c r="C298" s="252" t="s">
        <v>1737</v>
      </c>
      <c r="D298" s="227"/>
      <c r="E298" s="243"/>
      <c r="F298" s="232"/>
      <c r="G298" s="190"/>
      <c r="H298" s="248"/>
      <c r="I298" s="177"/>
    </row>
    <row r="299" s="165" customFormat="1" ht="18" customHeight="1" spans="2:9">
      <c r="B299" s="242"/>
      <c r="C299" s="243" t="s">
        <v>1682</v>
      </c>
      <c r="D299" s="227"/>
      <c r="E299" s="243"/>
      <c r="F299" s="232"/>
      <c r="G299" s="190"/>
      <c r="H299" s="248"/>
      <c r="I299" s="177"/>
    </row>
    <row r="300" s="165" customFormat="1" ht="18" customHeight="1" spans="2:9">
      <c r="B300" s="242"/>
      <c r="C300" s="252" t="s">
        <v>1738</v>
      </c>
      <c r="D300" s="227"/>
      <c r="E300" s="251"/>
      <c r="F300" s="232"/>
      <c r="G300" s="190"/>
      <c r="H300" s="248"/>
      <c r="I300" s="177"/>
    </row>
    <row r="301" s="165" customFormat="1" ht="18" customHeight="1" spans="2:9">
      <c r="B301" s="242"/>
      <c r="C301" s="252" t="s">
        <v>1739</v>
      </c>
      <c r="D301" s="227"/>
      <c r="E301" s="251"/>
      <c r="F301" s="232"/>
      <c r="G301" s="190"/>
      <c r="H301" s="248"/>
      <c r="I301" s="177"/>
    </row>
    <row r="302" s="165" customFormat="1" ht="18" customHeight="1" spans="2:9">
      <c r="B302" s="242"/>
      <c r="C302" s="252" t="s">
        <v>1740</v>
      </c>
      <c r="D302" s="227"/>
      <c r="E302" s="251"/>
      <c r="F302" s="232"/>
      <c r="G302" s="190"/>
      <c r="H302" s="248"/>
      <c r="I302" s="177"/>
    </row>
    <row r="303" s="165" customFormat="1" ht="28.5" customHeight="1" spans="2:9">
      <c r="B303" s="254"/>
      <c r="C303" s="265" t="s">
        <v>1741</v>
      </c>
      <c r="D303" s="234"/>
      <c r="E303" s="264"/>
      <c r="F303" s="236"/>
      <c r="G303" s="209"/>
      <c r="H303" s="248"/>
      <c r="I303" s="177"/>
    </row>
    <row r="304" s="165" customFormat="1" ht="42" customHeight="1" spans="2:9">
      <c r="B304" s="257"/>
      <c r="C304" s="271" t="s">
        <v>1676</v>
      </c>
      <c r="D304" s="227"/>
      <c r="E304" s="251"/>
      <c r="F304" s="232"/>
      <c r="G304" s="190"/>
      <c r="H304" s="248"/>
      <c r="I304" s="177"/>
    </row>
    <row r="305" s="165" customFormat="1" ht="82.5" customHeight="1" spans="2:9">
      <c r="B305" s="242"/>
      <c r="C305" s="247" t="s">
        <v>1684</v>
      </c>
      <c r="D305" s="227"/>
      <c r="E305" s="251">
        <v>1</v>
      </c>
      <c r="F305" s="229">
        <v>192400</v>
      </c>
      <c r="G305" s="190">
        <f>E305*F305</f>
        <v>192400</v>
      </c>
      <c r="H305" s="248"/>
      <c r="I305" s="177"/>
    </row>
    <row r="306" s="165" customFormat="1" spans="2:9">
      <c r="B306" s="242"/>
      <c r="C306" s="247"/>
      <c r="D306" s="227"/>
      <c r="E306" s="251"/>
      <c r="F306" s="232"/>
      <c r="G306" s="190"/>
      <c r="H306" s="248"/>
      <c r="I306" s="177"/>
    </row>
    <row r="307" s="165" customFormat="1" ht="17.25" customHeight="1" spans="2:9">
      <c r="B307" s="185" t="s">
        <v>1742</v>
      </c>
      <c r="C307" s="196" t="s">
        <v>1699</v>
      </c>
      <c r="D307" s="227"/>
      <c r="E307" s="251"/>
      <c r="F307" s="232"/>
      <c r="G307" s="190"/>
      <c r="H307" s="248"/>
      <c r="I307" s="177"/>
    </row>
    <row r="308" s="165" customFormat="1" spans="2:9">
      <c r="B308" s="242"/>
      <c r="C308" s="243"/>
      <c r="D308" s="227"/>
      <c r="E308" s="243"/>
      <c r="F308" s="232"/>
      <c r="G308" s="190"/>
      <c r="H308" s="248"/>
      <c r="I308" s="177"/>
    </row>
    <row r="309" s="165" customFormat="1" ht="47.25" customHeight="1" spans="2:9">
      <c r="B309" s="242"/>
      <c r="C309" s="192" t="s">
        <v>1659</v>
      </c>
      <c r="D309" s="227"/>
      <c r="E309" s="243"/>
      <c r="F309" s="232"/>
      <c r="G309" s="190"/>
      <c r="H309" s="248"/>
      <c r="I309" s="177"/>
    </row>
    <row r="310" s="165" customFormat="1" ht="20.25" customHeight="1" spans="2:9">
      <c r="B310" s="242"/>
      <c r="C310" s="226" t="s">
        <v>1672</v>
      </c>
      <c r="D310" s="227"/>
      <c r="E310" s="243"/>
      <c r="F310" s="232"/>
      <c r="G310" s="190"/>
      <c r="H310" s="248"/>
      <c r="I310" s="177"/>
    </row>
    <row r="311" s="165" customFormat="1" ht="20.25" customHeight="1" spans="2:9">
      <c r="B311" s="242"/>
      <c r="C311" s="252" t="s">
        <v>1708</v>
      </c>
      <c r="D311" s="227"/>
      <c r="E311" s="243"/>
      <c r="F311" s="232"/>
      <c r="G311" s="190"/>
      <c r="H311" s="248"/>
      <c r="I311" s="177"/>
    </row>
    <row r="312" s="165" customFormat="1" ht="20.25" customHeight="1" spans="2:9">
      <c r="B312" s="242"/>
      <c r="C312" s="252" t="s">
        <v>1713</v>
      </c>
      <c r="D312" s="227"/>
      <c r="E312" s="251"/>
      <c r="F312" s="232"/>
      <c r="G312" s="190"/>
      <c r="H312" s="248"/>
      <c r="I312" s="177"/>
    </row>
    <row r="313" s="165" customFormat="1" ht="20.25" customHeight="1" spans="2:9">
      <c r="B313" s="242"/>
      <c r="C313" s="252" t="s">
        <v>1743</v>
      </c>
      <c r="D313" s="227"/>
      <c r="E313" s="251"/>
      <c r="F313" s="232"/>
      <c r="G313" s="190"/>
      <c r="H313" s="248"/>
      <c r="I313" s="177"/>
    </row>
    <row r="314" s="165" customFormat="1" ht="20.25" customHeight="1" spans="2:9">
      <c r="B314" s="242"/>
      <c r="C314" s="252" t="s">
        <v>1744</v>
      </c>
      <c r="D314" s="227"/>
      <c r="E314" s="251"/>
      <c r="F314" s="232"/>
      <c r="G314" s="190"/>
      <c r="H314" s="248"/>
      <c r="I314" s="177"/>
    </row>
    <row r="315" s="165" customFormat="1" ht="39" customHeight="1" spans="2:9">
      <c r="B315" s="242"/>
      <c r="C315" s="192" t="s">
        <v>1676</v>
      </c>
      <c r="D315" s="227"/>
      <c r="E315" s="251"/>
      <c r="F315" s="232"/>
      <c r="G315" s="190"/>
      <c r="H315" s="248"/>
      <c r="I315" s="177"/>
    </row>
    <row r="316" s="165" customFormat="1" ht="81.75" customHeight="1" spans="2:9">
      <c r="B316" s="242"/>
      <c r="C316" s="247" t="s">
        <v>1684</v>
      </c>
      <c r="D316" s="227"/>
      <c r="E316" s="251">
        <v>1</v>
      </c>
      <c r="F316" s="229">
        <v>93600</v>
      </c>
      <c r="G316" s="190">
        <f>E316*F316</f>
        <v>93600</v>
      </c>
      <c r="H316" s="248"/>
      <c r="I316" s="177"/>
    </row>
    <row r="317" s="165" customFormat="1" spans="2:9">
      <c r="B317" s="242"/>
      <c r="C317" s="247"/>
      <c r="D317" s="227"/>
      <c r="E317" s="251"/>
      <c r="F317" s="232"/>
      <c r="G317" s="190"/>
      <c r="H317" s="253"/>
      <c r="I317" s="177"/>
    </row>
    <row r="318" s="165" customFormat="1" spans="2:9">
      <c r="B318" s="185" t="s">
        <v>1745</v>
      </c>
      <c r="C318" s="196" t="s">
        <v>1730</v>
      </c>
      <c r="D318" s="227"/>
      <c r="E318" s="251"/>
      <c r="F318" s="232"/>
      <c r="G318" s="190"/>
      <c r="H318" s="248"/>
      <c r="I318" s="177"/>
    </row>
    <row r="319" s="165" customFormat="1" spans="2:9">
      <c r="B319" s="242"/>
      <c r="C319" s="196"/>
      <c r="D319" s="227"/>
      <c r="E319" s="243"/>
      <c r="F319" s="232"/>
      <c r="G319" s="190"/>
      <c r="H319" s="248"/>
      <c r="I319" s="177"/>
    </row>
    <row r="320" s="165" customFormat="1" ht="45.75" customHeight="1" spans="2:9">
      <c r="B320" s="242"/>
      <c r="C320" s="192" t="s">
        <v>1659</v>
      </c>
      <c r="D320" s="227"/>
      <c r="E320" s="243"/>
      <c r="F320" s="232"/>
      <c r="G320" s="190"/>
      <c r="H320" s="248"/>
      <c r="I320" s="177"/>
    </row>
    <row r="321" s="165" customFormat="1" ht="20.25" customHeight="1" spans="2:9">
      <c r="B321" s="242"/>
      <c r="C321" s="226" t="s">
        <v>1672</v>
      </c>
      <c r="D321" s="227"/>
      <c r="E321" s="243"/>
      <c r="F321" s="232"/>
      <c r="G321" s="190"/>
      <c r="H321" s="248"/>
      <c r="I321" s="177"/>
    </row>
    <row r="322" s="165" customFormat="1" ht="20.25" customHeight="1" spans="2:9">
      <c r="B322" s="242"/>
      <c r="C322" s="252" t="s">
        <v>1725</v>
      </c>
      <c r="D322" s="227"/>
      <c r="E322" s="243"/>
      <c r="F322" s="232"/>
      <c r="G322" s="190"/>
      <c r="H322" s="248"/>
      <c r="I322" s="177"/>
    </row>
    <row r="323" s="165" customFormat="1" ht="20.25" customHeight="1" spans="2:9">
      <c r="B323" s="242"/>
      <c r="C323" s="252" t="s">
        <v>1726</v>
      </c>
      <c r="D323" s="227"/>
      <c r="E323" s="243"/>
      <c r="F323" s="232"/>
      <c r="G323" s="190"/>
      <c r="H323" s="248"/>
      <c r="I323" s="177"/>
    </row>
    <row r="324" s="165" customFormat="1" ht="20.25" customHeight="1" spans="2:9">
      <c r="B324" s="242"/>
      <c r="C324" s="243" t="s">
        <v>1727</v>
      </c>
      <c r="D324" s="227"/>
      <c r="E324" s="251"/>
      <c r="F324" s="232"/>
      <c r="G324" s="190"/>
      <c r="H324" s="248"/>
      <c r="I324" s="177"/>
    </row>
    <row r="325" s="165" customFormat="1" ht="20.25" customHeight="1" spans="2:9">
      <c r="B325" s="242"/>
      <c r="C325" s="252" t="s">
        <v>1746</v>
      </c>
      <c r="D325" s="227"/>
      <c r="E325" s="251"/>
      <c r="F325" s="232"/>
      <c r="G325" s="190"/>
      <c r="H325" s="248"/>
      <c r="I325" s="177"/>
    </row>
    <row r="326" s="165" customFormat="1" ht="32.25" customHeight="1" spans="2:9">
      <c r="B326" s="242"/>
      <c r="C326" s="192" t="s">
        <v>1676</v>
      </c>
      <c r="D326" s="227"/>
      <c r="E326" s="251"/>
      <c r="F326" s="232"/>
      <c r="G326" s="190"/>
      <c r="H326" s="248"/>
      <c r="I326" s="177"/>
    </row>
    <row r="327" s="165" customFormat="1" ht="16.5" customHeight="1" spans="2:9">
      <c r="B327" s="242"/>
      <c r="C327" s="192"/>
      <c r="D327" s="227"/>
      <c r="E327" s="251"/>
      <c r="F327" s="232"/>
      <c r="G327" s="190"/>
      <c r="H327" s="248"/>
      <c r="I327" s="177"/>
    </row>
    <row r="328" s="165" customFormat="1" ht="92.25" customHeight="1" spans="2:9">
      <c r="B328" s="254"/>
      <c r="C328" s="249" t="s">
        <v>1684</v>
      </c>
      <c r="D328" s="234"/>
      <c r="E328" s="264">
        <v>1</v>
      </c>
      <c r="F328" s="270">
        <v>104000</v>
      </c>
      <c r="G328" s="209">
        <f>E328*F328</f>
        <v>104000</v>
      </c>
      <c r="H328" s="248"/>
      <c r="I328" s="177"/>
    </row>
    <row r="329" s="165" customFormat="1" ht="15.75" customHeight="1" spans="2:9">
      <c r="B329" s="242"/>
      <c r="C329" s="247"/>
      <c r="D329" s="227"/>
      <c r="E329" s="251"/>
      <c r="F329" s="232"/>
      <c r="G329" s="190"/>
      <c r="H329" s="248"/>
      <c r="I329" s="177"/>
    </row>
    <row r="330" s="165" customFormat="1" ht="18" customHeight="1" spans="2:9">
      <c r="B330" s="185" t="s">
        <v>1747</v>
      </c>
      <c r="C330" s="196" t="s">
        <v>1748</v>
      </c>
      <c r="D330" s="227"/>
      <c r="E330" s="251"/>
      <c r="F330" s="232"/>
      <c r="G330" s="190"/>
      <c r="H330" s="248"/>
      <c r="I330" s="177"/>
    </row>
    <row r="331" s="165" customFormat="1" spans="2:9">
      <c r="B331" s="242"/>
      <c r="C331" s="243"/>
      <c r="D331" s="227"/>
      <c r="E331" s="243"/>
      <c r="F331" s="232"/>
      <c r="G331" s="190"/>
      <c r="H331" s="248"/>
      <c r="I331" s="177"/>
    </row>
    <row r="332" s="165" customFormat="1" ht="41.4" spans="2:9">
      <c r="B332" s="242"/>
      <c r="C332" s="192" t="s">
        <v>1659</v>
      </c>
      <c r="D332" s="227"/>
      <c r="E332" s="243"/>
      <c r="F332" s="232"/>
      <c r="G332" s="190"/>
      <c r="H332" s="248"/>
      <c r="I332" s="177"/>
    </row>
    <row r="333" s="165" customFormat="1" ht="20.25" customHeight="1" spans="2:9">
      <c r="B333" s="242"/>
      <c r="C333" s="226" t="s">
        <v>1749</v>
      </c>
      <c r="D333" s="227"/>
      <c r="E333" s="243"/>
      <c r="F333" s="232"/>
      <c r="G333" s="190"/>
      <c r="H333" s="248"/>
      <c r="I333" s="177"/>
    </row>
    <row r="334" s="165" customFormat="1" ht="20.25" customHeight="1" spans="2:9">
      <c r="B334" s="242"/>
      <c r="C334" s="252" t="s">
        <v>1750</v>
      </c>
      <c r="D334" s="227"/>
      <c r="E334" s="243"/>
      <c r="F334" s="232"/>
      <c r="G334" s="190"/>
      <c r="H334" s="248"/>
      <c r="I334" s="177"/>
    </row>
    <row r="335" s="165" customFormat="1" ht="20.25" customHeight="1" spans="2:9">
      <c r="B335" s="242"/>
      <c r="C335" s="252" t="s">
        <v>1751</v>
      </c>
      <c r="D335" s="227"/>
      <c r="E335" s="243"/>
      <c r="F335" s="232"/>
      <c r="G335" s="190"/>
      <c r="H335" s="248"/>
      <c r="I335" s="177"/>
    </row>
    <row r="336" s="165" customFormat="1" ht="36.75" customHeight="1" spans="2:9">
      <c r="B336" s="242"/>
      <c r="C336" s="192" t="s">
        <v>1676</v>
      </c>
      <c r="D336" s="227"/>
      <c r="E336" s="251"/>
      <c r="F336" s="232"/>
      <c r="G336" s="190"/>
      <c r="H336" s="248"/>
      <c r="I336" s="177"/>
    </row>
    <row r="337" s="165" customFormat="1" ht="90.75" customHeight="1" spans="2:9">
      <c r="B337" s="242"/>
      <c r="C337" s="247" t="s">
        <v>1684</v>
      </c>
      <c r="D337" s="227"/>
      <c r="E337" s="251">
        <v>1</v>
      </c>
      <c r="F337" s="229">
        <v>73320</v>
      </c>
      <c r="G337" s="190">
        <f>E337*F337</f>
        <v>73320</v>
      </c>
      <c r="H337" s="248"/>
      <c r="I337" s="177"/>
    </row>
    <row r="338" s="165" customFormat="1" spans="2:9">
      <c r="B338" s="242"/>
      <c r="C338" s="247"/>
      <c r="D338" s="227"/>
      <c r="E338" s="251"/>
      <c r="F338" s="232"/>
      <c r="G338" s="190"/>
      <c r="H338" s="248"/>
      <c r="I338" s="177"/>
    </row>
    <row r="339" s="165" customFormat="1" ht="20.25" customHeight="1" spans="2:9">
      <c r="B339" s="185" t="s">
        <v>1752</v>
      </c>
      <c r="C339" s="196" t="s">
        <v>1753</v>
      </c>
      <c r="D339" s="227"/>
      <c r="E339" s="251"/>
      <c r="F339" s="232"/>
      <c r="G339" s="190"/>
      <c r="H339" s="248"/>
      <c r="I339" s="177"/>
    </row>
    <row r="340" s="165" customFormat="1" spans="2:9">
      <c r="B340" s="242"/>
      <c r="C340" s="243"/>
      <c r="D340" s="227"/>
      <c r="E340" s="243"/>
      <c r="F340" s="232"/>
      <c r="G340" s="190"/>
      <c r="H340" s="248"/>
      <c r="I340" s="177"/>
    </row>
    <row r="341" s="165" customFormat="1" ht="45.75" customHeight="1" spans="2:9">
      <c r="B341" s="242"/>
      <c r="C341" s="192" t="s">
        <v>1659</v>
      </c>
      <c r="D341" s="227"/>
      <c r="E341" s="243"/>
      <c r="F341" s="232"/>
      <c r="G341" s="190"/>
      <c r="H341" s="248"/>
      <c r="I341" s="177"/>
    </row>
    <row r="342" s="165" customFormat="1" ht="19.5" customHeight="1" spans="2:9">
      <c r="B342" s="242"/>
      <c r="C342" s="226" t="s">
        <v>1672</v>
      </c>
      <c r="D342" s="227"/>
      <c r="E342" s="243"/>
      <c r="F342" s="232"/>
      <c r="G342" s="190"/>
      <c r="H342" s="248"/>
      <c r="I342" s="177"/>
    </row>
    <row r="343" s="165" customFormat="1" ht="19.5" customHeight="1" spans="2:9">
      <c r="B343" s="242"/>
      <c r="C343" s="252" t="s">
        <v>1734</v>
      </c>
      <c r="D343" s="227"/>
      <c r="E343" s="243"/>
      <c r="F343" s="232"/>
      <c r="G343" s="190"/>
      <c r="H343" s="248"/>
      <c r="I343" s="177"/>
    </row>
    <row r="344" s="165" customFormat="1" ht="19.5" customHeight="1" spans="2:9">
      <c r="B344" s="242"/>
      <c r="C344" s="252" t="s">
        <v>1682</v>
      </c>
      <c r="D344" s="227"/>
      <c r="E344" s="243"/>
      <c r="F344" s="232"/>
      <c r="G344" s="190"/>
      <c r="H344" s="248"/>
      <c r="I344" s="177"/>
    </row>
    <row r="345" s="165" customFormat="1" ht="19.5" customHeight="1" spans="2:9">
      <c r="B345" s="242"/>
      <c r="C345" s="252" t="s">
        <v>1754</v>
      </c>
      <c r="D345" s="227"/>
      <c r="E345" s="243"/>
      <c r="F345" s="232"/>
      <c r="G345" s="190"/>
      <c r="H345" s="253"/>
      <c r="I345" s="177"/>
    </row>
    <row r="346" s="165" customFormat="1" ht="19.5" customHeight="1" spans="2:9">
      <c r="B346" s="242"/>
      <c r="C346" s="252" t="s">
        <v>1725</v>
      </c>
      <c r="D346" s="227"/>
      <c r="E346" s="243"/>
      <c r="F346" s="232"/>
      <c r="G346" s="190"/>
      <c r="H346" s="248"/>
      <c r="I346" s="177"/>
    </row>
    <row r="347" s="165" customFormat="1" ht="19.5" customHeight="1" spans="2:9">
      <c r="B347" s="242"/>
      <c r="C347" s="252" t="s">
        <v>1755</v>
      </c>
      <c r="D347" s="227"/>
      <c r="E347" s="251"/>
      <c r="F347" s="232"/>
      <c r="G347" s="190"/>
      <c r="H347" s="248"/>
      <c r="I347" s="177"/>
    </row>
    <row r="348" s="165" customFormat="1" ht="36.75" customHeight="1" spans="2:9">
      <c r="B348" s="242"/>
      <c r="C348" s="192" t="s">
        <v>1676</v>
      </c>
      <c r="D348" s="227"/>
      <c r="E348" s="251"/>
      <c r="F348" s="232"/>
      <c r="G348" s="190"/>
      <c r="H348" s="248"/>
      <c r="I348" s="177"/>
    </row>
    <row r="349" s="165" customFormat="1" ht="84.75" customHeight="1" spans="2:9">
      <c r="B349" s="242"/>
      <c r="C349" s="247" t="s">
        <v>1684</v>
      </c>
      <c r="D349" s="227"/>
      <c r="E349" s="251">
        <v>2</v>
      </c>
      <c r="F349" s="229">
        <v>223600</v>
      </c>
      <c r="G349" s="190">
        <f>E349*F349</f>
        <v>447200</v>
      </c>
      <c r="H349" s="248"/>
      <c r="I349" s="177"/>
    </row>
    <row r="350" s="165" customFormat="1" spans="2:9">
      <c r="B350" s="242"/>
      <c r="C350" s="247"/>
      <c r="D350" s="227"/>
      <c r="E350" s="251"/>
      <c r="F350" s="232"/>
      <c r="G350" s="190"/>
      <c r="H350" s="248"/>
      <c r="I350" s="177"/>
    </row>
    <row r="351" s="165" customFormat="1" ht="16.5" customHeight="1" spans="2:9">
      <c r="B351" s="185" t="s">
        <v>1756</v>
      </c>
      <c r="C351" s="196" t="s">
        <v>1690</v>
      </c>
      <c r="D351" s="227"/>
      <c r="E351" s="251"/>
      <c r="F351" s="232"/>
      <c r="G351" s="190"/>
      <c r="H351" s="248"/>
      <c r="I351" s="177"/>
    </row>
    <row r="352" s="165" customFormat="1" spans="2:9">
      <c r="B352" s="242"/>
      <c r="C352" s="243"/>
      <c r="D352" s="227"/>
      <c r="E352" s="243"/>
      <c r="F352" s="232"/>
      <c r="G352" s="190"/>
      <c r="H352" s="248"/>
      <c r="I352" s="177"/>
    </row>
    <row r="353" s="165" customFormat="1" ht="46.5" customHeight="1" spans="2:9">
      <c r="B353" s="242"/>
      <c r="C353" s="192" t="s">
        <v>1659</v>
      </c>
      <c r="D353" s="227"/>
      <c r="E353" s="243"/>
      <c r="F353" s="232"/>
      <c r="G353" s="190"/>
      <c r="H353" s="248"/>
      <c r="I353" s="177"/>
    </row>
    <row r="354" s="165" customFormat="1" ht="18.75" customHeight="1" spans="2:9">
      <c r="B354" s="242"/>
      <c r="C354" s="226" t="s">
        <v>1672</v>
      </c>
      <c r="D354" s="227"/>
      <c r="E354" s="243"/>
      <c r="F354" s="232"/>
      <c r="G354" s="190"/>
      <c r="H354" s="248"/>
      <c r="I354" s="177"/>
    </row>
    <row r="355" s="165" customFormat="1" ht="18.75" customHeight="1" spans="2:9">
      <c r="B355" s="242"/>
      <c r="C355" s="252" t="s">
        <v>1721</v>
      </c>
      <c r="D355" s="227"/>
      <c r="E355" s="243"/>
      <c r="F355" s="232"/>
      <c r="G355" s="190"/>
      <c r="H355" s="248"/>
      <c r="I355" s="177"/>
    </row>
    <row r="356" s="165" customFormat="1" ht="18.75" customHeight="1" spans="2:9">
      <c r="B356" s="242"/>
      <c r="C356" s="243" t="s">
        <v>1682</v>
      </c>
      <c r="D356" s="227"/>
      <c r="E356" s="243"/>
      <c r="F356" s="232"/>
      <c r="G356" s="190"/>
      <c r="H356" s="248"/>
      <c r="I356" s="177"/>
    </row>
    <row r="357" s="165" customFormat="1" ht="18.75" customHeight="1" spans="2:9">
      <c r="B357" s="242"/>
      <c r="C357" s="252" t="s">
        <v>1757</v>
      </c>
      <c r="D357" s="227"/>
      <c r="E357" s="243"/>
      <c r="F357" s="232"/>
      <c r="G357" s="190"/>
      <c r="H357" s="248"/>
      <c r="I357" s="177"/>
    </row>
    <row r="358" s="165" customFormat="1" ht="18.75" customHeight="1" spans="2:9">
      <c r="B358" s="242"/>
      <c r="C358" s="252" t="s">
        <v>1758</v>
      </c>
      <c r="D358" s="227"/>
      <c r="E358" s="243"/>
      <c r="F358" s="232"/>
      <c r="G358" s="190"/>
      <c r="H358" s="248"/>
      <c r="I358" s="177"/>
    </row>
    <row r="359" s="165" customFormat="1" ht="20.25" customHeight="1" spans="2:9">
      <c r="B359" s="254"/>
      <c r="C359" s="265" t="s">
        <v>1759</v>
      </c>
      <c r="D359" s="234"/>
      <c r="E359" s="256"/>
      <c r="F359" s="236"/>
      <c r="G359" s="209"/>
      <c r="H359" s="248"/>
      <c r="I359" s="177"/>
    </row>
    <row r="360" s="166" customFormat="1" ht="22.5" customHeight="1" spans="2:9">
      <c r="B360" s="257"/>
      <c r="C360" s="262" t="s">
        <v>1760</v>
      </c>
      <c r="D360" s="259"/>
      <c r="E360" s="266"/>
      <c r="F360" s="261"/>
      <c r="G360" s="222"/>
      <c r="H360" s="223"/>
      <c r="I360" s="250"/>
    </row>
    <row r="361" s="165" customFormat="1" ht="38.25" customHeight="1" spans="2:9">
      <c r="B361" s="242"/>
      <c r="C361" s="192" t="s">
        <v>1676</v>
      </c>
      <c r="D361" s="227"/>
      <c r="E361" s="251"/>
      <c r="F361" s="232"/>
      <c r="G361" s="190"/>
      <c r="H361" s="248"/>
      <c r="I361" s="177"/>
    </row>
    <row r="362" s="165" customFormat="1" ht="84.75" customHeight="1" spans="2:9">
      <c r="B362" s="242"/>
      <c r="C362" s="247" t="s">
        <v>1684</v>
      </c>
      <c r="D362" s="227"/>
      <c r="E362" s="264">
        <v>1</v>
      </c>
      <c r="F362" s="229">
        <v>228800</v>
      </c>
      <c r="G362" s="190">
        <f>E362*F362</f>
        <v>228800</v>
      </c>
      <c r="H362" s="248"/>
      <c r="I362" s="177"/>
    </row>
    <row r="363" s="165" customFormat="1" spans="2:9">
      <c r="B363" s="242"/>
      <c r="C363" s="247"/>
      <c r="D363" s="227"/>
      <c r="E363" s="251"/>
      <c r="F363" s="232"/>
      <c r="G363" s="190"/>
      <c r="H363" s="248"/>
      <c r="I363" s="177"/>
    </row>
    <row r="364" s="165" customFormat="1" spans="2:9">
      <c r="B364" s="185" t="s">
        <v>1761</v>
      </c>
      <c r="C364" s="196" t="s">
        <v>1762</v>
      </c>
      <c r="D364" s="227"/>
      <c r="E364" s="251"/>
      <c r="F364" s="232"/>
      <c r="G364" s="190"/>
      <c r="H364" s="248"/>
      <c r="I364" s="177"/>
    </row>
    <row r="365" s="165" customFormat="1" spans="2:9">
      <c r="B365" s="242"/>
      <c r="C365" s="243"/>
      <c r="D365" s="227"/>
      <c r="E365" s="243"/>
      <c r="F365" s="232"/>
      <c r="G365" s="190"/>
      <c r="H365" s="248"/>
      <c r="I365" s="177"/>
    </row>
    <row r="366" s="165" customFormat="1" ht="47.25" customHeight="1" spans="2:9">
      <c r="B366" s="242"/>
      <c r="C366" s="192" t="s">
        <v>1659</v>
      </c>
      <c r="D366" s="227"/>
      <c r="E366" s="243"/>
      <c r="F366" s="232"/>
      <c r="G366" s="190"/>
      <c r="H366" s="248"/>
      <c r="I366" s="177"/>
    </row>
    <row r="367" s="165" customFormat="1" ht="21" customHeight="1" spans="2:9">
      <c r="B367" s="242"/>
      <c r="C367" s="226" t="s">
        <v>1672</v>
      </c>
      <c r="D367" s="227"/>
      <c r="E367" s="243"/>
      <c r="F367" s="232"/>
      <c r="G367" s="190"/>
      <c r="H367" s="248"/>
      <c r="I367" s="177"/>
    </row>
    <row r="368" s="165" customFormat="1" ht="21" customHeight="1" spans="2:9">
      <c r="B368" s="242"/>
      <c r="C368" s="252" t="s">
        <v>1702</v>
      </c>
      <c r="D368" s="227"/>
      <c r="E368" s="243"/>
      <c r="F368" s="232"/>
      <c r="G368" s="190"/>
      <c r="H368" s="248"/>
      <c r="I368" s="177"/>
    </row>
    <row r="369" s="165" customFormat="1" ht="21" customHeight="1" spans="2:9">
      <c r="B369" s="242"/>
      <c r="C369" s="252" t="s">
        <v>1726</v>
      </c>
      <c r="D369" s="227"/>
      <c r="E369" s="251"/>
      <c r="F369" s="232"/>
      <c r="G369" s="190"/>
      <c r="H369" s="248"/>
      <c r="I369" s="177"/>
    </row>
    <row r="370" s="165" customFormat="1" ht="21" customHeight="1" spans="2:9">
      <c r="B370" s="242"/>
      <c r="C370" s="252" t="s">
        <v>1738</v>
      </c>
      <c r="D370" s="227"/>
      <c r="E370" s="251"/>
      <c r="F370" s="232"/>
      <c r="G370" s="190"/>
      <c r="H370" s="248"/>
      <c r="I370" s="177"/>
    </row>
    <row r="371" s="165" customFormat="1" ht="21" customHeight="1" spans="2:9">
      <c r="B371" s="242"/>
      <c r="C371" s="252" t="s">
        <v>1758</v>
      </c>
      <c r="D371" s="227"/>
      <c r="E371" s="251"/>
      <c r="F371" s="232"/>
      <c r="G371" s="190"/>
      <c r="H371" s="248"/>
      <c r="I371" s="177"/>
    </row>
    <row r="372" s="165" customFormat="1" ht="21" customHeight="1" spans="2:9">
      <c r="B372" s="242"/>
      <c r="C372" s="252" t="s">
        <v>1759</v>
      </c>
      <c r="D372" s="227"/>
      <c r="E372" s="251"/>
      <c r="F372" s="232"/>
      <c r="G372" s="190"/>
      <c r="H372" s="248"/>
      <c r="I372" s="177"/>
    </row>
    <row r="373" s="165" customFormat="1" ht="21" customHeight="1" spans="2:9">
      <c r="B373" s="242"/>
      <c r="C373" s="252" t="s">
        <v>1763</v>
      </c>
      <c r="D373" s="227"/>
      <c r="E373" s="251"/>
      <c r="F373" s="232"/>
      <c r="G373" s="190"/>
      <c r="H373" s="248"/>
      <c r="I373" s="177"/>
    </row>
    <row r="374" s="165" customFormat="1" ht="30.75" customHeight="1" spans="2:9">
      <c r="B374" s="242"/>
      <c r="C374" s="192" t="s">
        <v>1676</v>
      </c>
      <c r="D374" s="227"/>
      <c r="E374" s="251"/>
      <c r="F374" s="232"/>
      <c r="G374" s="190"/>
      <c r="H374" s="268"/>
      <c r="I374" s="177"/>
    </row>
    <row r="375" s="165" customFormat="1" ht="84" customHeight="1" spans="2:9">
      <c r="B375" s="242"/>
      <c r="C375" s="247" t="s">
        <v>1684</v>
      </c>
      <c r="D375" s="227"/>
      <c r="E375" s="251">
        <v>4</v>
      </c>
      <c r="F375" s="229">
        <v>145600</v>
      </c>
      <c r="G375" s="190">
        <f>E375*F375</f>
        <v>582400</v>
      </c>
      <c r="H375" s="268"/>
      <c r="I375" s="177"/>
    </row>
    <row r="376" s="165" customFormat="1" spans="2:9">
      <c r="B376" s="242"/>
      <c r="C376" s="247"/>
      <c r="D376" s="227"/>
      <c r="E376" s="251"/>
      <c r="F376" s="232"/>
      <c r="G376" s="190"/>
      <c r="H376" s="268"/>
      <c r="I376" s="177"/>
    </row>
    <row r="377" s="165" customFormat="1" ht="18" customHeight="1" spans="2:9">
      <c r="B377" s="185" t="s">
        <v>1764</v>
      </c>
      <c r="C377" s="196" t="s">
        <v>1730</v>
      </c>
      <c r="D377" s="227"/>
      <c r="E377" s="251"/>
      <c r="F377" s="232"/>
      <c r="G377" s="190"/>
      <c r="H377" s="268"/>
      <c r="I377" s="177"/>
    </row>
    <row r="378" s="165" customFormat="1" spans="2:9">
      <c r="B378" s="242"/>
      <c r="C378" s="243"/>
      <c r="D378" s="227"/>
      <c r="E378" s="243"/>
      <c r="F378" s="232"/>
      <c r="G378" s="190"/>
      <c r="H378" s="268"/>
      <c r="I378" s="177"/>
    </row>
    <row r="379" s="165" customFormat="1" ht="48" customHeight="1" spans="2:9">
      <c r="B379" s="242"/>
      <c r="C379" s="192" t="s">
        <v>1659</v>
      </c>
      <c r="D379" s="227"/>
      <c r="E379" s="243"/>
      <c r="F379" s="232"/>
      <c r="G379" s="190"/>
      <c r="H379" s="268"/>
      <c r="I379" s="177"/>
    </row>
    <row r="380" s="165" customFormat="1" ht="18.75" customHeight="1" spans="2:9">
      <c r="B380" s="242"/>
      <c r="C380" s="226" t="s">
        <v>1672</v>
      </c>
      <c r="D380" s="227"/>
      <c r="E380" s="243"/>
      <c r="F380" s="232"/>
      <c r="G380" s="190"/>
      <c r="H380" s="268"/>
      <c r="I380" s="177"/>
    </row>
    <row r="381" s="165" customFormat="1" ht="18.75" customHeight="1" spans="2:9">
      <c r="B381" s="242"/>
      <c r="C381" s="252" t="s">
        <v>1708</v>
      </c>
      <c r="D381" s="227"/>
      <c r="E381" s="243"/>
      <c r="F381" s="232"/>
      <c r="G381" s="190"/>
      <c r="H381" s="268"/>
      <c r="I381" s="177"/>
    </row>
    <row r="382" s="165" customFormat="1" ht="18.75" customHeight="1" spans="2:9">
      <c r="B382" s="242"/>
      <c r="C382" s="243" t="s">
        <v>1709</v>
      </c>
      <c r="D382" s="227"/>
      <c r="E382" s="243"/>
      <c r="F382" s="232"/>
      <c r="G382" s="190"/>
      <c r="H382" s="268"/>
      <c r="I382" s="177"/>
    </row>
    <row r="383" s="165" customFormat="1" ht="18.75" customHeight="1" spans="2:9">
      <c r="B383" s="242"/>
      <c r="C383" s="252" t="s">
        <v>1727</v>
      </c>
      <c r="D383" s="227"/>
      <c r="E383" s="243"/>
      <c r="F383" s="232"/>
      <c r="G383" s="190"/>
      <c r="H383" s="268"/>
      <c r="I383" s="177"/>
    </row>
    <row r="384" s="165" customFormat="1" ht="18.75" customHeight="1" spans="2:9">
      <c r="B384" s="242"/>
      <c r="C384" s="252" t="s">
        <v>1741</v>
      </c>
      <c r="D384" s="227"/>
      <c r="E384" s="251"/>
      <c r="F384" s="232"/>
      <c r="G384" s="190"/>
      <c r="H384" s="268"/>
      <c r="I384" s="177"/>
    </row>
    <row r="385" s="165" customFormat="1" ht="30.75" customHeight="1" spans="2:9">
      <c r="B385" s="242"/>
      <c r="C385" s="192" t="s">
        <v>1676</v>
      </c>
      <c r="D385" s="227"/>
      <c r="E385" s="251"/>
      <c r="F385" s="232"/>
      <c r="G385" s="190"/>
      <c r="H385" s="268"/>
      <c r="I385" s="177"/>
    </row>
    <row r="386" s="165" customFormat="1" ht="84.75" customHeight="1" spans="2:9">
      <c r="B386" s="254"/>
      <c r="C386" s="249" t="s">
        <v>1684</v>
      </c>
      <c r="D386" s="234"/>
      <c r="E386" s="264">
        <v>1</v>
      </c>
      <c r="F386" s="270">
        <v>93600</v>
      </c>
      <c r="G386" s="209">
        <f>E386*F386</f>
        <v>93600</v>
      </c>
      <c r="H386" s="268"/>
      <c r="I386" s="177"/>
    </row>
    <row r="387" s="165" customFormat="1" ht="18.75" customHeight="1" spans="2:9">
      <c r="B387" s="242"/>
      <c r="C387" s="247"/>
      <c r="D387" s="227"/>
      <c r="E387" s="251"/>
      <c r="F387" s="232"/>
      <c r="G387" s="190"/>
      <c r="H387" s="268"/>
      <c r="I387" s="177"/>
    </row>
    <row r="388" s="165" customFormat="1" ht="15.75" customHeight="1" spans="2:9">
      <c r="B388" s="185" t="s">
        <v>1765</v>
      </c>
      <c r="C388" s="196" t="s">
        <v>1766</v>
      </c>
      <c r="D388" s="227"/>
      <c r="E388" s="251"/>
      <c r="F388" s="232"/>
      <c r="G388" s="190"/>
      <c r="H388" s="248"/>
      <c r="I388" s="177"/>
    </row>
    <row r="389" s="165" customFormat="1" spans="2:9">
      <c r="B389" s="242"/>
      <c r="C389" s="243"/>
      <c r="D389" s="227"/>
      <c r="E389" s="243"/>
      <c r="F389" s="232"/>
      <c r="G389" s="190"/>
      <c r="H389" s="248"/>
      <c r="I389" s="177"/>
    </row>
    <row r="390" s="165" customFormat="1" ht="45.75" customHeight="1" spans="2:9">
      <c r="B390" s="242"/>
      <c r="C390" s="192" t="s">
        <v>1659</v>
      </c>
      <c r="D390" s="227"/>
      <c r="E390" s="243"/>
      <c r="F390" s="232"/>
      <c r="G390" s="190"/>
      <c r="H390" s="248"/>
      <c r="I390" s="177"/>
    </row>
    <row r="391" s="165" customFormat="1" ht="21" customHeight="1" spans="2:9">
      <c r="B391" s="242"/>
      <c r="C391" s="226" t="s">
        <v>1672</v>
      </c>
      <c r="D391" s="227"/>
      <c r="E391" s="243"/>
      <c r="F391" s="232"/>
      <c r="G391" s="190"/>
      <c r="H391" s="248"/>
      <c r="I391" s="177"/>
    </row>
    <row r="392" s="165" customFormat="1" ht="18.75" customHeight="1" spans="2:9">
      <c r="B392" s="242"/>
      <c r="C392" s="252" t="s">
        <v>1708</v>
      </c>
      <c r="D392" s="227"/>
      <c r="E392" s="243"/>
      <c r="F392" s="232"/>
      <c r="G392" s="190"/>
      <c r="H392" s="248"/>
      <c r="I392" s="177"/>
    </row>
    <row r="393" s="165" customFormat="1" ht="24.75" customHeight="1" spans="2:9">
      <c r="B393" s="257"/>
      <c r="C393" s="262" t="s">
        <v>1713</v>
      </c>
      <c r="D393" s="227"/>
      <c r="E393" s="251"/>
      <c r="F393" s="232"/>
      <c r="G393" s="190"/>
      <c r="H393" s="248"/>
      <c r="I393" s="177"/>
    </row>
    <row r="394" s="165" customFormat="1" ht="21" customHeight="1" spans="2:9">
      <c r="B394" s="242"/>
      <c r="C394" s="252" t="s">
        <v>1727</v>
      </c>
      <c r="D394" s="227"/>
      <c r="E394" s="251"/>
      <c r="F394" s="232"/>
      <c r="G394" s="190"/>
      <c r="H394" s="248"/>
      <c r="I394" s="177"/>
    </row>
    <row r="395" s="165" customFormat="1" ht="21" customHeight="1" spans="2:9">
      <c r="B395" s="242"/>
      <c r="C395" s="252" t="s">
        <v>1741</v>
      </c>
      <c r="D395" s="227"/>
      <c r="E395" s="251"/>
      <c r="F395" s="232"/>
      <c r="G395" s="190"/>
      <c r="H395" s="248"/>
      <c r="I395" s="177"/>
    </row>
    <row r="396" s="165" customFormat="1" ht="33.75" customHeight="1" spans="2:9">
      <c r="B396" s="242"/>
      <c r="C396" s="192" t="s">
        <v>1676</v>
      </c>
      <c r="D396" s="227"/>
      <c r="E396" s="251"/>
      <c r="F396" s="232"/>
      <c r="G396" s="190"/>
      <c r="H396" s="248"/>
      <c r="I396" s="177"/>
    </row>
    <row r="397" s="165" customFormat="1" ht="85.5" customHeight="1" spans="2:9">
      <c r="B397" s="242"/>
      <c r="C397" s="247" t="s">
        <v>1684</v>
      </c>
      <c r="D397" s="227"/>
      <c r="E397" s="251">
        <v>1</v>
      </c>
      <c r="F397" s="229">
        <v>93600</v>
      </c>
      <c r="G397" s="190">
        <f>E397*F397</f>
        <v>93600</v>
      </c>
      <c r="H397" s="248"/>
      <c r="I397" s="177"/>
    </row>
    <row r="398" s="165" customFormat="1" spans="2:9">
      <c r="B398" s="242"/>
      <c r="C398" s="247"/>
      <c r="D398" s="227"/>
      <c r="E398" s="251"/>
      <c r="F398" s="232"/>
      <c r="G398" s="190"/>
      <c r="H398" s="253"/>
      <c r="I398" s="177"/>
    </row>
    <row r="399" s="165" customFormat="1" ht="18" customHeight="1" spans="2:9">
      <c r="B399" s="185" t="s">
        <v>1767</v>
      </c>
      <c r="C399" s="196" t="s">
        <v>1704</v>
      </c>
      <c r="D399" s="227"/>
      <c r="E399" s="251"/>
      <c r="F399" s="232"/>
      <c r="G399" s="190"/>
      <c r="H399" s="248"/>
      <c r="I399" s="177"/>
    </row>
    <row r="400" s="165" customFormat="1" spans="2:9">
      <c r="B400" s="242"/>
      <c r="C400" s="243"/>
      <c r="D400" s="227"/>
      <c r="E400" s="243"/>
      <c r="F400" s="232"/>
      <c r="G400" s="190"/>
      <c r="H400" s="248"/>
      <c r="I400" s="177"/>
    </row>
    <row r="401" s="165" customFormat="1" ht="43.5" customHeight="1" spans="2:9">
      <c r="B401" s="242"/>
      <c r="C401" s="192" t="s">
        <v>1659</v>
      </c>
      <c r="D401" s="227"/>
      <c r="E401" s="243"/>
      <c r="F401" s="232"/>
      <c r="G401" s="190"/>
      <c r="H401" s="248"/>
      <c r="I401" s="177"/>
    </row>
    <row r="402" s="165" customFormat="1" ht="18" customHeight="1" spans="2:9">
      <c r="B402" s="242"/>
      <c r="C402" s="226" t="s">
        <v>1672</v>
      </c>
      <c r="D402" s="227"/>
      <c r="E402" s="243"/>
      <c r="F402" s="232"/>
      <c r="G402" s="190"/>
      <c r="H402" s="248"/>
      <c r="I402" s="177"/>
    </row>
    <row r="403" s="165" customFormat="1" ht="18" customHeight="1" spans="2:9">
      <c r="B403" s="242"/>
      <c r="C403" s="252" t="s">
        <v>1754</v>
      </c>
      <c r="D403" s="227"/>
      <c r="E403" s="243"/>
      <c r="F403" s="232"/>
      <c r="G403" s="190"/>
      <c r="H403" s="248"/>
      <c r="I403" s="177"/>
    </row>
    <row r="404" s="165" customFormat="1" ht="18" customHeight="1" spans="2:9">
      <c r="B404" s="242"/>
      <c r="C404" s="252" t="s">
        <v>1682</v>
      </c>
      <c r="D404" s="227"/>
      <c r="E404" s="243"/>
      <c r="F404" s="232"/>
      <c r="G404" s="190"/>
      <c r="H404" s="248"/>
      <c r="I404" s="177"/>
    </row>
    <row r="405" s="165" customFormat="1" ht="33" customHeight="1" spans="2:9">
      <c r="B405" s="242"/>
      <c r="C405" s="192" t="s">
        <v>1676</v>
      </c>
      <c r="D405" s="227"/>
      <c r="E405" s="251"/>
      <c r="F405" s="232"/>
      <c r="G405" s="190"/>
      <c r="H405" s="248"/>
      <c r="I405" s="177"/>
    </row>
    <row r="406" s="165" customFormat="1" ht="81.75" customHeight="1" spans="2:9">
      <c r="B406" s="242"/>
      <c r="C406" s="247" t="s">
        <v>1684</v>
      </c>
      <c r="D406" s="227"/>
      <c r="E406" s="251">
        <v>1</v>
      </c>
      <c r="F406" s="229">
        <v>166400</v>
      </c>
      <c r="G406" s="190">
        <f>E406*F406</f>
        <v>166400</v>
      </c>
      <c r="H406" s="248"/>
      <c r="I406" s="177"/>
    </row>
    <row r="407" s="165" customFormat="1" spans="2:9">
      <c r="B407" s="242"/>
      <c r="C407" s="247"/>
      <c r="D407" s="227"/>
      <c r="E407" s="251"/>
      <c r="F407" s="232"/>
      <c r="G407" s="190"/>
      <c r="H407" s="248"/>
      <c r="I407" s="177"/>
    </row>
    <row r="408" s="165" customFormat="1" ht="18" customHeight="1" spans="2:9">
      <c r="B408" s="185" t="s">
        <v>1768</v>
      </c>
      <c r="C408" s="196" t="s">
        <v>1769</v>
      </c>
      <c r="D408" s="227"/>
      <c r="E408" s="251"/>
      <c r="F408" s="232"/>
      <c r="G408" s="190"/>
      <c r="H408" s="248"/>
      <c r="I408" s="177"/>
    </row>
    <row r="409" s="165" customFormat="1" spans="2:9">
      <c r="B409" s="242"/>
      <c r="C409" s="243"/>
      <c r="D409" s="227"/>
      <c r="E409" s="243"/>
      <c r="F409" s="232"/>
      <c r="G409" s="190"/>
      <c r="H409" s="248"/>
      <c r="I409" s="177"/>
    </row>
    <row r="410" s="165" customFormat="1" ht="41.4" spans="2:9">
      <c r="B410" s="242"/>
      <c r="C410" s="192" t="s">
        <v>1659</v>
      </c>
      <c r="D410" s="227"/>
      <c r="E410" s="243"/>
      <c r="F410" s="232"/>
      <c r="G410" s="190"/>
      <c r="H410" s="248"/>
      <c r="I410" s="177"/>
    </row>
    <row r="411" s="165" customFormat="1" ht="20.25" customHeight="1" spans="2:9">
      <c r="B411" s="242"/>
      <c r="C411" s="226" t="s">
        <v>1672</v>
      </c>
      <c r="D411" s="227"/>
      <c r="E411" s="243"/>
      <c r="F411" s="232"/>
      <c r="G411" s="190"/>
      <c r="H411" s="248"/>
      <c r="I411" s="177"/>
    </row>
    <row r="412" s="165" customFormat="1" ht="20.25" customHeight="1" spans="2:9">
      <c r="B412" s="242"/>
      <c r="C412" s="252" t="s">
        <v>1750</v>
      </c>
      <c r="D412" s="227"/>
      <c r="E412" s="243"/>
      <c r="F412" s="232"/>
      <c r="G412" s="190"/>
      <c r="H412" s="248"/>
      <c r="I412" s="177"/>
    </row>
    <row r="413" s="165" customFormat="1" ht="20.25" customHeight="1" spans="2:9">
      <c r="B413" s="242"/>
      <c r="C413" s="243" t="s">
        <v>1751</v>
      </c>
      <c r="D413" s="227"/>
      <c r="E413" s="243"/>
      <c r="F413" s="232"/>
      <c r="G413" s="190"/>
      <c r="H413" s="248"/>
      <c r="I413" s="177"/>
    </row>
    <row r="414" s="165" customFormat="1" ht="18.75" customHeight="1" spans="2:9">
      <c r="B414" s="242"/>
      <c r="C414" s="252" t="s">
        <v>1770</v>
      </c>
      <c r="D414" s="227"/>
      <c r="E414" s="243"/>
      <c r="F414" s="232"/>
      <c r="G414" s="190"/>
      <c r="H414" s="248"/>
      <c r="I414" s="177"/>
    </row>
    <row r="415" s="167" customFormat="1" ht="33.75" customHeight="1" spans="2:9">
      <c r="B415" s="254"/>
      <c r="C415" s="263" t="s">
        <v>1676</v>
      </c>
      <c r="D415" s="234"/>
      <c r="E415" s="264"/>
      <c r="F415" s="236"/>
      <c r="G415" s="209"/>
      <c r="H415" s="248"/>
      <c r="I415" s="245"/>
    </row>
    <row r="416" s="167" customFormat="1" ht="13.5" customHeight="1" spans="2:9">
      <c r="B416" s="242"/>
      <c r="C416" s="192"/>
      <c r="D416" s="227"/>
      <c r="E416" s="251"/>
      <c r="F416" s="232"/>
      <c r="G416" s="190"/>
      <c r="H416" s="248"/>
      <c r="I416" s="245"/>
    </row>
    <row r="417" s="165" customFormat="1" ht="85.5" customHeight="1" spans="2:9">
      <c r="B417" s="242"/>
      <c r="C417" s="247" t="s">
        <v>1684</v>
      </c>
      <c r="D417" s="227"/>
      <c r="E417" s="251">
        <v>3</v>
      </c>
      <c r="F417" s="229">
        <v>87880</v>
      </c>
      <c r="G417" s="190">
        <f>E417*F417</f>
        <v>263640</v>
      </c>
      <c r="H417" s="248"/>
      <c r="I417" s="177"/>
    </row>
    <row r="418" s="165" customFormat="1" spans="2:9">
      <c r="B418" s="242"/>
      <c r="C418" s="247"/>
      <c r="D418" s="227"/>
      <c r="E418" s="251"/>
      <c r="F418" s="232"/>
      <c r="G418" s="190"/>
      <c r="H418" s="248"/>
      <c r="I418" s="177"/>
    </row>
    <row r="419" s="165" customFormat="1" ht="15.75" customHeight="1" spans="2:9">
      <c r="B419" s="185" t="s">
        <v>1771</v>
      </c>
      <c r="C419" s="196" t="s">
        <v>1690</v>
      </c>
      <c r="D419" s="227"/>
      <c r="E419" s="251"/>
      <c r="F419" s="232"/>
      <c r="G419" s="190"/>
      <c r="H419" s="248"/>
      <c r="I419" s="177"/>
    </row>
    <row r="420" s="165" customFormat="1" spans="2:9">
      <c r="B420" s="242"/>
      <c r="C420" s="243"/>
      <c r="D420" s="227"/>
      <c r="E420" s="243"/>
      <c r="F420" s="232"/>
      <c r="G420" s="190"/>
      <c r="H420" s="248"/>
      <c r="I420" s="177"/>
    </row>
    <row r="421" s="165" customFormat="1" ht="46.5" customHeight="1" spans="2:9">
      <c r="B421" s="242"/>
      <c r="C421" s="192" t="s">
        <v>1659</v>
      </c>
      <c r="D421" s="227"/>
      <c r="E421" s="243"/>
      <c r="F421" s="232"/>
      <c r="G421" s="190"/>
      <c r="H421" s="248"/>
      <c r="I421" s="177"/>
    </row>
    <row r="422" s="165" customFormat="1" ht="20.25" customHeight="1" spans="2:9">
      <c r="B422" s="242"/>
      <c r="C422" s="226" t="s">
        <v>1672</v>
      </c>
      <c r="D422" s="227"/>
      <c r="E422" s="243"/>
      <c r="F422" s="232"/>
      <c r="G422" s="190"/>
      <c r="H422" s="248"/>
      <c r="I422" s="177"/>
    </row>
    <row r="423" s="165" customFormat="1" ht="20.25" customHeight="1" spans="2:9">
      <c r="B423" s="242"/>
      <c r="C423" s="252" t="s">
        <v>1750</v>
      </c>
      <c r="D423" s="227"/>
      <c r="E423" s="243"/>
      <c r="F423" s="232"/>
      <c r="G423" s="190"/>
      <c r="H423" s="248"/>
      <c r="I423" s="177"/>
    </row>
    <row r="424" s="165" customFormat="1" ht="20.25" customHeight="1" spans="2:9">
      <c r="B424" s="242"/>
      <c r="C424" s="252" t="s">
        <v>1751</v>
      </c>
      <c r="D424" s="227"/>
      <c r="E424" s="243"/>
      <c r="F424" s="232"/>
      <c r="G424" s="190"/>
      <c r="H424" s="248"/>
      <c r="I424" s="177"/>
    </row>
    <row r="425" s="165" customFormat="1" ht="20.25" customHeight="1" spans="2:9">
      <c r="B425" s="242"/>
      <c r="C425" s="252" t="s">
        <v>1696</v>
      </c>
      <c r="D425" s="227"/>
      <c r="E425" s="243"/>
      <c r="F425" s="232"/>
      <c r="G425" s="190"/>
      <c r="H425" s="248"/>
      <c r="I425" s="177"/>
    </row>
    <row r="426" s="166" customFormat="1" ht="22.5" customHeight="1" spans="2:9">
      <c r="B426" s="257"/>
      <c r="C426" s="262" t="s">
        <v>1741</v>
      </c>
      <c r="D426" s="259"/>
      <c r="E426" s="260"/>
      <c r="F426" s="261"/>
      <c r="G426" s="222"/>
      <c r="H426" s="272"/>
      <c r="I426" s="250"/>
    </row>
    <row r="427" s="165" customFormat="1" ht="33.75" customHeight="1" spans="2:9">
      <c r="B427" s="242"/>
      <c r="C427" s="192" t="s">
        <v>1676</v>
      </c>
      <c r="D427" s="227"/>
      <c r="E427" s="251"/>
      <c r="F427" s="232"/>
      <c r="G427" s="190"/>
      <c r="H427" s="248"/>
      <c r="I427" s="177"/>
    </row>
    <row r="428" s="165" customFormat="1" ht="84.75" customHeight="1" spans="2:9">
      <c r="B428" s="242"/>
      <c r="C428" s="247" t="s">
        <v>1684</v>
      </c>
      <c r="D428" s="227"/>
      <c r="E428" s="251">
        <v>1</v>
      </c>
      <c r="F428" s="229">
        <v>109200</v>
      </c>
      <c r="G428" s="190">
        <f>E428*F428</f>
        <v>109200</v>
      </c>
      <c r="H428" s="248"/>
      <c r="I428" s="177"/>
    </row>
    <row r="429" s="165" customFormat="1" spans="2:9">
      <c r="B429" s="242"/>
      <c r="C429" s="247"/>
      <c r="D429" s="227"/>
      <c r="E429" s="251"/>
      <c r="F429" s="232"/>
      <c r="G429" s="190"/>
      <c r="H429" s="248"/>
      <c r="I429" s="177"/>
    </row>
    <row r="430" s="165" customFormat="1" spans="2:9">
      <c r="B430" s="185" t="s">
        <v>1772</v>
      </c>
      <c r="C430" s="196" t="s">
        <v>1699</v>
      </c>
      <c r="D430" s="227"/>
      <c r="E430" s="251"/>
      <c r="F430" s="232"/>
      <c r="G430" s="190"/>
      <c r="H430" s="248"/>
      <c r="I430" s="177"/>
    </row>
    <row r="431" s="165" customFormat="1" spans="2:9">
      <c r="B431" s="242"/>
      <c r="C431" s="243"/>
      <c r="D431" s="227"/>
      <c r="E431" s="243"/>
      <c r="F431" s="232"/>
      <c r="G431" s="190"/>
      <c r="H431" s="248"/>
      <c r="I431" s="177"/>
    </row>
    <row r="432" s="165" customFormat="1" ht="45.75" customHeight="1" spans="2:9">
      <c r="B432" s="242"/>
      <c r="C432" s="192" t="s">
        <v>1659</v>
      </c>
      <c r="D432" s="227"/>
      <c r="E432" s="243"/>
      <c r="F432" s="232"/>
      <c r="G432" s="190"/>
      <c r="H432" s="248"/>
      <c r="I432" s="177"/>
    </row>
    <row r="433" s="165" customFormat="1" ht="21.75" customHeight="1" spans="2:9">
      <c r="B433" s="242"/>
      <c r="C433" s="226" t="s">
        <v>1672</v>
      </c>
      <c r="D433" s="227"/>
      <c r="E433" s="243"/>
      <c r="F433" s="232"/>
      <c r="G433" s="190"/>
      <c r="H433" s="248"/>
      <c r="I433" s="177"/>
    </row>
    <row r="434" s="165" customFormat="1" ht="21.75" customHeight="1" spans="2:9">
      <c r="B434" s="242"/>
      <c r="C434" s="252" t="s">
        <v>1750</v>
      </c>
      <c r="D434" s="227"/>
      <c r="E434" s="243"/>
      <c r="F434" s="232"/>
      <c r="G434" s="190"/>
      <c r="H434" s="248"/>
      <c r="I434" s="177"/>
    </row>
    <row r="435" s="165" customFormat="1" ht="21.75" customHeight="1" spans="2:9">
      <c r="B435" s="242"/>
      <c r="C435" s="252" t="s">
        <v>1751</v>
      </c>
      <c r="D435" s="227"/>
      <c r="E435" s="243"/>
      <c r="F435" s="232"/>
      <c r="G435" s="190"/>
      <c r="H435" s="248"/>
      <c r="I435" s="177"/>
    </row>
    <row r="436" s="165" customFormat="1" ht="21.75" customHeight="1" spans="2:9">
      <c r="B436" s="242"/>
      <c r="C436" s="252" t="s">
        <v>1696</v>
      </c>
      <c r="D436" s="227"/>
      <c r="E436" s="243"/>
      <c r="F436" s="232"/>
      <c r="G436" s="190"/>
      <c r="H436" s="248"/>
      <c r="I436" s="177"/>
    </row>
    <row r="437" s="165" customFormat="1" ht="21.75" customHeight="1" spans="2:9">
      <c r="B437" s="242"/>
      <c r="C437" s="252" t="s">
        <v>1741</v>
      </c>
      <c r="D437" s="227"/>
      <c r="E437" s="243"/>
      <c r="F437" s="232"/>
      <c r="G437" s="190"/>
      <c r="H437" s="248"/>
      <c r="I437" s="177"/>
    </row>
    <row r="438" s="165" customFormat="1" ht="37.5" customHeight="1" spans="2:9">
      <c r="B438" s="242"/>
      <c r="C438" s="192" t="s">
        <v>1676</v>
      </c>
      <c r="D438" s="227"/>
      <c r="E438" s="251"/>
      <c r="F438" s="232"/>
      <c r="G438" s="190"/>
      <c r="H438" s="248"/>
      <c r="I438" s="177"/>
    </row>
    <row r="439" s="165" customFormat="1" ht="81" customHeight="1" spans="2:9">
      <c r="B439" s="242"/>
      <c r="C439" s="247" t="s">
        <v>1684</v>
      </c>
      <c r="D439" s="227"/>
      <c r="E439" s="251">
        <v>1</v>
      </c>
      <c r="F439" s="229">
        <v>109200</v>
      </c>
      <c r="G439" s="190">
        <f>E439*F439</f>
        <v>109200</v>
      </c>
      <c r="H439" s="248"/>
      <c r="I439" s="177"/>
    </row>
    <row r="440" s="165" customFormat="1" spans="2:9">
      <c r="B440" s="242"/>
      <c r="C440" s="247"/>
      <c r="D440" s="227"/>
      <c r="E440" s="251"/>
      <c r="F440" s="232"/>
      <c r="G440" s="190"/>
      <c r="H440" s="248"/>
      <c r="I440" s="177"/>
    </row>
    <row r="441" s="165" customFormat="1" ht="16.5" customHeight="1" spans="2:9">
      <c r="B441" s="185" t="s">
        <v>1773</v>
      </c>
      <c r="C441" s="196" t="s">
        <v>1774</v>
      </c>
      <c r="D441" s="227"/>
      <c r="E441" s="251"/>
      <c r="F441" s="232"/>
      <c r="G441" s="190"/>
      <c r="H441" s="248"/>
      <c r="I441" s="177"/>
    </row>
    <row r="442" s="165" customFormat="1" spans="2:9">
      <c r="B442" s="242"/>
      <c r="C442" s="243"/>
      <c r="D442" s="227"/>
      <c r="E442" s="243"/>
      <c r="F442" s="232"/>
      <c r="G442" s="190"/>
      <c r="H442" s="248"/>
      <c r="I442" s="177"/>
    </row>
    <row r="443" s="165" customFormat="1" ht="51.75" customHeight="1" spans="2:9">
      <c r="B443" s="254"/>
      <c r="C443" s="263" t="s">
        <v>1659</v>
      </c>
      <c r="D443" s="234"/>
      <c r="E443" s="256"/>
      <c r="F443" s="236"/>
      <c r="G443" s="209"/>
      <c r="H443" s="248"/>
      <c r="I443" s="177"/>
    </row>
    <row r="444" s="165" customFormat="1" ht="23.25" customHeight="1" spans="2:9">
      <c r="B444" s="257"/>
      <c r="C444" s="258" t="s">
        <v>1672</v>
      </c>
      <c r="D444" s="227"/>
      <c r="E444" s="243"/>
      <c r="F444" s="232"/>
      <c r="G444" s="190"/>
      <c r="H444" s="248"/>
      <c r="I444" s="177"/>
    </row>
    <row r="445" s="165" customFormat="1" ht="18.75" customHeight="1" spans="2:9">
      <c r="B445" s="242"/>
      <c r="C445" s="252" t="s">
        <v>1721</v>
      </c>
      <c r="D445" s="227"/>
      <c r="E445" s="243"/>
      <c r="F445" s="232"/>
      <c r="G445" s="190"/>
      <c r="H445" s="248"/>
      <c r="I445" s="177"/>
    </row>
    <row r="446" s="165" customFormat="1" ht="18.75" customHeight="1" spans="2:9">
      <c r="B446" s="242"/>
      <c r="C446" s="252" t="s">
        <v>1682</v>
      </c>
      <c r="D446" s="227"/>
      <c r="E446" s="243"/>
      <c r="F446" s="232"/>
      <c r="G446" s="190"/>
      <c r="H446" s="248"/>
      <c r="I446" s="177"/>
    </row>
    <row r="447" s="165" customFormat="1" ht="18.75" customHeight="1" spans="2:9">
      <c r="B447" s="242"/>
      <c r="C447" s="252" t="s">
        <v>1775</v>
      </c>
      <c r="D447" s="227"/>
      <c r="E447" s="243"/>
      <c r="F447" s="232"/>
      <c r="G447" s="190"/>
      <c r="H447" s="248"/>
      <c r="I447" s="177"/>
    </row>
    <row r="448" s="165" customFormat="1" ht="31.5" customHeight="1" spans="2:9">
      <c r="B448" s="242"/>
      <c r="C448" s="192" t="s">
        <v>1676</v>
      </c>
      <c r="D448" s="227"/>
      <c r="E448" s="251"/>
      <c r="F448" s="232"/>
      <c r="G448" s="190"/>
      <c r="H448" s="248"/>
      <c r="I448" s="177"/>
    </row>
    <row r="449" s="165" customFormat="1" ht="81.75" customHeight="1" spans="2:9">
      <c r="B449" s="242"/>
      <c r="C449" s="247" t="s">
        <v>1684</v>
      </c>
      <c r="D449" s="227"/>
      <c r="E449" s="251">
        <v>1</v>
      </c>
      <c r="F449" s="229">
        <v>187200</v>
      </c>
      <c r="G449" s="190">
        <f>E449*F449</f>
        <v>187200</v>
      </c>
      <c r="H449" s="248"/>
      <c r="I449" s="177"/>
    </row>
    <row r="450" s="165" customFormat="1" spans="2:9">
      <c r="B450" s="242"/>
      <c r="C450" s="247"/>
      <c r="D450" s="227"/>
      <c r="E450" s="251"/>
      <c r="F450" s="232"/>
      <c r="G450" s="190"/>
      <c r="H450" s="253"/>
      <c r="I450" s="177"/>
    </row>
    <row r="451" s="165" customFormat="1" ht="19.5" customHeight="1" spans="2:9">
      <c r="B451" s="185" t="s">
        <v>1776</v>
      </c>
      <c r="C451" s="196" t="s">
        <v>1690</v>
      </c>
      <c r="D451" s="227"/>
      <c r="E451" s="251"/>
      <c r="F451" s="232"/>
      <c r="G451" s="190"/>
      <c r="H451" s="248"/>
      <c r="I451" s="177"/>
    </row>
    <row r="452" s="165" customFormat="1" spans="2:9">
      <c r="B452" s="242"/>
      <c r="C452" s="243"/>
      <c r="D452" s="227"/>
      <c r="E452" s="243"/>
      <c r="F452" s="232"/>
      <c r="G452" s="190"/>
      <c r="H452" s="248"/>
      <c r="I452" s="177"/>
    </row>
    <row r="453" s="165" customFormat="1" ht="45" customHeight="1" spans="2:9">
      <c r="B453" s="242"/>
      <c r="C453" s="192" t="s">
        <v>1659</v>
      </c>
      <c r="D453" s="227"/>
      <c r="E453" s="243"/>
      <c r="F453" s="232"/>
      <c r="G453" s="190"/>
      <c r="H453" s="248"/>
      <c r="I453" s="177"/>
    </row>
    <row r="454" s="165" customFormat="1" ht="20.25" customHeight="1" spans="2:9">
      <c r="B454" s="242"/>
      <c r="C454" s="226" t="s">
        <v>1672</v>
      </c>
      <c r="D454" s="227"/>
      <c r="E454" s="243"/>
      <c r="F454" s="232"/>
      <c r="G454" s="190"/>
      <c r="H454" s="248"/>
      <c r="I454" s="177"/>
    </row>
    <row r="455" s="165" customFormat="1" ht="20.25" customHeight="1" spans="2:9">
      <c r="B455" s="242"/>
      <c r="C455" s="252" t="s">
        <v>1777</v>
      </c>
      <c r="D455" s="227"/>
      <c r="E455" s="243"/>
      <c r="F455" s="232"/>
      <c r="G455" s="190"/>
      <c r="H455" s="248"/>
      <c r="I455" s="177"/>
    </row>
    <row r="456" s="165" customFormat="1" ht="20.25" customHeight="1" spans="2:9">
      <c r="B456" s="242"/>
      <c r="C456" s="252" t="s">
        <v>1726</v>
      </c>
      <c r="D456" s="227"/>
      <c r="E456" s="243"/>
      <c r="F456" s="232"/>
      <c r="G456" s="190"/>
      <c r="H456" s="248"/>
      <c r="I456" s="177"/>
    </row>
    <row r="457" s="165" customFormat="1" ht="22.5" customHeight="1" spans="2:9">
      <c r="B457" s="242"/>
      <c r="C457" s="252" t="s">
        <v>1778</v>
      </c>
      <c r="D457" s="227"/>
      <c r="E457" s="243"/>
      <c r="F457" s="232"/>
      <c r="G457" s="190"/>
      <c r="H457" s="248"/>
      <c r="I457" s="177"/>
    </row>
    <row r="458" s="166" customFormat="1" ht="20.25" customHeight="1" spans="2:9">
      <c r="B458" s="257"/>
      <c r="C458" s="262" t="s">
        <v>1779</v>
      </c>
      <c r="D458" s="259"/>
      <c r="E458" s="266"/>
      <c r="F458" s="261"/>
      <c r="G458" s="222"/>
      <c r="H458" s="223"/>
      <c r="I458" s="250"/>
    </row>
    <row r="459" s="165" customFormat="1" ht="33" customHeight="1" spans="2:9">
      <c r="B459" s="242"/>
      <c r="C459" s="192" t="s">
        <v>1676</v>
      </c>
      <c r="D459" s="227"/>
      <c r="E459" s="251"/>
      <c r="F459" s="232"/>
      <c r="G459" s="190"/>
      <c r="H459" s="248"/>
      <c r="I459" s="177"/>
    </row>
    <row r="460" s="165" customFormat="1" ht="84" customHeight="1" spans="2:9">
      <c r="B460" s="242"/>
      <c r="C460" s="247" t="s">
        <v>1684</v>
      </c>
      <c r="D460" s="227"/>
      <c r="E460" s="251">
        <v>1</v>
      </c>
      <c r="F460" s="229">
        <v>101400</v>
      </c>
      <c r="G460" s="190">
        <f>E460*F460</f>
        <v>101400</v>
      </c>
      <c r="H460" s="248"/>
      <c r="I460" s="177"/>
    </row>
    <row r="461" s="165" customFormat="1" spans="2:9">
      <c r="B461" s="242"/>
      <c r="C461" s="247"/>
      <c r="D461" s="227"/>
      <c r="E461" s="251"/>
      <c r="F461" s="232"/>
      <c r="G461" s="190"/>
      <c r="H461" s="248"/>
      <c r="I461" s="177"/>
    </row>
    <row r="462" s="165" customFormat="1" ht="18" customHeight="1" spans="2:9">
      <c r="B462" s="185" t="s">
        <v>1780</v>
      </c>
      <c r="C462" s="196" t="s">
        <v>1762</v>
      </c>
      <c r="D462" s="227"/>
      <c r="E462" s="251"/>
      <c r="F462" s="232"/>
      <c r="G462" s="190"/>
      <c r="H462" s="248"/>
      <c r="I462" s="177"/>
    </row>
    <row r="463" s="165" customFormat="1" spans="2:9">
      <c r="B463" s="242"/>
      <c r="C463" s="243"/>
      <c r="D463" s="227"/>
      <c r="E463" s="243"/>
      <c r="F463" s="232"/>
      <c r="G463" s="190"/>
      <c r="H463" s="248"/>
      <c r="I463" s="177"/>
    </row>
    <row r="464" s="165" customFormat="1" ht="45" customHeight="1" spans="2:9">
      <c r="B464" s="242"/>
      <c r="C464" s="192" t="s">
        <v>1659</v>
      </c>
      <c r="D464" s="227"/>
      <c r="E464" s="243"/>
      <c r="F464" s="232"/>
      <c r="G464" s="190"/>
      <c r="H464" s="248"/>
      <c r="I464" s="177"/>
    </row>
    <row r="465" s="165" customFormat="1" ht="20.25" customHeight="1" spans="2:9">
      <c r="B465" s="242"/>
      <c r="C465" s="226" t="s">
        <v>1672</v>
      </c>
      <c r="D465" s="227"/>
      <c r="E465" s="243"/>
      <c r="F465" s="232"/>
      <c r="G465" s="190"/>
      <c r="H465" s="248"/>
      <c r="I465" s="177"/>
    </row>
    <row r="466" s="165" customFormat="1" ht="20.25" customHeight="1" spans="2:9">
      <c r="B466" s="242"/>
      <c r="C466" s="252" t="s">
        <v>1777</v>
      </c>
      <c r="D466" s="227"/>
      <c r="E466" s="243"/>
      <c r="F466" s="232"/>
      <c r="G466" s="190"/>
      <c r="H466" s="248"/>
      <c r="I466" s="177"/>
    </row>
    <row r="467" s="165" customFormat="1" ht="20.25" customHeight="1" spans="2:9">
      <c r="B467" s="242"/>
      <c r="C467" s="252" t="s">
        <v>1726</v>
      </c>
      <c r="D467" s="227"/>
      <c r="E467" s="251"/>
      <c r="F467" s="232"/>
      <c r="G467" s="190"/>
      <c r="H467" s="248"/>
      <c r="I467" s="177"/>
    </row>
    <row r="468" s="165" customFormat="1" ht="20.25" customHeight="1" spans="2:9">
      <c r="B468" s="242"/>
      <c r="C468" s="252" t="s">
        <v>1759</v>
      </c>
      <c r="D468" s="227"/>
      <c r="E468" s="251"/>
      <c r="F468" s="232"/>
      <c r="G468" s="190"/>
      <c r="H468" s="248"/>
      <c r="I468" s="177"/>
    </row>
    <row r="469" s="165" customFormat="1" ht="20.25" customHeight="1" spans="2:9">
      <c r="B469" s="242"/>
      <c r="C469" s="252" t="s">
        <v>1781</v>
      </c>
      <c r="D469" s="227"/>
      <c r="E469" s="251"/>
      <c r="F469" s="232"/>
      <c r="G469" s="190"/>
      <c r="H469" s="248"/>
      <c r="I469" s="177"/>
    </row>
    <row r="470" s="165" customFormat="1" ht="34.5" customHeight="1" spans="2:9">
      <c r="B470" s="242"/>
      <c r="C470" s="192" t="s">
        <v>1676</v>
      </c>
      <c r="D470" s="227"/>
      <c r="E470" s="251"/>
      <c r="F470" s="232"/>
      <c r="G470" s="190"/>
      <c r="H470" s="248"/>
      <c r="I470" s="177"/>
    </row>
    <row r="471" s="165" customFormat="1" ht="91.5" customHeight="1" spans="2:9">
      <c r="B471" s="254"/>
      <c r="C471" s="249" t="s">
        <v>1684</v>
      </c>
      <c r="D471" s="234"/>
      <c r="E471" s="264">
        <v>1</v>
      </c>
      <c r="F471" s="270">
        <v>104000</v>
      </c>
      <c r="G471" s="209">
        <f>E471*F471</f>
        <v>104000</v>
      </c>
      <c r="H471" s="248"/>
      <c r="I471" s="177"/>
    </row>
    <row r="472" s="165" customFormat="1" ht="17.25" customHeight="1" spans="2:9">
      <c r="B472" s="242"/>
      <c r="C472" s="247"/>
      <c r="D472" s="227"/>
      <c r="E472" s="251"/>
      <c r="F472" s="232"/>
      <c r="G472" s="190"/>
      <c r="H472" s="248"/>
      <c r="I472" s="177"/>
    </row>
    <row r="473" s="165" customFormat="1" ht="16.5" customHeight="1" spans="2:9">
      <c r="B473" s="185" t="s">
        <v>1782</v>
      </c>
      <c r="C473" s="196" t="s">
        <v>1730</v>
      </c>
      <c r="D473" s="227"/>
      <c r="E473" s="251"/>
      <c r="F473" s="232"/>
      <c r="G473" s="190"/>
      <c r="H473" s="248"/>
      <c r="I473" s="177"/>
    </row>
    <row r="474" s="165" customFormat="1" spans="2:9">
      <c r="B474" s="242"/>
      <c r="C474" s="243"/>
      <c r="D474" s="227"/>
      <c r="E474" s="243"/>
      <c r="F474" s="232"/>
      <c r="G474" s="190"/>
      <c r="H474" s="248"/>
      <c r="I474" s="177"/>
    </row>
    <row r="475" s="165" customFormat="1" ht="45" customHeight="1" spans="2:9">
      <c r="B475" s="242"/>
      <c r="C475" s="192" t="s">
        <v>1659</v>
      </c>
      <c r="D475" s="227"/>
      <c r="E475" s="243"/>
      <c r="F475" s="232"/>
      <c r="G475" s="190"/>
      <c r="H475" s="248"/>
      <c r="I475" s="177"/>
    </row>
    <row r="476" s="165" customFormat="1" ht="21" customHeight="1" spans="2:9">
      <c r="B476" s="242"/>
      <c r="C476" s="226" t="s">
        <v>1672</v>
      </c>
      <c r="D476" s="227"/>
      <c r="E476" s="243"/>
      <c r="F476" s="232"/>
      <c r="G476" s="190"/>
      <c r="H476" s="248"/>
      <c r="I476" s="177"/>
    </row>
    <row r="477" s="165" customFormat="1" ht="21" customHeight="1" spans="2:9">
      <c r="B477" s="242"/>
      <c r="C477" s="252" t="s">
        <v>1777</v>
      </c>
      <c r="D477" s="227"/>
      <c r="E477" s="243"/>
      <c r="F477" s="232"/>
      <c r="G477" s="190"/>
      <c r="H477" s="253"/>
      <c r="I477" s="177"/>
    </row>
    <row r="478" s="165" customFormat="1" ht="21" customHeight="1" spans="2:9">
      <c r="B478" s="242"/>
      <c r="C478" s="252" t="s">
        <v>1726</v>
      </c>
      <c r="D478" s="227"/>
      <c r="E478" s="243"/>
      <c r="F478" s="232"/>
      <c r="G478" s="190"/>
      <c r="H478" s="248"/>
      <c r="I478" s="177"/>
    </row>
    <row r="479" s="165" customFormat="1" ht="21" customHeight="1" spans="2:9">
      <c r="B479" s="242"/>
      <c r="C479" s="252" t="s">
        <v>1759</v>
      </c>
      <c r="D479" s="227"/>
      <c r="E479" s="243"/>
      <c r="F479" s="232"/>
      <c r="G479" s="190"/>
      <c r="H479" s="248"/>
      <c r="I479" s="177"/>
    </row>
    <row r="480" s="165" customFormat="1" ht="21" customHeight="1" spans="2:9">
      <c r="B480" s="242"/>
      <c r="C480" s="252" t="s">
        <v>1781</v>
      </c>
      <c r="D480" s="227"/>
      <c r="E480" s="251"/>
      <c r="F480" s="232"/>
      <c r="G480" s="190"/>
      <c r="H480" s="248"/>
      <c r="I480" s="177"/>
    </row>
    <row r="481" s="165" customFormat="1" ht="32.25" customHeight="1" spans="2:9">
      <c r="B481" s="242"/>
      <c r="C481" s="192" t="s">
        <v>1676</v>
      </c>
      <c r="D481" s="227"/>
      <c r="E481" s="251"/>
      <c r="F481" s="232"/>
      <c r="G481" s="190"/>
      <c r="H481" s="248"/>
      <c r="I481" s="177"/>
    </row>
    <row r="482" s="165" customFormat="1" ht="83.25" customHeight="1" spans="2:9">
      <c r="B482" s="242"/>
      <c r="C482" s="247" t="s">
        <v>1684</v>
      </c>
      <c r="D482" s="227"/>
      <c r="E482" s="251">
        <v>1</v>
      </c>
      <c r="F482" s="229">
        <v>104000</v>
      </c>
      <c r="G482" s="190">
        <f>E482*F482</f>
        <v>104000</v>
      </c>
      <c r="H482" s="248"/>
      <c r="I482" s="177"/>
    </row>
    <row r="483" s="165" customFormat="1" spans="2:9">
      <c r="B483" s="242"/>
      <c r="C483" s="247"/>
      <c r="D483" s="227"/>
      <c r="E483" s="251"/>
      <c r="F483" s="232"/>
      <c r="G483" s="190"/>
      <c r="H483" s="248"/>
      <c r="I483" s="177"/>
    </row>
    <row r="484" s="165" customFormat="1" ht="16.5" customHeight="1" spans="2:9">
      <c r="B484" s="185" t="s">
        <v>1783</v>
      </c>
      <c r="C484" s="196" t="s">
        <v>1704</v>
      </c>
      <c r="D484" s="227"/>
      <c r="E484" s="251"/>
      <c r="F484" s="232"/>
      <c r="G484" s="190"/>
      <c r="H484" s="248"/>
      <c r="I484" s="177"/>
    </row>
    <row r="485" s="165" customFormat="1" spans="2:9">
      <c r="B485" s="242"/>
      <c r="C485" s="243"/>
      <c r="D485" s="227"/>
      <c r="E485" s="243"/>
      <c r="F485" s="232"/>
      <c r="G485" s="190"/>
      <c r="H485" s="248"/>
      <c r="I485" s="177"/>
    </row>
    <row r="486" s="165" customFormat="1" ht="44.25" customHeight="1" spans="2:9">
      <c r="B486" s="242"/>
      <c r="C486" s="192" t="s">
        <v>1659</v>
      </c>
      <c r="D486" s="227"/>
      <c r="E486" s="243"/>
      <c r="F486" s="232"/>
      <c r="G486" s="190"/>
      <c r="H486" s="248"/>
      <c r="I486" s="177"/>
    </row>
    <row r="487" s="165" customFormat="1" ht="17.25" customHeight="1" spans="2:9">
      <c r="B487" s="242"/>
      <c r="C487" s="226" t="s">
        <v>1672</v>
      </c>
      <c r="D487" s="227"/>
      <c r="E487" s="243"/>
      <c r="F487" s="232"/>
      <c r="G487" s="190"/>
      <c r="H487" s="248"/>
      <c r="I487" s="177"/>
    </row>
    <row r="488" s="165" customFormat="1" ht="17.25" customHeight="1" spans="2:9">
      <c r="B488" s="242"/>
      <c r="C488" s="252" t="s">
        <v>1750</v>
      </c>
      <c r="D488" s="227"/>
      <c r="E488" s="243"/>
      <c r="F488" s="232"/>
      <c r="G488" s="190"/>
      <c r="H488" s="248"/>
      <c r="I488" s="177"/>
    </row>
    <row r="489" s="165" customFormat="1" ht="26.25" customHeight="1" spans="2:9">
      <c r="B489" s="242"/>
      <c r="C489" s="252" t="s">
        <v>1751</v>
      </c>
      <c r="D489" s="227"/>
      <c r="E489" s="251"/>
      <c r="F489" s="232"/>
      <c r="G489" s="190"/>
      <c r="H489" s="248"/>
      <c r="I489" s="177"/>
    </row>
    <row r="490" s="165" customFormat="1" ht="33" customHeight="1" spans="2:9">
      <c r="B490" s="242"/>
      <c r="C490" s="192" t="s">
        <v>1676</v>
      </c>
      <c r="D490" s="227"/>
      <c r="E490" s="251"/>
      <c r="F490" s="232"/>
      <c r="G490" s="190"/>
      <c r="H490" s="248"/>
      <c r="I490" s="177"/>
    </row>
    <row r="491" s="165" customFormat="1" ht="86.25" customHeight="1" spans="2:9">
      <c r="B491" s="242"/>
      <c r="C491" s="247" t="s">
        <v>1684</v>
      </c>
      <c r="D491" s="227"/>
      <c r="E491" s="251">
        <v>1</v>
      </c>
      <c r="F491" s="229">
        <v>75400</v>
      </c>
      <c r="G491" s="190">
        <f>E491*F491</f>
        <v>75400</v>
      </c>
      <c r="H491" s="248"/>
      <c r="I491" s="177"/>
    </row>
    <row r="492" s="165" customFormat="1" spans="2:9">
      <c r="B492" s="242"/>
      <c r="C492" s="247"/>
      <c r="D492" s="227"/>
      <c r="E492" s="251"/>
      <c r="F492" s="232"/>
      <c r="G492" s="190"/>
      <c r="H492" s="248"/>
      <c r="I492" s="177"/>
    </row>
    <row r="493" s="165" customFormat="1" ht="18" customHeight="1" spans="2:9">
      <c r="B493" s="185" t="s">
        <v>1784</v>
      </c>
      <c r="C493" s="196" t="s">
        <v>1785</v>
      </c>
      <c r="D493" s="227"/>
      <c r="E493" s="251"/>
      <c r="F493" s="232"/>
      <c r="G493" s="190"/>
      <c r="H493" s="248"/>
      <c r="I493" s="177"/>
    </row>
    <row r="494" s="165" customFormat="1" spans="2:9">
      <c r="B494" s="242"/>
      <c r="C494" s="243"/>
      <c r="D494" s="227"/>
      <c r="E494" s="243"/>
      <c r="F494" s="232"/>
      <c r="G494" s="190"/>
      <c r="H494" s="248"/>
      <c r="I494" s="177"/>
    </row>
    <row r="495" s="165" customFormat="1" ht="43.5" customHeight="1" spans="2:9">
      <c r="B495" s="242"/>
      <c r="C495" s="192" t="s">
        <v>1659</v>
      </c>
      <c r="D495" s="227"/>
      <c r="E495" s="243"/>
      <c r="F495" s="232"/>
      <c r="G495" s="190"/>
      <c r="H495" s="248"/>
      <c r="I495" s="177"/>
    </row>
    <row r="496" s="165" customFormat="1" ht="19.5" customHeight="1" spans="2:9">
      <c r="B496" s="242"/>
      <c r="C496" s="226" t="s">
        <v>1672</v>
      </c>
      <c r="D496" s="227"/>
      <c r="E496" s="243"/>
      <c r="F496" s="232"/>
      <c r="G496" s="190"/>
      <c r="H496" s="248"/>
      <c r="I496" s="177"/>
    </row>
    <row r="497" s="165" customFormat="1" ht="19.5" customHeight="1" spans="2:9">
      <c r="B497" s="242"/>
      <c r="C497" s="252" t="s">
        <v>1721</v>
      </c>
      <c r="D497" s="227"/>
      <c r="E497" s="243"/>
      <c r="F497" s="232"/>
      <c r="G497" s="190"/>
      <c r="H497" s="248"/>
      <c r="I497" s="177"/>
    </row>
    <row r="498" s="165" customFormat="1" ht="19.5" customHeight="1" spans="2:9">
      <c r="B498" s="242"/>
      <c r="C498" s="252" t="s">
        <v>1682</v>
      </c>
      <c r="D498" s="227"/>
      <c r="E498" s="243"/>
      <c r="F498" s="232"/>
      <c r="G498" s="190"/>
      <c r="H498" s="248"/>
      <c r="I498" s="177"/>
    </row>
    <row r="499" s="165" customFormat="1" ht="26.25" customHeight="1" spans="2:9">
      <c r="B499" s="254"/>
      <c r="C499" s="265" t="s">
        <v>1775</v>
      </c>
      <c r="D499" s="234"/>
      <c r="E499" s="256"/>
      <c r="F499" s="236"/>
      <c r="G499" s="209"/>
      <c r="H499" s="248"/>
      <c r="I499" s="177"/>
    </row>
    <row r="500" s="166" customFormat="1" ht="36.75" customHeight="1" spans="2:9">
      <c r="B500" s="257"/>
      <c r="C500" s="271" t="s">
        <v>1676</v>
      </c>
      <c r="D500" s="259"/>
      <c r="E500" s="266"/>
      <c r="F500" s="261"/>
      <c r="G500" s="222"/>
      <c r="H500" s="223"/>
      <c r="I500" s="250"/>
    </row>
    <row r="501" s="165" customFormat="1" ht="84" customHeight="1" spans="2:9">
      <c r="B501" s="242"/>
      <c r="C501" s="247" t="s">
        <v>1684</v>
      </c>
      <c r="D501" s="227"/>
      <c r="E501" s="251">
        <v>1</v>
      </c>
      <c r="F501" s="229">
        <v>187200</v>
      </c>
      <c r="G501" s="190">
        <f>E501*F501</f>
        <v>187200</v>
      </c>
      <c r="H501" s="248"/>
      <c r="I501" s="177"/>
    </row>
    <row r="502" s="165" customFormat="1" spans="2:9">
      <c r="B502" s="242"/>
      <c r="C502" s="247"/>
      <c r="D502" s="227"/>
      <c r="E502" s="251"/>
      <c r="F502" s="232"/>
      <c r="G502" s="190"/>
      <c r="H502" s="253"/>
      <c r="I502" s="177"/>
    </row>
    <row r="503" s="165" customFormat="1" ht="17.25" customHeight="1" spans="2:9">
      <c r="B503" s="185" t="s">
        <v>1786</v>
      </c>
      <c r="C503" s="196" t="s">
        <v>1690</v>
      </c>
      <c r="D503" s="227"/>
      <c r="E503" s="251"/>
      <c r="F503" s="232"/>
      <c r="G503" s="190"/>
      <c r="H503" s="248"/>
      <c r="I503" s="177"/>
    </row>
    <row r="504" s="165" customFormat="1" spans="2:9">
      <c r="B504" s="242"/>
      <c r="C504" s="243"/>
      <c r="D504" s="227"/>
      <c r="E504" s="243"/>
      <c r="F504" s="232"/>
      <c r="G504" s="190"/>
      <c r="H504" s="248"/>
      <c r="I504" s="177"/>
    </row>
    <row r="505" s="165" customFormat="1" ht="45" customHeight="1" spans="2:9">
      <c r="B505" s="242"/>
      <c r="C505" s="192" t="s">
        <v>1659</v>
      </c>
      <c r="D505" s="227"/>
      <c r="E505" s="243"/>
      <c r="F505" s="232"/>
      <c r="G505" s="190"/>
      <c r="H505" s="248"/>
      <c r="I505" s="177"/>
    </row>
    <row r="506" s="165" customFormat="1" ht="20.25" customHeight="1" spans="2:9">
      <c r="B506" s="242"/>
      <c r="C506" s="226" t="s">
        <v>1672</v>
      </c>
      <c r="D506" s="227"/>
      <c r="E506" s="243"/>
      <c r="F506" s="232"/>
      <c r="G506" s="190"/>
      <c r="H506" s="248"/>
      <c r="I506" s="177"/>
    </row>
    <row r="507" s="165" customFormat="1" ht="20.25" customHeight="1" spans="2:9">
      <c r="B507" s="242"/>
      <c r="C507" s="252" t="s">
        <v>1777</v>
      </c>
      <c r="D507" s="227"/>
      <c r="E507" s="243"/>
      <c r="F507" s="232"/>
      <c r="G507" s="190"/>
      <c r="H507" s="248"/>
      <c r="I507" s="177"/>
    </row>
    <row r="508" s="165" customFormat="1" ht="20.25" customHeight="1" spans="2:9">
      <c r="B508" s="242"/>
      <c r="C508" s="252" t="s">
        <v>1726</v>
      </c>
      <c r="D508" s="227"/>
      <c r="E508" s="243"/>
      <c r="F508" s="232"/>
      <c r="G508" s="190"/>
      <c r="H508" s="248"/>
      <c r="I508" s="177"/>
    </row>
    <row r="509" s="165" customFormat="1" ht="20.25" customHeight="1" spans="2:9">
      <c r="B509" s="242"/>
      <c r="C509" s="252" t="s">
        <v>1778</v>
      </c>
      <c r="D509" s="227"/>
      <c r="E509" s="243"/>
      <c r="F509" s="232"/>
      <c r="G509" s="190"/>
      <c r="H509" s="248"/>
      <c r="I509" s="177"/>
    </row>
    <row r="510" s="165" customFormat="1" ht="20.25" customHeight="1" spans="2:9">
      <c r="B510" s="242"/>
      <c r="C510" s="252" t="s">
        <v>1779</v>
      </c>
      <c r="D510" s="227"/>
      <c r="E510" s="251"/>
      <c r="F510" s="232"/>
      <c r="G510" s="190"/>
      <c r="H510" s="248"/>
      <c r="I510" s="177"/>
    </row>
    <row r="511" s="165" customFormat="1" ht="31.5" customHeight="1" spans="2:9">
      <c r="B511" s="242"/>
      <c r="C511" s="192" t="s">
        <v>1676</v>
      </c>
      <c r="D511" s="227"/>
      <c r="E511" s="251"/>
      <c r="F511" s="232"/>
      <c r="G511" s="190"/>
      <c r="H511" s="248"/>
      <c r="I511" s="177"/>
    </row>
    <row r="512" s="165" customFormat="1" ht="85.5" customHeight="1" spans="2:9">
      <c r="B512" s="242"/>
      <c r="C512" s="247" t="s">
        <v>1684</v>
      </c>
      <c r="D512" s="227"/>
      <c r="E512" s="251">
        <v>1</v>
      </c>
      <c r="F512" s="229">
        <v>114400</v>
      </c>
      <c r="G512" s="190">
        <f>E512*F512</f>
        <v>114400</v>
      </c>
      <c r="H512" s="248"/>
      <c r="I512" s="177"/>
    </row>
    <row r="513" s="165" customFormat="1" spans="2:9">
      <c r="B513" s="242"/>
      <c r="C513" s="247"/>
      <c r="D513" s="227"/>
      <c r="E513" s="251"/>
      <c r="F513" s="232"/>
      <c r="G513" s="190"/>
      <c r="H513" s="248"/>
      <c r="I513" s="177"/>
    </row>
    <row r="514" s="165" customFormat="1" ht="19.5" customHeight="1" spans="2:9">
      <c r="B514" s="185" t="s">
        <v>1787</v>
      </c>
      <c r="C514" s="196" t="s">
        <v>1762</v>
      </c>
      <c r="D514" s="227"/>
      <c r="E514" s="251"/>
      <c r="F514" s="232"/>
      <c r="G514" s="190"/>
      <c r="H514" s="248"/>
      <c r="I514" s="177"/>
    </row>
    <row r="515" s="165" customFormat="1" spans="2:9">
      <c r="B515" s="242"/>
      <c r="C515" s="243"/>
      <c r="D515" s="227"/>
      <c r="E515" s="243"/>
      <c r="F515" s="232"/>
      <c r="G515" s="190"/>
      <c r="H515" s="248"/>
      <c r="I515" s="177"/>
    </row>
    <row r="516" s="165" customFormat="1" ht="44.25" customHeight="1" spans="2:9">
      <c r="B516" s="242"/>
      <c r="C516" s="192" t="s">
        <v>1659</v>
      </c>
      <c r="D516" s="227"/>
      <c r="E516" s="243"/>
      <c r="F516" s="232"/>
      <c r="G516" s="190"/>
      <c r="H516" s="248"/>
      <c r="I516" s="177"/>
    </row>
    <row r="517" s="165" customFormat="1" ht="20.25" customHeight="1" spans="2:9">
      <c r="B517" s="242"/>
      <c r="C517" s="226" t="s">
        <v>1672</v>
      </c>
      <c r="D517" s="227"/>
      <c r="E517" s="243"/>
      <c r="F517" s="232"/>
      <c r="G517" s="190"/>
      <c r="H517" s="248"/>
      <c r="I517" s="177"/>
    </row>
    <row r="518" s="165" customFormat="1" ht="20.25" customHeight="1" spans="2:9">
      <c r="B518" s="242"/>
      <c r="C518" s="252" t="s">
        <v>1777</v>
      </c>
      <c r="D518" s="227"/>
      <c r="E518" s="243"/>
      <c r="F518" s="232"/>
      <c r="G518" s="190"/>
      <c r="H518" s="248"/>
      <c r="I518" s="177"/>
    </row>
    <row r="519" s="165" customFormat="1" ht="20.25" customHeight="1" spans="2:9">
      <c r="B519" s="242"/>
      <c r="C519" s="252" t="s">
        <v>1726</v>
      </c>
      <c r="D519" s="227"/>
      <c r="E519" s="251"/>
      <c r="F519" s="232"/>
      <c r="G519" s="190"/>
      <c r="H519" s="248"/>
      <c r="I519" s="177"/>
    </row>
    <row r="520" s="165" customFormat="1" ht="20.25" customHeight="1" spans="2:9">
      <c r="B520" s="242"/>
      <c r="C520" s="252" t="s">
        <v>1759</v>
      </c>
      <c r="D520" s="227"/>
      <c r="E520" s="251"/>
      <c r="F520" s="232"/>
      <c r="G520" s="190"/>
      <c r="H520" s="248"/>
      <c r="I520" s="177"/>
    </row>
    <row r="521" s="165" customFormat="1" ht="20.25" customHeight="1" spans="2:9">
      <c r="B521" s="242"/>
      <c r="C521" s="252" t="s">
        <v>1781</v>
      </c>
      <c r="D521" s="227"/>
      <c r="E521" s="251"/>
      <c r="F521" s="232"/>
      <c r="G521" s="190"/>
      <c r="H521" s="248"/>
      <c r="I521" s="177"/>
    </row>
    <row r="522" s="165" customFormat="1" ht="33" customHeight="1" spans="2:9">
      <c r="B522" s="242"/>
      <c r="C522" s="192" t="s">
        <v>1676</v>
      </c>
      <c r="D522" s="227"/>
      <c r="E522" s="251"/>
      <c r="F522" s="232"/>
      <c r="G522" s="190"/>
      <c r="H522" s="248"/>
      <c r="I522" s="177"/>
    </row>
    <row r="523" s="165" customFormat="1" ht="90.75" customHeight="1" spans="2:9">
      <c r="B523" s="242"/>
      <c r="C523" s="247" t="s">
        <v>1684</v>
      </c>
      <c r="D523" s="227"/>
      <c r="E523" s="251">
        <v>1</v>
      </c>
      <c r="F523" s="229">
        <v>104000</v>
      </c>
      <c r="G523" s="190">
        <f>E523*F523</f>
        <v>104000</v>
      </c>
      <c r="H523" s="248"/>
      <c r="I523" s="177"/>
    </row>
    <row r="524" s="165" customFormat="1" spans="2:9">
      <c r="B524" s="242"/>
      <c r="C524" s="247"/>
      <c r="D524" s="227"/>
      <c r="E524" s="251"/>
      <c r="F524" s="232"/>
      <c r="G524" s="190"/>
      <c r="H524" s="248"/>
      <c r="I524" s="177"/>
    </row>
    <row r="525" s="165" customFormat="1" ht="18" customHeight="1" spans="2:9">
      <c r="B525" s="185" t="s">
        <v>1788</v>
      </c>
      <c r="C525" s="196" t="s">
        <v>1730</v>
      </c>
      <c r="D525" s="227"/>
      <c r="E525" s="251"/>
      <c r="F525" s="232"/>
      <c r="G525" s="190"/>
      <c r="H525" s="248"/>
      <c r="I525" s="177"/>
    </row>
    <row r="526" s="165" customFormat="1" spans="2:9">
      <c r="B526" s="242"/>
      <c r="C526" s="243"/>
      <c r="D526" s="227"/>
      <c r="E526" s="243"/>
      <c r="F526" s="232"/>
      <c r="G526" s="190"/>
      <c r="H526" s="248"/>
      <c r="I526" s="177"/>
    </row>
    <row r="527" s="165" customFormat="1" ht="51.75" customHeight="1" spans="2:9">
      <c r="B527" s="254"/>
      <c r="C527" s="263" t="s">
        <v>1659</v>
      </c>
      <c r="D527" s="234"/>
      <c r="E527" s="256"/>
      <c r="F527" s="236"/>
      <c r="G527" s="209"/>
      <c r="H527" s="248"/>
      <c r="I527" s="177"/>
    </row>
    <row r="528" s="166" customFormat="1" ht="26.25" customHeight="1" spans="2:9">
      <c r="B528" s="257"/>
      <c r="C528" s="258" t="s">
        <v>1672</v>
      </c>
      <c r="D528" s="259"/>
      <c r="E528" s="260"/>
      <c r="F528" s="261"/>
      <c r="G528" s="222"/>
      <c r="H528" s="223"/>
      <c r="I528" s="250"/>
    </row>
    <row r="529" s="165" customFormat="1" ht="19.5" customHeight="1" spans="2:9">
      <c r="B529" s="242"/>
      <c r="C529" s="252" t="s">
        <v>1777</v>
      </c>
      <c r="D529" s="227"/>
      <c r="E529" s="243"/>
      <c r="F529" s="232"/>
      <c r="G529" s="190"/>
      <c r="H529" s="253"/>
      <c r="I529" s="177"/>
    </row>
    <row r="530" s="165" customFormat="1" ht="19.5" customHeight="1" spans="2:9">
      <c r="B530" s="242"/>
      <c r="C530" s="252" t="s">
        <v>1726</v>
      </c>
      <c r="D530" s="227"/>
      <c r="E530" s="243"/>
      <c r="F530" s="232"/>
      <c r="G530" s="190"/>
      <c r="H530" s="248"/>
      <c r="I530" s="177"/>
    </row>
    <row r="531" s="165" customFormat="1" ht="19.5" customHeight="1" spans="2:9">
      <c r="B531" s="242"/>
      <c r="C531" s="252" t="s">
        <v>1759</v>
      </c>
      <c r="D531" s="227"/>
      <c r="E531" s="243"/>
      <c r="F531" s="232"/>
      <c r="G531" s="190"/>
      <c r="H531" s="248"/>
      <c r="I531" s="177"/>
    </row>
    <row r="532" s="165" customFormat="1" ht="19.5" customHeight="1" spans="2:9">
      <c r="B532" s="242"/>
      <c r="C532" s="252" t="s">
        <v>1781</v>
      </c>
      <c r="D532" s="227"/>
      <c r="E532" s="251"/>
      <c r="F532" s="232"/>
      <c r="G532" s="190"/>
      <c r="H532" s="248"/>
      <c r="I532" s="177"/>
    </row>
    <row r="533" s="165" customFormat="1" ht="39" customHeight="1" spans="2:9">
      <c r="B533" s="242"/>
      <c r="C533" s="192" t="s">
        <v>1676</v>
      </c>
      <c r="D533" s="227"/>
      <c r="E533" s="251"/>
      <c r="F533" s="232"/>
      <c r="G533" s="190"/>
      <c r="H533" s="248"/>
      <c r="I533" s="177"/>
    </row>
    <row r="534" s="165" customFormat="1" ht="83.25" customHeight="1" spans="2:9">
      <c r="B534" s="242"/>
      <c r="C534" s="247" t="s">
        <v>1684</v>
      </c>
      <c r="D534" s="227"/>
      <c r="E534" s="251">
        <v>1</v>
      </c>
      <c r="F534" s="229">
        <v>104000</v>
      </c>
      <c r="G534" s="190">
        <f>E534*F534</f>
        <v>104000</v>
      </c>
      <c r="H534" s="248"/>
      <c r="I534" s="177"/>
    </row>
    <row r="535" s="165" customFormat="1" spans="2:9">
      <c r="B535" s="242"/>
      <c r="C535" s="247"/>
      <c r="D535" s="227"/>
      <c r="E535" s="251"/>
      <c r="F535" s="232"/>
      <c r="G535" s="190"/>
      <c r="H535" s="248"/>
      <c r="I535" s="177"/>
    </row>
    <row r="536" s="165" customFormat="1" ht="15.75" customHeight="1" spans="2:9">
      <c r="B536" s="185" t="s">
        <v>1789</v>
      </c>
      <c r="C536" s="196" t="s">
        <v>1704</v>
      </c>
      <c r="D536" s="227"/>
      <c r="E536" s="251"/>
      <c r="F536" s="232"/>
      <c r="G536" s="190"/>
      <c r="H536" s="248"/>
      <c r="I536" s="177"/>
    </row>
    <row r="537" s="165" customFormat="1" spans="2:9">
      <c r="B537" s="242"/>
      <c r="C537" s="243"/>
      <c r="D537" s="227"/>
      <c r="E537" s="243"/>
      <c r="F537" s="232"/>
      <c r="G537" s="190"/>
      <c r="H537" s="248"/>
      <c r="I537" s="177"/>
    </row>
    <row r="538" s="165" customFormat="1" ht="46.5" customHeight="1" spans="2:9">
      <c r="B538" s="242"/>
      <c r="C538" s="192" t="s">
        <v>1659</v>
      </c>
      <c r="D538" s="227"/>
      <c r="E538" s="243"/>
      <c r="F538" s="232"/>
      <c r="G538" s="190"/>
      <c r="H538" s="248"/>
      <c r="I538" s="177"/>
    </row>
    <row r="539" s="165" customFormat="1" ht="19.5" customHeight="1" spans="2:9">
      <c r="B539" s="242"/>
      <c r="C539" s="226" t="s">
        <v>1672</v>
      </c>
      <c r="D539" s="227"/>
      <c r="E539" s="243"/>
      <c r="F539" s="232"/>
      <c r="G539" s="190"/>
      <c r="H539" s="248"/>
      <c r="I539" s="177"/>
    </row>
    <row r="540" s="165" customFormat="1" ht="19.5" customHeight="1" spans="2:9">
      <c r="B540" s="242"/>
      <c r="C540" s="252" t="s">
        <v>1790</v>
      </c>
      <c r="D540" s="227"/>
      <c r="E540" s="243"/>
      <c r="F540" s="232"/>
      <c r="G540" s="190"/>
      <c r="H540" s="248"/>
      <c r="I540" s="177"/>
    </row>
    <row r="541" s="165" customFormat="1" ht="19.5" customHeight="1" spans="2:9">
      <c r="B541" s="242"/>
      <c r="C541" s="252" t="s">
        <v>1791</v>
      </c>
      <c r="D541" s="227"/>
      <c r="E541" s="251"/>
      <c r="F541" s="232"/>
      <c r="G541" s="190"/>
      <c r="H541" s="248"/>
      <c r="I541" s="177"/>
    </row>
    <row r="542" s="165" customFormat="1" ht="37.5" customHeight="1" spans="2:9">
      <c r="B542" s="242"/>
      <c r="C542" s="192" t="s">
        <v>1676</v>
      </c>
      <c r="D542" s="227"/>
      <c r="E542" s="251"/>
      <c r="F542" s="232"/>
      <c r="G542" s="190"/>
      <c r="H542" s="248"/>
      <c r="I542" s="177"/>
    </row>
    <row r="543" s="165" customFormat="1" ht="85.5" customHeight="1" spans="2:9">
      <c r="B543" s="242"/>
      <c r="C543" s="247" t="s">
        <v>1684</v>
      </c>
      <c r="D543" s="227"/>
      <c r="E543" s="251">
        <v>1</v>
      </c>
      <c r="F543" s="229">
        <v>101400</v>
      </c>
      <c r="G543" s="190">
        <f>E543*F543</f>
        <v>101400</v>
      </c>
      <c r="H543" s="248"/>
      <c r="I543" s="177"/>
    </row>
    <row r="544" s="165" customFormat="1" spans="2:9">
      <c r="B544" s="242"/>
      <c r="C544" s="247"/>
      <c r="D544" s="227"/>
      <c r="E544" s="251"/>
      <c r="F544" s="232"/>
      <c r="G544" s="190"/>
      <c r="H544" s="248"/>
      <c r="I544" s="177"/>
    </row>
    <row r="545" s="165" customFormat="1" ht="20.25" customHeight="1" spans="2:9">
      <c r="B545" s="185" t="s">
        <v>1792</v>
      </c>
      <c r="C545" s="196" t="s">
        <v>1793</v>
      </c>
      <c r="D545" s="227"/>
      <c r="E545" s="251"/>
      <c r="F545" s="232"/>
      <c r="G545" s="190"/>
      <c r="H545" s="248"/>
      <c r="I545" s="177"/>
    </row>
    <row r="546" s="165" customFormat="1" spans="2:9">
      <c r="B546" s="242"/>
      <c r="C546" s="243"/>
      <c r="D546" s="227"/>
      <c r="E546" s="243"/>
      <c r="F546" s="232"/>
      <c r="G546" s="190"/>
      <c r="H546" s="248"/>
      <c r="I546" s="177"/>
    </row>
    <row r="547" s="165" customFormat="1" ht="45" customHeight="1" spans="2:9">
      <c r="B547" s="242"/>
      <c r="C547" s="192" t="s">
        <v>1659</v>
      </c>
      <c r="D547" s="227"/>
      <c r="E547" s="243"/>
      <c r="F547" s="232"/>
      <c r="G547" s="190"/>
      <c r="H547" s="248"/>
      <c r="I547" s="177"/>
    </row>
    <row r="548" s="165" customFormat="1" ht="18.75" customHeight="1" spans="2:9">
      <c r="B548" s="242"/>
      <c r="C548" s="226" t="s">
        <v>1672</v>
      </c>
      <c r="D548" s="227"/>
      <c r="E548" s="243"/>
      <c r="F548" s="232"/>
      <c r="G548" s="190"/>
      <c r="H548" s="248"/>
      <c r="I548" s="177"/>
    </row>
    <row r="549" s="165" customFormat="1" ht="18.75" customHeight="1" spans="2:9">
      <c r="B549" s="242"/>
      <c r="C549" s="252" t="s">
        <v>1750</v>
      </c>
      <c r="D549" s="227"/>
      <c r="E549" s="243"/>
      <c r="F549" s="232"/>
      <c r="G549" s="190"/>
      <c r="H549" s="248"/>
      <c r="I549" s="177"/>
    </row>
    <row r="550" s="165" customFormat="1" ht="18.75" customHeight="1" spans="2:9">
      <c r="B550" s="242"/>
      <c r="C550" s="252" t="s">
        <v>1751</v>
      </c>
      <c r="D550" s="227"/>
      <c r="E550" s="243"/>
      <c r="F550" s="232"/>
      <c r="G550" s="190"/>
      <c r="H550" s="248"/>
      <c r="I550" s="177"/>
    </row>
    <row r="551" s="165" customFormat="1" ht="18.75" customHeight="1" spans="2:9">
      <c r="B551" s="242"/>
      <c r="C551" s="252" t="s">
        <v>1750</v>
      </c>
      <c r="D551" s="227"/>
      <c r="E551" s="243"/>
      <c r="F551" s="232"/>
      <c r="G551" s="190"/>
      <c r="H551" s="248"/>
      <c r="I551" s="177"/>
    </row>
    <row r="552" s="165" customFormat="1" ht="30" customHeight="1" spans="2:9">
      <c r="B552" s="242"/>
      <c r="C552" s="192" t="s">
        <v>1676</v>
      </c>
      <c r="D552" s="227"/>
      <c r="E552" s="251"/>
      <c r="F552" s="232"/>
      <c r="G552" s="190"/>
      <c r="H552" s="248"/>
      <c r="I552" s="177"/>
    </row>
    <row r="553" s="165" customFormat="1" ht="16.5" customHeight="1" spans="2:9">
      <c r="B553" s="242"/>
      <c r="C553" s="192"/>
      <c r="D553" s="227"/>
      <c r="E553" s="251"/>
      <c r="F553" s="232"/>
      <c r="G553" s="190"/>
      <c r="H553" s="248"/>
      <c r="I553" s="177"/>
    </row>
    <row r="554" s="165" customFormat="1" ht="93.75" customHeight="1" spans="2:9">
      <c r="B554" s="254"/>
      <c r="C554" s="249" t="s">
        <v>1684</v>
      </c>
      <c r="D554" s="234"/>
      <c r="E554" s="264">
        <v>1</v>
      </c>
      <c r="F554" s="270">
        <v>83200</v>
      </c>
      <c r="G554" s="209">
        <f>E554*F554</f>
        <v>83200</v>
      </c>
      <c r="H554" s="248"/>
      <c r="I554" s="177"/>
    </row>
    <row r="555" s="165" customFormat="1" ht="16.5" customHeight="1" spans="2:9">
      <c r="B555" s="242"/>
      <c r="C555" s="247"/>
      <c r="D555" s="227"/>
      <c r="E555" s="251"/>
      <c r="F555" s="232"/>
      <c r="G555" s="190"/>
      <c r="H555" s="253"/>
      <c r="I555" s="177"/>
    </row>
    <row r="556" s="165" customFormat="1" ht="19.5" customHeight="1" spans="2:9">
      <c r="B556" s="185" t="s">
        <v>1794</v>
      </c>
      <c r="C556" s="196" t="s">
        <v>1690</v>
      </c>
      <c r="D556" s="227"/>
      <c r="E556" s="251"/>
      <c r="F556" s="232"/>
      <c r="G556" s="190"/>
      <c r="H556" s="248"/>
      <c r="I556" s="177"/>
    </row>
    <row r="557" s="165" customFormat="1" spans="2:9">
      <c r="B557" s="242"/>
      <c r="C557" s="243"/>
      <c r="D557" s="227"/>
      <c r="E557" s="243"/>
      <c r="F557" s="232"/>
      <c r="G557" s="190"/>
      <c r="H557" s="248"/>
      <c r="I557" s="177"/>
    </row>
    <row r="558" s="165" customFormat="1" ht="44.25" customHeight="1" spans="2:9">
      <c r="B558" s="242"/>
      <c r="C558" s="192" t="s">
        <v>1659</v>
      </c>
      <c r="D558" s="227"/>
      <c r="E558" s="243"/>
      <c r="F558" s="232"/>
      <c r="G558" s="190"/>
      <c r="H558" s="248"/>
      <c r="I558" s="177"/>
    </row>
    <row r="559" s="165" customFormat="1" ht="20.25" customHeight="1" spans="2:9">
      <c r="B559" s="242"/>
      <c r="C559" s="226" t="s">
        <v>1672</v>
      </c>
      <c r="D559" s="227"/>
      <c r="E559" s="243"/>
      <c r="F559" s="232"/>
      <c r="G559" s="190"/>
      <c r="H559" s="248"/>
      <c r="I559" s="177"/>
    </row>
    <row r="560" s="165" customFormat="1" ht="20.25" customHeight="1" spans="2:9">
      <c r="B560" s="242"/>
      <c r="C560" s="252" t="s">
        <v>1795</v>
      </c>
      <c r="D560" s="227"/>
      <c r="E560" s="243"/>
      <c r="F560" s="232"/>
      <c r="G560" s="190"/>
      <c r="H560" s="248"/>
      <c r="I560" s="177"/>
    </row>
    <row r="561" s="165" customFormat="1" ht="20.25" customHeight="1" spans="2:9">
      <c r="B561" s="242"/>
      <c r="C561" s="252" t="s">
        <v>1751</v>
      </c>
      <c r="D561" s="227"/>
      <c r="E561" s="243"/>
      <c r="F561" s="232"/>
      <c r="G561" s="190"/>
      <c r="H561" s="248"/>
      <c r="I561" s="177"/>
    </row>
    <row r="562" s="165" customFormat="1" ht="20.25" customHeight="1" spans="2:9">
      <c r="B562" s="242"/>
      <c r="C562" s="252" t="s">
        <v>1743</v>
      </c>
      <c r="D562" s="227"/>
      <c r="E562" s="243"/>
      <c r="F562" s="232"/>
      <c r="G562" s="190"/>
      <c r="H562" s="248"/>
      <c r="I562" s="177"/>
    </row>
    <row r="563" s="165" customFormat="1" ht="20.25" customHeight="1" spans="2:9">
      <c r="B563" s="242"/>
      <c r="C563" s="252" t="s">
        <v>1796</v>
      </c>
      <c r="D563" s="227"/>
      <c r="E563" s="251"/>
      <c r="F563" s="232"/>
      <c r="G563" s="190"/>
      <c r="H563" s="248"/>
      <c r="I563" s="177"/>
    </row>
    <row r="564" s="165" customFormat="1" ht="33" customHeight="1" spans="2:9">
      <c r="B564" s="242"/>
      <c r="C564" s="192" t="s">
        <v>1676</v>
      </c>
      <c r="D564" s="227"/>
      <c r="E564" s="251"/>
      <c r="F564" s="232"/>
      <c r="G564" s="190"/>
      <c r="H564" s="248"/>
      <c r="I564" s="177"/>
    </row>
    <row r="565" s="165" customFormat="1" ht="81.75" customHeight="1" spans="2:9">
      <c r="B565" s="242"/>
      <c r="C565" s="247" t="s">
        <v>1684</v>
      </c>
      <c r="D565" s="227"/>
      <c r="E565" s="251">
        <v>1</v>
      </c>
      <c r="F565" s="229">
        <v>72800</v>
      </c>
      <c r="G565" s="190">
        <f>E565*F565</f>
        <v>72800</v>
      </c>
      <c r="H565" s="248"/>
      <c r="I565" s="177"/>
    </row>
    <row r="566" s="165" customFormat="1" spans="2:9">
      <c r="B566" s="242"/>
      <c r="C566" s="247"/>
      <c r="D566" s="227"/>
      <c r="E566" s="251"/>
      <c r="F566" s="232"/>
      <c r="G566" s="190"/>
      <c r="H566" s="248"/>
      <c r="I566" s="177"/>
    </row>
    <row r="567" s="165" customFormat="1" ht="18" customHeight="1" spans="2:9">
      <c r="B567" s="185" t="s">
        <v>1797</v>
      </c>
      <c r="C567" s="196" t="s">
        <v>1798</v>
      </c>
      <c r="D567" s="227"/>
      <c r="E567" s="251"/>
      <c r="F567" s="232"/>
      <c r="G567" s="190"/>
      <c r="H567" s="248"/>
      <c r="I567" s="177"/>
    </row>
    <row r="568" s="165" customFormat="1" spans="2:9">
      <c r="B568" s="242"/>
      <c r="C568" s="243"/>
      <c r="D568" s="227"/>
      <c r="E568" s="243"/>
      <c r="F568" s="232"/>
      <c r="G568" s="190"/>
      <c r="H568" s="248"/>
      <c r="I568" s="177"/>
    </row>
    <row r="569" s="165" customFormat="1" ht="46.5" customHeight="1" spans="2:9">
      <c r="B569" s="242"/>
      <c r="C569" s="192" t="s">
        <v>1659</v>
      </c>
      <c r="D569" s="227"/>
      <c r="E569" s="243"/>
      <c r="F569" s="232"/>
      <c r="G569" s="190"/>
      <c r="H569" s="248"/>
      <c r="I569" s="177"/>
    </row>
    <row r="570" s="165" customFormat="1" ht="21" customHeight="1" spans="2:9">
      <c r="B570" s="242"/>
      <c r="C570" s="226" t="s">
        <v>1672</v>
      </c>
      <c r="D570" s="227"/>
      <c r="E570" s="243"/>
      <c r="F570" s="232"/>
      <c r="G570" s="190"/>
      <c r="H570" s="248"/>
      <c r="I570" s="177"/>
    </row>
    <row r="571" s="165" customFormat="1" ht="21" customHeight="1" spans="2:9">
      <c r="B571" s="242"/>
      <c r="C571" s="252" t="s">
        <v>1725</v>
      </c>
      <c r="D571" s="227"/>
      <c r="E571" s="243"/>
      <c r="F571" s="232"/>
      <c r="G571" s="190"/>
      <c r="H571" s="248"/>
      <c r="I571" s="177"/>
    </row>
    <row r="572" s="165" customFormat="1" ht="21" customHeight="1" spans="2:9">
      <c r="B572" s="242"/>
      <c r="C572" s="252" t="s">
        <v>1726</v>
      </c>
      <c r="D572" s="227"/>
      <c r="E572" s="243"/>
      <c r="F572" s="232"/>
      <c r="G572" s="190"/>
      <c r="H572" s="248"/>
      <c r="I572" s="177"/>
    </row>
    <row r="573" s="165" customFormat="1" ht="21" customHeight="1" spans="2:9">
      <c r="B573" s="242"/>
      <c r="C573" s="252" t="s">
        <v>1725</v>
      </c>
      <c r="D573" s="227"/>
      <c r="E573" s="243"/>
      <c r="F573" s="232"/>
      <c r="G573" s="190"/>
      <c r="H573" s="248"/>
      <c r="I573" s="177"/>
    </row>
    <row r="574" s="165" customFormat="1" ht="37.5" customHeight="1" spans="2:9">
      <c r="B574" s="242"/>
      <c r="C574" s="192" t="s">
        <v>1676</v>
      </c>
      <c r="D574" s="227"/>
      <c r="E574" s="251"/>
      <c r="F574" s="232"/>
      <c r="G574" s="190"/>
      <c r="H574" s="248"/>
      <c r="I574" s="177"/>
    </row>
    <row r="575" s="165" customFormat="1" ht="84.75" customHeight="1" spans="2:9">
      <c r="B575" s="242"/>
      <c r="C575" s="247" t="s">
        <v>1684</v>
      </c>
      <c r="D575" s="227"/>
      <c r="E575" s="251">
        <v>1</v>
      </c>
      <c r="F575" s="229">
        <v>78000</v>
      </c>
      <c r="G575" s="190">
        <f>E575*F575</f>
        <v>78000</v>
      </c>
      <c r="H575" s="248"/>
      <c r="I575" s="177"/>
    </row>
    <row r="576" s="165" customFormat="1" spans="2:9">
      <c r="B576" s="242"/>
      <c r="C576" s="247"/>
      <c r="D576" s="227"/>
      <c r="E576" s="251"/>
      <c r="F576" s="232"/>
      <c r="G576" s="190"/>
      <c r="H576" s="248"/>
      <c r="I576" s="177"/>
    </row>
    <row r="577" s="165" customFormat="1" ht="21" customHeight="1" spans="2:9">
      <c r="B577" s="185" t="s">
        <v>1799</v>
      </c>
      <c r="C577" s="196" t="s">
        <v>1690</v>
      </c>
      <c r="D577" s="227"/>
      <c r="E577" s="251"/>
      <c r="F577" s="232"/>
      <c r="G577" s="190"/>
      <c r="H577" s="248"/>
      <c r="I577" s="177"/>
    </row>
    <row r="578" s="165" customFormat="1" spans="2:9">
      <c r="B578" s="242"/>
      <c r="C578" s="243"/>
      <c r="D578" s="227"/>
      <c r="E578" s="243"/>
      <c r="F578" s="232"/>
      <c r="G578" s="190"/>
      <c r="H578" s="248"/>
      <c r="I578" s="177"/>
    </row>
    <row r="579" s="165" customFormat="1" ht="46.5" customHeight="1" spans="2:9">
      <c r="B579" s="242"/>
      <c r="C579" s="192" t="s">
        <v>1659</v>
      </c>
      <c r="D579" s="227"/>
      <c r="E579" s="243"/>
      <c r="F579" s="232"/>
      <c r="G579" s="190"/>
      <c r="H579" s="248"/>
      <c r="I579" s="177"/>
    </row>
    <row r="580" s="165" customFormat="1" ht="18.75" customHeight="1" spans="2:9">
      <c r="B580" s="242"/>
      <c r="C580" s="226" t="s">
        <v>1672</v>
      </c>
      <c r="D580" s="227"/>
      <c r="E580" s="243"/>
      <c r="F580" s="232"/>
      <c r="G580" s="190"/>
      <c r="H580" s="248"/>
      <c r="I580" s="177"/>
    </row>
    <row r="581" s="165" customFormat="1" ht="18.75" customHeight="1" spans="2:9">
      <c r="B581" s="242"/>
      <c r="C581" s="252" t="s">
        <v>1702</v>
      </c>
      <c r="D581" s="227"/>
      <c r="E581" s="243"/>
      <c r="F581" s="232"/>
      <c r="G581" s="190"/>
      <c r="H581" s="253"/>
      <c r="I581" s="177"/>
    </row>
    <row r="582" s="165" customFormat="1" ht="18.75" customHeight="1" spans="2:9">
      <c r="B582" s="242"/>
      <c r="C582" s="252" t="s">
        <v>1726</v>
      </c>
      <c r="D582" s="227"/>
      <c r="E582" s="243"/>
      <c r="F582" s="232"/>
      <c r="G582" s="190"/>
      <c r="H582" s="248"/>
      <c r="I582" s="177"/>
    </row>
    <row r="583" s="165" customFormat="1" ht="18.75" customHeight="1" spans="2:9">
      <c r="B583" s="242"/>
      <c r="C583" s="252" t="s">
        <v>1743</v>
      </c>
      <c r="D583" s="227"/>
      <c r="E583" s="243"/>
      <c r="F583" s="232"/>
      <c r="G583" s="190"/>
      <c r="H583" s="248"/>
      <c r="I583" s="177"/>
    </row>
    <row r="584" s="165" customFormat="1" ht="21" customHeight="1" spans="2:9">
      <c r="B584" s="254"/>
      <c r="C584" s="265" t="s">
        <v>1796</v>
      </c>
      <c r="D584" s="234"/>
      <c r="E584" s="264"/>
      <c r="F584" s="236"/>
      <c r="G584" s="209"/>
      <c r="H584" s="248"/>
      <c r="I584" s="177"/>
    </row>
    <row r="585" s="165" customFormat="1" ht="38.25" customHeight="1" spans="2:9">
      <c r="B585" s="273"/>
      <c r="C585" s="274" t="s">
        <v>1676</v>
      </c>
      <c r="D585" s="239"/>
      <c r="E585" s="275"/>
      <c r="F585" s="241"/>
      <c r="G585" s="183"/>
      <c r="H585" s="248"/>
      <c r="I585" s="177"/>
    </row>
    <row r="586" s="165" customFormat="1" ht="81.75" customHeight="1" spans="2:9">
      <c r="B586" s="242"/>
      <c r="C586" s="247" t="s">
        <v>1684</v>
      </c>
      <c r="D586" s="227"/>
      <c r="E586" s="251">
        <v>1</v>
      </c>
      <c r="F586" s="229">
        <v>78000</v>
      </c>
      <c r="G586" s="190">
        <f>E586*F586</f>
        <v>78000</v>
      </c>
      <c r="H586" s="248"/>
      <c r="I586" s="177"/>
    </row>
    <row r="587" s="165" customFormat="1" spans="2:9">
      <c r="B587" s="242"/>
      <c r="C587" s="247"/>
      <c r="D587" s="227"/>
      <c r="E587" s="251"/>
      <c r="F587" s="232"/>
      <c r="G587" s="190"/>
      <c r="H587" s="248"/>
      <c r="I587" s="177"/>
    </row>
    <row r="588" s="165" customFormat="1" ht="18" customHeight="1" spans="2:9">
      <c r="B588" s="185" t="s">
        <v>1800</v>
      </c>
      <c r="C588" s="196" t="s">
        <v>1801</v>
      </c>
      <c r="D588" s="227"/>
      <c r="E588" s="251"/>
      <c r="F588" s="232"/>
      <c r="G588" s="190"/>
      <c r="H588" s="248"/>
      <c r="I588" s="177"/>
    </row>
    <row r="589" s="165" customFormat="1" spans="2:9">
      <c r="B589" s="242"/>
      <c r="C589" s="243"/>
      <c r="D589" s="227"/>
      <c r="E589" s="243"/>
      <c r="F589" s="232"/>
      <c r="G589" s="190"/>
      <c r="H589" s="248"/>
      <c r="I589" s="177"/>
    </row>
    <row r="590" s="165" customFormat="1" ht="45" customHeight="1" spans="2:9">
      <c r="B590" s="242"/>
      <c r="C590" s="192" t="s">
        <v>1659</v>
      </c>
      <c r="D590" s="227"/>
      <c r="E590" s="243"/>
      <c r="F590" s="232"/>
      <c r="G590" s="190"/>
      <c r="H590" s="248"/>
      <c r="I590" s="177"/>
    </row>
    <row r="591" s="165" customFormat="1" ht="22.5" customHeight="1" spans="2:9">
      <c r="B591" s="242"/>
      <c r="C591" s="226" t="s">
        <v>1672</v>
      </c>
      <c r="D591" s="227"/>
      <c r="E591" s="243"/>
      <c r="F591" s="232"/>
      <c r="G591" s="190"/>
      <c r="H591" s="248"/>
      <c r="I591" s="177"/>
    </row>
    <row r="592" s="165" customFormat="1" ht="22.5" customHeight="1" spans="2:9">
      <c r="B592" s="242"/>
      <c r="C592" s="252" t="s">
        <v>1725</v>
      </c>
      <c r="D592" s="227"/>
      <c r="E592" s="243"/>
      <c r="F592" s="232"/>
      <c r="G592" s="190"/>
      <c r="H592" s="248"/>
      <c r="I592" s="177"/>
    </row>
    <row r="593" s="165" customFormat="1" ht="22.5" customHeight="1" spans="2:9">
      <c r="B593" s="242"/>
      <c r="C593" s="252" t="s">
        <v>1726</v>
      </c>
      <c r="D593" s="227"/>
      <c r="E593" s="243"/>
      <c r="F593" s="232"/>
      <c r="G593" s="190"/>
      <c r="H593" s="248"/>
      <c r="I593" s="177"/>
    </row>
    <row r="594" s="165" customFormat="1" ht="22.5" customHeight="1" spans="2:9">
      <c r="B594" s="242"/>
      <c r="C594" s="252" t="s">
        <v>1802</v>
      </c>
      <c r="D594" s="227"/>
      <c r="E594" s="243"/>
      <c r="F594" s="232"/>
      <c r="G594" s="190"/>
      <c r="H594" s="248"/>
      <c r="I594" s="177"/>
    </row>
    <row r="595" s="165" customFormat="1" ht="40.5" customHeight="1" spans="2:9">
      <c r="B595" s="242"/>
      <c r="C595" s="192" t="s">
        <v>1676</v>
      </c>
      <c r="D595" s="227"/>
      <c r="E595" s="251"/>
      <c r="F595" s="232"/>
      <c r="G595" s="190"/>
      <c r="H595" s="248"/>
      <c r="I595" s="177"/>
    </row>
    <row r="596" s="165" customFormat="1" ht="85.5" customHeight="1" spans="2:9">
      <c r="B596" s="242"/>
      <c r="C596" s="247" t="s">
        <v>1684</v>
      </c>
      <c r="D596" s="227"/>
      <c r="E596" s="251">
        <v>1</v>
      </c>
      <c r="F596" s="229">
        <v>80600</v>
      </c>
      <c r="G596" s="190">
        <f>E596*F596</f>
        <v>80600</v>
      </c>
      <c r="H596" s="248"/>
      <c r="I596" s="177"/>
    </row>
    <row r="597" s="165" customFormat="1" spans="2:9">
      <c r="B597" s="242"/>
      <c r="C597" s="247"/>
      <c r="D597" s="227"/>
      <c r="E597" s="251"/>
      <c r="F597" s="232"/>
      <c r="G597" s="190"/>
      <c r="H597" s="248"/>
      <c r="I597" s="177"/>
    </row>
    <row r="598" s="165" customFormat="1" ht="18" customHeight="1" spans="2:9">
      <c r="B598" s="185" t="s">
        <v>1803</v>
      </c>
      <c r="C598" s="196" t="s">
        <v>1690</v>
      </c>
      <c r="D598" s="227"/>
      <c r="E598" s="251"/>
      <c r="F598" s="232"/>
      <c r="G598" s="190"/>
      <c r="H598" s="248"/>
      <c r="I598" s="177"/>
    </row>
    <row r="599" s="165" customFormat="1" spans="2:9">
      <c r="B599" s="242"/>
      <c r="C599" s="243"/>
      <c r="D599" s="227"/>
      <c r="E599" s="243"/>
      <c r="F599" s="232"/>
      <c r="G599" s="190"/>
      <c r="H599" s="248"/>
      <c r="I599" s="177"/>
    </row>
    <row r="600" s="165" customFormat="1" ht="45.75" customHeight="1" spans="2:9">
      <c r="B600" s="242"/>
      <c r="C600" s="192" t="s">
        <v>1659</v>
      </c>
      <c r="D600" s="227"/>
      <c r="E600" s="243"/>
      <c r="F600" s="232"/>
      <c r="G600" s="190"/>
      <c r="H600" s="248"/>
      <c r="I600" s="177"/>
    </row>
    <row r="601" s="165" customFormat="1" ht="21" customHeight="1" spans="2:9">
      <c r="B601" s="242"/>
      <c r="C601" s="226" t="s">
        <v>1672</v>
      </c>
      <c r="D601" s="227"/>
      <c r="E601" s="243"/>
      <c r="F601" s="232"/>
      <c r="G601" s="190"/>
      <c r="H601" s="248"/>
      <c r="I601" s="177"/>
    </row>
    <row r="602" s="165" customFormat="1" ht="21" customHeight="1" spans="2:9">
      <c r="B602" s="242"/>
      <c r="C602" s="252" t="s">
        <v>1804</v>
      </c>
      <c r="D602" s="227"/>
      <c r="E602" s="243"/>
      <c r="F602" s="232"/>
      <c r="G602" s="190"/>
      <c r="H602" s="248"/>
      <c r="I602" s="177"/>
    </row>
    <row r="603" s="165" customFormat="1" ht="21" customHeight="1" spans="2:9">
      <c r="B603" s="242"/>
      <c r="C603" s="252" t="s">
        <v>1713</v>
      </c>
      <c r="D603" s="227"/>
      <c r="E603" s="243"/>
      <c r="F603" s="232"/>
      <c r="G603" s="190"/>
      <c r="H603" s="248"/>
      <c r="I603" s="177"/>
    </row>
    <row r="604" s="165" customFormat="1" ht="21" customHeight="1" spans="2:9">
      <c r="B604" s="242"/>
      <c r="C604" s="252" t="s">
        <v>1714</v>
      </c>
      <c r="D604" s="227"/>
      <c r="E604" s="243"/>
      <c r="F604" s="232"/>
      <c r="G604" s="190"/>
      <c r="H604" s="248"/>
      <c r="I604" s="177"/>
    </row>
    <row r="605" s="165" customFormat="1" ht="21" customHeight="1" spans="2:9">
      <c r="B605" s="242"/>
      <c r="C605" s="252" t="s">
        <v>1805</v>
      </c>
      <c r="D605" s="227"/>
      <c r="E605" s="251"/>
      <c r="F605" s="232"/>
      <c r="G605" s="190"/>
      <c r="H605" s="248"/>
      <c r="I605" s="177"/>
    </row>
    <row r="606" s="165" customFormat="1" ht="34.5" customHeight="1" spans="2:9">
      <c r="B606" s="242"/>
      <c r="C606" s="192" t="s">
        <v>1676</v>
      </c>
      <c r="D606" s="227"/>
      <c r="E606" s="251"/>
      <c r="F606" s="232"/>
      <c r="G606" s="190"/>
      <c r="H606" s="248"/>
      <c r="I606" s="177"/>
    </row>
    <row r="607" s="165" customFormat="1" ht="82.5" customHeight="1" spans="2:9">
      <c r="B607" s="242"/>
      <c r="C607" s="247" t="s">
        <v>1684</v>
      </c>
      <c r="D607" s="227"/>
      <c r="E607" s="251">
        <v>1</v>
      </c>
      <c r="F607" s="229">
        <v>75400</v>
      </c>
      <c r="G607" s="190">
        <f>E607*F607</f>
        <v>75400</v>
      </c>
      <c r="H607" s="248"/>
      <c r="I607" s="177"/>
    </row>
    <row r="608" s="165" customFormat="1" spans="2:9">
      <c r="B608" s="242"/>
      <c r="C608" s="247"/>
      <c r="D608" s="227"/>
      <c r="E608" s="251"/>
      <c r="F608" s="232"/>
      <c r="G608" s="190"/>
      <c r="H608" s="248"/>
      <c r="I608" s="177"/>
    </row>
    <row r="609" s="165" customFormat="1" ht="18.75" customHeight="1" spans="2:9">
      <c r="B609" s="185" t="s">
        <v>1806</v>
      </c>
      <c r="C609" s="196" t="s">
        <v>1762</v>
      </c>
      <c r="D609" s="227"/>
      <c r="E609" s="251"/>
      <c r="F609" s="232"/>
      <c r="G609" s="190"/>
      <c r="H609" s="248"/>
      <c r="I609" s="177"/>
    </row>
    <row r="610" s="165" customFormat="1" spans="2:9">
      <c r="B610" s="242"/>
      <c r="C610" s="243"/>
      <c r="D610" s="227"/>
      <c r="E610" s="243"/>
      <c r="F610" s="232"/>
      <c r="G610" s="190"/>
      <c r="H610" s="248"/>
      <c r="I610" s="177"/>
    </row>
    <row r="611" s="165" customFormat="1" ht="52.5" customHeight="1" spans="2:9">
      <c r="B611" s="254"/>
      <c r="C611" s="263" t="s">
        <v>1659</v>
      </c>
      <c r="D611" s="234"/>
      <c r="E611" s="256"/>
      <c r="F611" s="236"/>
      <c r="G611" s="209"/>
      <c r="H611" s="248"/>
      <c r="I611" s="177"/>
    </row>
    <row r="612" s="166" customFormat="1" ht="27.75" customHeight="1" spans="2:9">
      <c r="B612" s="257"/>
      <c r="C612" s="258" t="s">
        <v>1672</v>
      </c>
      <c r="D612" s="259"/>
      <c r="E612" s="260"/>
      <c r="F612" s="261"/>
      <c r="G612" s="222"/>
      <c r="H612" s="223"/>
      <c r="I612" s="250"/>
    </row>
    <row r="613" s="165" customFormat="1" ht="21.75" customHeight="1" spans="2:9">
      <c r="B613" s="242"/>
      <c r="C613" s="252" t="s">
        <v>1804</v>
      </c>
      <c r="D613" s="227"/>
      <c r="E613" s="243"/>
      <c r="F613" s="232"/>
      <c r="G613" s="190"/>
      <c r="H613" s="248"/>
      <c r="I613" s="177"/>
    </row>
    <row r="614" s="165" customFormat="1" ht="21.75" customHeight="1" spans="2:9">
      <c r="B614" s="242"/>
      <c r="C614" s="252" t="s">
        <v>1713</v>
      </c>
      <c r="D614" s="227"/>
      <c r="E614" s="251"/>
      <c r="F614" s="232"/>
      <c r="G614" s="190"/>
      <c r="H614" s="248"/>
      <c r="I614" s="177"/>
    </row>
    <row r="615" s="165" customFormat="1" ht="22.5" customHeight="1" spans="2:9">
      <c r="B615" s="242"/>
      <c r="C615" s="252" t="s">
        <v>1714</v>
      </c>
      <c r="D615" s="227"/>
      <c r="E615" s="251"/>
      <c r="F615" s="232"/>
      <c r="G615" s="190"/>
      <c r="H615" s="248"/>
      <c r="I615" s="177"/>
    </row>
    <row r="616" s="166" customFormat="1" ht="21.75" customHeight="1" spans="2:9">
      <c r="B616" s="257"/>
      <c r="C616" s="262" t="s">
        <v>1805</v>
      </c>
      <c r="D616" s="259"/>
      <c r="E616" s="266"/>
      <c r="F616" s="261"/>
      <c r="G616" s="222"/>
      <c r="H616" s="223"/>
      <c r="I616" s="250"/>
    </row>
    <row r="617" s="165" customFormat="1" ht="35.25" customHeight="1" spans="2:9">
      <c r="B617" s="242"/>
      <c r="C617" s="252" t="s">
        <v>1676</v>
      </c>
      <c r="D617" s="227"/>
      <c r="E617" s="251"/>
      <c r="F617" s="232"/>
      <c r="G617" s="190"/>
      <c r="H617" s="248"/>
      <c r="I617" s="177"/>
    </row>
    <row r="618" s="165" customFormat="1" ht="84" customHeight="1" spans="2:9">
      <c r="B618" s="242"/>
      <c r="C618" s="247" t="s">
        <v>1684</v>
      </c>
      <c r="D618" s="227"/>
      <c r="E618" s="251">
        <v>1</v>
      </c>
      <c r="F618" s="229">
        <v>75400</v>
      </c>
      <c r="G618" s="190">
        <f>E618*F618</f>
        <v>75400</v>
      </c>
      <c r="H618" s="248"/>
      <c r="I618" s="177"/>
    </row>
    <row r="619" s="165" customFormat="1" spans="2:9">
      <c r="B619" s="242"/>
      <c r="C619" s="247"/>
      <c r="D619" s="227"/>
      <c r="E619" s="251"/>
      <c r="F619" s="232"/>
      <c r="G619" s="190"/>
      <c r="H619" s="248"/>
      <c r="I619" s="177"/>
    </row>
    <row r="620" s="165" customFormat="1" ht="18" customHeight="1" spans="2:9">
      <c r="B620" s="185" t="s">
        <v>1807</v>
      </c>
      <c r="C620" s="196" t="s">
        <v>1704</v>
      </c>
      <c r="D620" s="227"/>
      <c r="E620" s="251"/>
      <c r="F620" s="232"/>
      <c r="G620" s="190"/>
      <c r="H620" s="248"/>
      <c r="I620" s="177"/>
    </row>
    <row r="621" s="165" customFormat="1" spans="2:9">
      <c r="B621" s="242"/>
      <c r="C621" s="243"/>
      <c r="D621" s="227"/>
      <c r="E621" s="243"/>
      <c r="F621" s="232"/>
      <c r="G621" s="190"/>
      <c r="H621" s="248"/>
      <c r="I621" s="177"/>
    </row>
    <row r="622" s="165" customFormat="1" ht="45" customHeight="1" spans="2:9">
      <c r="B622" s="242"/>
      <c r="C622" s="192" t="s">
        <v>1659</v>
      </c>
      <c r="D622" s="227"/>
      <c r="E622" s="243"/>
      <c r="F622" s="232"/>
      <c r="G622" s="190"/>
      <c r="H622" s="248"/>
      <c r="I622" s="177"/>
    </row>
    <row r="623" s="165" customFormat="1" ht="21" customHeight="1" spans="2:9">
      <c r="B623" s="242"/>
      <c r="C623" s="226" t="s">
        <v>1672</v>
      </c>
      <c r="D623" s="227"/>
      <c r="E623" s="243"/>
      <c r="F623" s="232"/>
      <c r="G623" s="190"/>
      <c r="H623" s="248"/>
      <c r="I623" s="177"/>
    </row>
    <row r="624" s="165" customFormat="1" ht="21" customHeight="1" spans="2:9">
      <c r="B624" s="242"/>
      <c r="C624" s="252" t="s">
        <v>1750</v>
      </c>
      <c r="D624" s="227"/>
      <c r="E624" s="243"/>
      <c r="F624" s="232"/>
      <c r="G624" s="190"/>
      <c r="H624" s="248"/>
      <c r="I624" s="177"/>
    </row>
    <row r="625" s="165" customFormat="1" ht="21" customHeight="1" spans="2:9">
      <c r="B625" s="242"/>
      <c r="C625" s="252" t="s">
        <v>1751</v>
      </c>
      <c r="D625" s="227"/>
      <c r="E625" s="251"/>
      <c r="F625" s="232"/>
      <c r="G625" s="190"/>
      <c r="H625" s="248"/>
      <c r="I625" s="177"/>
    </row>
    <row r="626" s="165" customFormat="1" ht="34.5" customHeight="1" spans="2:9">
      <c r="B626" s="242"/>
      <c r="C626" s="192" t="s">
        <v>1676</v>
      </c>
      <c r="D626" s="227"/>
      <c r="E626" s="251"/>
      <c r="F626" s="232"/>
      <c r="G626" s="190"/>
      <c r="H626" s="248"/>
      <c r="I626" s="177"/>
    </row>
    <row r="627" s="165" customFormat="1" ht="81.75" customHeight="1" spans="2:9">
      <c r="B627" s="242"/>
      <c r="C627" s="247" t="s">
        <v>1684</v>
      </c>
      <c r="D627" s="227"/>
      <c r="E627" s="251">
        <v>1</v>
      </c>
      <c r="F627" s="229">
        <v>75400</v>
      </c>
      <c r="G627" s="190">
        <f>E627*F627</f>
        <v>75400</v>
      </c>
      <c r="H627" s="248"/>
      <c r="I627" s="177"/>
    </row>
    <row r="628" s="165" customFormat="1" spans="2:9">
      <c r="B628" s="242"/>
      <c r="C628" s="192"/>
      <c r="D628" s="242"/>
      <c r="E628" s="243"/>
      <c r="F628" s="276"/>
      <c r="G628" s="190"/>
      <c r="H628" s="277"/>
      <c r="I628" s="177"/>
    </row>
    <row r="629" s="165" customFormat="1" ht="20.25" customHeight="1" spans="2:9">
      <c r="B629" s="185" t="s">
        <v>1808</v>
      </c>
      <c r="C629" s="80" t="s">
        <v>1809</v>
      </c>
      <c r="D629" s="227"/>
      <c r="E629" s="251"/>
      <c r="F629" s="232"/>
      <c r="G629" s="190"/>
      <c r="H629" s="278"/>
      <c r="I629" s="177"/>
    </row>
    <row r="630" s="165" customFormat="1" ht="55.5" customHeight="1" spans="2:9">
      <c r="B630" s="185" t="s">
        <v>1810</v>
      </c>
      <c r="C630" s="279" t="s">
        <v>1811</v>
      </c>
      <c r="D630" s="227" t="s">
        <v>205</v>
      </c>
      <c r="E630" s="251">
        <v>10</v>
      </c>
      <c r="F630" s="229">
        <v>280800</v>
      </c>
      <c r="G630" s="190">
        <f>E630*F630</f>
        <v>2808000</v>
      </c>
      <c r="H630" s="278"/>
      <c r="I630" s="177"/>
    </row>
    <row r="631" s="165" customFormat="1" spans="2:9">
      <c r="B631" s="210"/>
      <c r="C631" s="80"/>
      <c r="D631" s="227"/>
      <c r="E631" s="251"/>
      <c r="F631" s="232"/>
      <c r="G631" s="190"/>
      <c r="H631" s="278"/>
      <c r="I631" s="177"/>
    </row>
    <row r="632" s="165" customFormat="1" ht="49.5" customHeight="1" spans="2:9">
      <c r="B632" s="185" t="s">
        <v>1812</v>
      </c>
      <c r="C632" s="279" t="s">
        <v>1813</v>
      </c>
      <c r="D632" s="227" t="s">
        <v>205</v>
      </c>
      <c r="E632" s="251">
        <v>10</v>
      </c>
      <c r="F632" s="229">
        <v>280800</v>
      </c>
      <c r="G632" s="190">
        <f>E632*F632</f>
        <v>2808000</v>
      </c>
      <c r="H632" s="278"/>
      <c r="I632" s="177"/>
    </row>
    <row r="633" s="165" customFormat="1" spans="2:9">
      <c r="B633" s="185"/>
      <c r="C633" s="279"/>
      <c r="D633" s="227"/>
      <c r="E633" s="251"/>
      <c r="F633" s="232"/>
      <c r="G633" s="190"/>
      <c r="H633" s="278"/>
      <c r="I633" s="177"/>
    </row>
    <row r="634" s="165" customFormat="1" ht="52.5" customHeight="1" spans="2:9">
      <c r="B634" s="185" t="s">
        <v>1814</v>
      </c>
      <c r="C634" s="279" t="s">
        <v>1815</v>
      </c>
      <c r="D634" s="227" t="s">
        <v>205</v>
      </c>
      <c r="E634" s="251">
        <v>15</v>
      </c>
      <c r="F634" s="229">
        <v>280800</v>
      </c>
      <c r="G634" s="190">
        <f>E634*F634</f>
        <v>4212000</v>
      </c>
      <c r="H634" s="278"/>
      <c r="I634" s="177"/>
    </row>
    <row r="635" s="165" customFormat="1" spans="2:9">
      <c r="B635" s="185"/>
      <c r="C635" s="279"/>
      <c r="D635" s="227"/>
      <c r="E635" s="251"/>
      <c r="F635" s="232"/>
      <c r="G635" s="190"/>
      <c r="H635" s="278"/>
      <c r="I635" s="177"/>
    </row>
    <row r="636" s="165" customFormat="1" ht="64.5" customHeight="1" spans="2:9">
      <c r="B636" s="205" t="s">
        <v>1816</v>
      </c>
      <c r="C636" s="280" t="s">
        <v>1817</v>
      </c>
      <c r="D636" s="234" t="s">
        <v>205</v>
      </c>
      <c r="E636" s="264">
        <v>10</v>
      </c>
      <c r="F636" s="270">
        <v>280800</v>
      </c>
      <c r="G636" s="209">
        <f>E636*F636</f>
        <v>2808000</v>
      </c>
      <c r="H636" s="278"/>
      <c r="I636" s="177"/>
    </row>
    <row r="637" s="165" customFormat="1" ht="19.5" customHeight="1" spans="2:9">
      <c r="B637" s="242"/>
      <c r="C637" s="80"/>
      <c r="D637" s="227"/>
      <c r="E637" s="251"/>
      <c r="F637" s="232"/>
      <c r="G637" s="190"/>
      <c r="H637" s="278"/>
      <c r="I637" s="177"/>
    </row>
    <row r="638" s="165" customFormat="1" ht="19.5" customHeight="1" spans="2:9">
      <c r="B638" s="185" t="s">
        <v>1818</v>
      </c>
      <c r="C638" s="196" t="s">
        <v>1819</v>
      </c>
      <c r="D638" s="227"/>
      <c r="E638" s="224"/>
      <c r="F638" s="232"/>
      <c r="G638" s="190"/>
      <c r="H638" s="248"/>
      <c r="I638" s="177"/>
    </row>
    <row r="639" s="165" customFormat="1" ht="18" customHeight="1" spans="2:9">
      <c r="B639" s="210"/>
      <c r="C639" s="195" t="s">
        <v>1820</v>
      </c>
      <c r="D639" s="227"/>
      <c r="E639" s="224"/>
      <c r="F639" s="232"/>
      <c r="G639" s="190"/>
      <c r="H639" s="248"/>
      <c r="I639" s="177"/>
    </row>
    <row r="640" s="165" customFormat="1" ht="51.75" customHeight="1" spans="2:9">
      <c r="B640" s="185" t="s">
        <v>1821</v>
      </c>
      <c r="C640" s="252" t="s">
        <v>1822</v>
      </c>
      <c r="D640" s="227" t="s">
        <v>205</v>
      </c>
      <c r="E640" s="224">
        <v>70</v>
      </c>
      <c r="F640" s="229">
        <v>187200</v>
      </c>
      <c r="G640" s="190">
        <f>E640*F640</f>
        <v>13104000</v>
      </c>
      <c r="H640" s="248"/>
      <c r="I640" s="177"/>
    </row>
    <row r="641" s="165" customFormat="1" spans="2:9">
      <c r="B641" s="210"/>
      <c r="C641" s="281"/>
      <c r="D641" s="227"/>
      <c r="E641" s="224"/>
      <c r="F641" s="232"/>
      <c r="G641" s="190"/>
      <c r="H641" s="248"/>
      <c r="I641" s="177"/>
    </row>
    <row r="642" s="165" customFormat="1" ht="19.5" customHeight="1" spans="2:9">
      <c r="B642" s="242"/>
      <c r="C642" s="195" t="s">
        <v>1823</v>
      </c>
      <c r="D642" s="227"/>
      <c r="E642" s="224"/>
      <c r="F642" s="232"/>
      <c r="G642" s="190"/>
      <c r="H642" s="248"/>
      <c r="I642" s="177"/>
    </row>
    <row r="643" s="165" customFormat="1" ht="54" customHeight="1" spans="2:9">
      <c r="B643" s="185" t="s">
        <v>1824</v>
      </c>
      <c r="C643" s="252" t="s">
        <v>1825</v>
      </c>
      <c r="D643" s="227" t="s">
        <v>205</v>
      </c>
      <c r="E643" s="224">
        <v>70</v>
      </c>
      <c r="F643" s="229">
        <v>187200</v>
      </c>
      <c r="G643" s="190">
        <f>E643*F643</f>
        <v>13104000</v>
      </c>
      <c r="H643" s="248"/>
      <c r="I643" s="177"/>
    </row>
    <row r="644" s="165" customFormat="1" ht="15.75" customHeight="1" spans="2:9">
      <c r="B644" s="210"/>
      <c r="C644" s="281"/>
      <c r="D644" s="227"/>
      <c r="E644" s="224"/>
      <c r="F644" s="232"/>
      <c r="G644" s="190"/>
      <c r="H644" s="248"/>
      <c r="I644" s="177"/>
    </row>
    <row r="645" s="165" customFormat="1" ht="18" customHeight="1" spans="2:9">
      <c r="B645" s="242"/>
      <c r="C645" s="195" t="s">
        <v>1826</v>
      </c>
      <c r="D645" s="227"/>
      <c r="E645" s="224"/>
      <c r="F645" s="232"/>
      <c r="G645" s="190"/>
      <c r="H645" s="248"/>
      <c r="I645" s="177"/>
    </row>
    <row r="646" s="165" customFormat="1" ht="49.5" customHeight="1" spans="2:9">
      <c r="B646" s="185" t="s">
        <v>1827</v>
      </c>
      <c r="C646" s="252" t="s">
        <v>1828</v>
      </c>
      <c r="D646" s="227" t="s">
        <v>205</v>
      </c>
      <c r="E646" s="224">
        <v>10</v>
      </c>
      <c r="F646" s="229">
        <v>78000</v>
      </c>
      <c r="G646" s="190">
        <f>E646*F646</f>
        <v>780000</v>
      </c>
      <c r="H646" s="248"/>
      <c r="I646" s="177"/>
    </row>
    <row r="647" s="165" customFormat="1" spans="2:9">
      <c r="B647" s="210"/>
      <c r="C647" s="279"/>
      <c r="D647" s="227"/>
      <c r="E647" s="224"/>
      <c r="F647" s="232"/>
      <c r="G647" s="190"/>
      <c r="H647" s="248"/>
      <c r="I647" s="177"/>
    </row>
    <row r="648" s="165" customFormat="1" ht="16.5" customHeight="1" spans="2:9">
      <c r="B648" s="210"/>
      <c r="C648" s="195" t="s">
        <v>1829</v>
      </c>
      <c r="D648" s="227"/>
      <c r="E648" s="224"/>
      <c r="F648" s="232"/>
      <c r="G648" s="190"/>
      <c r="H648" s="248"/>
      <c r="I648" s="177"/>
    </row>
    <row r="649" s="165" customFormat="1" ht="52.5" customHeight="1" spans="2:9">
      <c r="B649" s="185" t="s">
        <v>1830</v>
      </c>
      <c r="C649" s="252" t="s">
        <v>1831</v>
      </c>
      <c r="D649" s="227" t="s">
        <v>205</v>
      </c>
      <c r="E649" s="224">
        <v>10</v>
      </c>
      <c r="F649" s="229">
        <v>2574</v>
      </c>
      <c r="G649" s="190">
        <f>E649*F649</f>
        <v>25740</v>
      </c>
      <c r="H649" s="248"/>
      <c r="I649" s="177"/>
    </row>
    <row r="650" s="165" customFormat="1" spans="2:9">
      <c r="B650" s="210"/>
      <c r="C650" s="196"/>
      <c r="D650" s="227"/>
      <c r="E650" s="224"/>
      <c r="F650" s="232"/>
      <c r="G650" s="190"/>
      <c r="H650" s="248"/>
      <c r="I650" s="177"/>
    </row>
    <row r="651" s="165" customFormat="1" ht="18" customHeight="1" spans="2:9">
      <c r="B651" s="210"/>
      <c r="C651" s="195" t="s">
        <v>1832</v>
      </c>
      <c r="D651" s="227"/>
      <c r="E651" s="224"/>
      <c r="F651" s="232"/>
      <c r="G651" s="190"/>
      <c r="H651" s="248"/>
      <c r="I651" s="177"/>
    </row>
    <row r="652" s="165" customFormat="1" ht="51" customHeight="1" spans="2:9">
      <c r="B652" s="185" t="s">
        <v>1833</v>
      </c>
      <c r="C652" s="252" t="s">
        <v>1834</v>
      </c>
      <c r="D652" s="227" t="s">
        <v>205</v>
      </c>
      <c r="E652" s="224">
        <v>4</v>
      </c>
      <c r="F652" s="229">
        <v>2080</v>
      </c>
      <c r="G652" s="190">
        <f>E652*F652</f>
        <v>8320</v>
      </c>
      <c r="H652" s="248"/>
      <c r="I652" s="177"/>
    </row>
    <row r="653" s="165" customFormat="1" spans="2:9">
      <c r="B653" s="210"/>
      <c r="C653" s="279"/>
      <c r="D653" s="227"/>
      <c r="E653" s="224"/>
      <c r="F653" s="232"/>
      <c r="G653" s="190"/>
      <c r="H653" s="253"/>
      <c r="I653" s="177"/>
    </row>
    <row r="654" s="165" customFormat="1" ht="21.75" customHeight="1" spans="2:9">
      <c r="B654" s="210"/>
      <c r="C654" s="195" t="s">
        <v>1835</v>
      </c>
      <c r="D654" s="227"/>
      <c r="E654" s="224"/>
      <c r="F654" s="232"/>
      <c r="G654" s="190"/>
      <c r="H654" s="248"/>
      <c r="I654" s="177"/>
    </row>
    <row r="655" s="165" customFormat="1" ht="48.75" customHeight="1" spans="2:9">
      <c r="B655" s="185" t="s">
        <v>1836</v>
      </c>
      <c r="C655" s="252" t="s">
        <v>1837</v>
      </c>
      <c r="D655" s="227" t="s">
        <v>205</v>
      </c>
      <c r="E655" s="224">
        <v>12</v>
      </c>
      <c r="F655" s="229">
        <v>5408</v>
      </c>
      <c r="G655" s="190">
        <f>E655*F655</f>
        <v>64896</v>
      </c>
      <c r="H655" s="248"/>
      <c r="I655" s="177"/>
    </row>
    <row r="656" s="165" customFormat="1" spans="2:9">
      <c r="B656" s="210"/>
      <c r="C656" s="279"/>
      <c r="D656" s="227"/>
      <c r="E656" s="224"/>
      <c r="F656" s="232"/>
      <c r="G656" s="190"/>
      <c r="H656" s="248"/>
      <c r="I656" s="177"/>
    </row>
    <row r="657" s="165" customFormat="1" ht="21.75" customHeight="1" spans="2:9">
      <c r="B657" s="210"/>
      <c r="C657" s="282" t="s">
        <v>1838</v>
      </c>
      <c r="D657" s="227"/>
      <c r="E657" s="251"/>
      <c r="F657" s="232"/>
      <c r="G657" s="190"/>
      <c r="H657" s="248"/>
      <c r="I657" s="177"/>
    </row>
    <row r="658" s="165" customFormat="1" ht="48.75" customHeight="1" spans="2:9">
      <c r="B658" s="185" t="s">
        <v>1839</v>
      </c>
      <c r="C658" s="279" t="s">
        <v>1840</v>
      </c>
      <c r="D658" s="227" t="s">
        <v>205</v>
      </c>
      <c r="E658" s="251">
        <v>6</v>
      </c>
      <c r="F658" s="229">
        <v>7540</v>
      </c>
      <c r="G658" s="190">
        <f>E658*F658</f>
        <v>45240</v>
      </c>
      <c r="H658" s="248"/>
      <c r="I658" s="177"/>
    </row>
    <row r="659" s="165" customFormat="1" spans="2:9">
      <c r="B659" s="210"/>
      <c r="C659" s="279"/>
      <c r="D659" s="227"/>
      <c r="E659" s="224"/>
      <c r="F659" s="232"/>
      <c r="G659" s="190"/>
      <c r="H659" s="248"/>
      <c r="I659" s="177"/>
    </row>
    <row r="660" s="165" customFormat="1" ht="21.75" customHeight="1" spans="2:9">
      <c r="B660" s="210"/>
      <c r="C660" s="282" t="s">
        <v>1841</v>
      </c>
      <c r="D660" s="227"/>
      <c r="E660" s="224"/>
      <c r="F660" s="232"/>
      <c r="G660" s="190"/>
      <c r="H660" s="248"/>
      <c r="I660" s="177"/>
    </row>
    <row r="661" s="165" customFormat="1" ht="50.25" customHeight="1" spans="2:9">
      <c r="B661" s="185" t="s">
        <v>1842</v>
      </c>
      <c r="C661" s="279" t="s">
        <v>1843</v>
      </c>
      <c r="D661" s="227" t="s">
        <v>205</v>
      </c>
      <c r="E661" s="224">
        <v>6</v>
      </c>
      <c r="F661" s="229">
        <v>7540</v>
      </c>
      <c r="G661" s="190">
        <f>E661*F661</f>
        <v>45240</v>
      </c>
      <c r="H661" s="248"/>
      <c r="I661" s="177"/>
    </row>
    <row r="662" s="165" customFormat="1" ht="18" customHeight="1" spans="2:9">
      <c r="B662" s="210"/>
      <c r="C662" s="279"/>
      <c r="D662" s="227"/>
      <c r="E662" s="224"/>
      <c r="F662" s="232"/>
      <c r="G662" s="190"/>
      <c r="H662" s="248"/>
      <c r="I662" s="177"/>
    </row>
    <row r="663" s="165" customFormat="1" ht="20.25" customHeight="1" spans="2:9">
      <c r="B663" s="210"/>
      <c r="C663" s="282" t="s">
        <v>1844</v>
      </c>
      <c r="D663" s="227"/>
      <c r="E663" s="224"/>
      <c r="F663" s="232"/>
      <c r="G663" s="190"/>
      <c r="H663" s="248"/>
      <c r="I663" s="177"/>
    </row>
    <row r="664" s="165" customFormat="1" ht="55.5" customHeight="1" spans="2:9">
      <c r="B664" s="205" t="s">
        <v>1845</v>
      </c>
      <c r="C664" s="280" t="s">
        <v>1846</v>
      </c>
      <c r="D664" s="234" t="s">
        <v>205</v>
      </c>
      <c r="E664" s="235">
        <v>6</v>
      </c>
      <c r="F664" s="270">
        <v>11388</v>
      </c>
      <c r="G664" s="209">
        <f>E664*F664</f>
        <v>68328</v>
      </c>
      <c r="H664" s="248"/>
      <c r="I664" s="177"/>
    </row>
    <row r="665" s="165" customFormat="1" ht="17.25" customHeight="1" spans="2:9">
      <c r="B665" s="210"/>
      <c r="C665" s="279"/>
      <c r="D665" s="227"/>
      <c r="E665" s="224"/>
      <c r="F665" s="232"/>
      <c r="G665" s="190"/>
      <c r="H665" s="248"/>
      <c r="I665" s="177"/>
    </row>
    <row r="666" s="165" customFormat="1" ht="18.75" customHeight="1" spans="2:9">
      <c r="B666" s="210"/>
      <c r="C666" s="282" t="s">
        <v>1847</v>
      </c>
      <c r="D666" s="227"/>
      <c r="E666" s="224"/>
      <c r="F666" s="232"/>
      <c r="G666" s="190"/>
      <c r="H666" s="248"/>
      <c r="I666" s="177"/>
    </row>
    <row r="667" s="165" customFormat="1" ht="51.75" customHeight="1" spans="2:9">
      <c r="B667" s="185" t="s">
        <v>1848</v>
      </c>
      <c r="C667" s="279" t="s">
        <v>1849</v>
      </c>
      <c r="D667" s="227" t="s">
        <v>205</v>
      </c>
      <c r="E667" s="224">
        <v>6</v>
      </c>
      <c r="F667" s="229">
        <v>7540</v>
      </c>
      <c r="G667" s="190">
        <f>E667*F667</f>
        <v>45240</v>
      </c>
      <c r="H667" s="248"/>
      <c r="I667" s="177"/>
    </row>
    <row r="668" s="165" customFormat="1" spans="2:9">
      <c r="B668" s="210"/>
      <c r="C668" s="279"/>
      <c r="D668" s="227"/>
      <c r="E668" s="224"/>
      <c r="F668" s="232"/>
      <c r="G668" s="190"/>
      <c r="H668" s="248"/>
      <c r="I668" s="177"/>
    </row>
    <row r="669" s="165" customFormat="1" ht="20.25" customHeight="1" spans="2:9">
      <c r="B669" s="210"/>
      <c r="C669" s="282" t="s">
        <v>1850</v>
      </c>
      <c r="D669" s="227"/>
      <c r="E669" s="224"/>
      <c r="F669" s="232"/>
      <c r="G669" s="190"/>
      <c r="H669" s="248"/>
      <c r="I669" s="177"/>
    </row>
    <row r="670" s="165" customFormat="1" ht="52.5" customHeight="1" spans="2:9">
      <c r="B670" s="185" t="s">
        <v>1851</v>
      </c>
      <c r="C670" s="279" t="s">
        <v>1852</v>
      </c>
      <c r="D670" s="227" t="s">
        <v>205</v>
      </c>
      <c r="E670" s="224">
        <v>6</v>
      </c>
      <c r="F670" s="229">
        <v>7540</v>
      </c>
      <c r="G670" s="190">
        <f>E670*F670</f>
        <v>45240</v>
      </c>
      <c r="H670" s="248"/>
      <c r="I670" s="177"/>
    </row>
    <row r="671" s="165" customFormat="1" spans="2:9">
      <c r="B671" s="210"/>
      <c r="C671" s="279"/>
      <c r="D671" s="227"/>
      <c r="E671" s="224"/>
      <c r="F671" s="232"/>
      <c r="G671" s="190"/>
      <c r="H671" s="248"/>
      <c r="I671" s="177"/>
    </row>
    <row r="672" s="165" customFormat="1" ht="20.25" customHeight="1" spans="2:9">
      <c r="B672" s="210"/>
      <c r="C672" s="282" t="s">
        <v>1853</v>
      </c>
      <c r="D672" s="227"/>
      <c r="E672" s="224"/>
      <c r="F672" s="232"/>
      <c r="G672" s="190"/>
      <c r="H672" s="248"/>
      <c r="I672" s="177"/>
    </row>
    <row r="673" s="165" customFormat="1" ht="49.5" customHeight="1" spans="2:9">
      <c r="B673" s="185" t="s">
        <v>1854</v>
      </c>
      <c r="C673" s="279" t="s">
        <v>1849</v>
      </c>
      <c r="D673" s="227" t="s">
        <v>205</v>
      </c>
      <c r="E673" s="224">
        <v>6</v>
      </c>
      <c r="F673" s="229">
        <v>7540</v>
      </c>
      <c r="G673" s="190">
        <f>E673*F673</f>
        <v>45240</v>
      </c>
      <c r="H673" s="248"/>
      <c r="I673" s="177"/>
    </row>
    <row r="674" s="165" customFormat="1" spans="2:9">
      <c r="B674" s="210"/>
      <c r="C674" s="279"/>
      <c r="D674" s="227"/>
      <c r="E674" s="224"/>
      <c r="F674" s="232"/>
      <c r="G674" s="190"/>
      <c r="H674" s="248"/>
      <c r="I674" s="177"/>
    </row>
    <row r="675" s="165" customFormat="1" ht="16.5" customHeight="1" spans="2:9">
      <c r="B675" s="210"/>
      <c r="C675" s="282" t="s">
        <v>1855</v>
      </c>
      <c r="D675" s="227"/>
      <c r="E675" s="224"/>
      <c r="F675" s="232"/>
      <c r="G675" s="190"/>
      <c r="H675" s="248"/>
      <c r="I675" s="177"/>
    </row>
    <row r="676" s="165" customFormat="1" ht="54.75" customHeight="1" spans="2:9">
      <c r="B676" s="185" t="s">
        <v>1856</v>
      </c>
      <c r="C676" s="279" t="s">
        <v>1849</v>
      </c>
      <c r="D676" s="227" t="s">
        <v>205</v>
      </c>
      <c r="E676" s="224">
        <v>6</v>
      </c>
      <c r="F676" s="229">
        <v>7540</v>
      </c>
      <c r="G676" s="190">
        <f>E676*F676</f>
        <v>45240</v>
      </c>
      <c r="H676" s="248"/>
      <c r="I676" s="177"/>
    </row>
    <row r="677" s="165" customFormat="1" spans="2:9">
      <c r="B677" s="210"/>
      <c r="C677" s="279"/>
      <c r="D677" s="227"/>
      <c r="E677" s="224"/>
      <c r="F677" s="232"/>
      <c r="G677" s="190"/>
      <c r="H677" s="248"/>
      <c r="I677" s="177"/>
    </row>
    <row r="678" s="165" customFormat="1" ht="18" customHeight="1" spans="2:9">
      <c r="B678" s="210"/>
      <c r="C678" s="282" t="s">
        <v>1857</v>
      </c>
      <c r="D678" s="227"/>
      <c r="E678" s="224"/>
      <c r="F678" s="232"/>
      <c r="G678" s="190"/>
      <c r="H678" s="248"/>
      <c r="I678" s="177"/>
    </row>
    <row r="679" s="165" customFormat="1" ht="52.5" customHeight="1" spans="2:9">
      <c r="B679" s="185" t="s">
        <v>1858</v>
      </c>
      <c r="C679" s="279" t="s">
        <v>1852</v>
      </c>
      <c r="D679" s="227" t="s">
        <v>205</v>
      </c>
      <c r="E679" s="224">
        <v>6</v>
      </c>
      <c r="F679" s="229">
        <v>7540</v>
      </c>
      <c r="G679" s="190">
        <f>E679*F679</f>
        <v>45240</v>
      </c>
      <c r="H679" s="248"/>
      <c r="I679" s="177"/>
    </row>
    <row r="680" s="165" customFormat="1" spans="2:9">
      <c r="B680" s="210"/>
      <c r="C680" s="279"/>
      <c r="D680" s="227"/>
      <c r="E680" s="224"/>
      <c r="F680" s="232"/>
      <c r="G680" s="190"/>
      <c r="H680" s="253"/>
      <c r="I680" s="177"/>
    </row>
    <row r="681" s="165" customFormat="1" ht="18" customHeight="1" spans="2:9">
      <c r="B681" s="210"/>
      <c r="C681" s="282" t="s">
        <v>1859</v>
      </c>
      <c r="D681" s="227"/>
      <c r="E681" s="224"/>
      <c r="F681" s="232"/>
      <c r="G681" s="190"/>
      <c r="H681" s="248"/>
      <c r="I681" s="177"/>
    </row>
    <row r="682" s="165" customFormat="1" ht="48.75" customHeight="1" spans="2:9">
      <c r="B682" s="185" t="s">
        <v>1860</v>
      </c>
      <c r="C682" s="279" t="s">
        <v>1861</v>
      </c>
      <c r="D682" s="227" t="s">
        <v>205</v>
      </c>
      <c r="E682" s="224">
        <v>6</v>
      </c>
      <c r="F682" s="229">
        <v>7540</v>
      </c>
      <c r="G682" s="190">
        <f>E682*F682</f>
        <v>45240</v>
      </c>
      <c r="H682" s="248"/>
      <c r="I682" s="177"/>
    </row>
    <row r="683" s="165" customFormat="1" ht="17.25" customHeight="1" spans="2:9">
      <c r="B683" s="210"/>
      <c r="C683" s="279"/>
      <c r="D683" s="227"/>
      <c r="E683" s="224"/>
      <c r="F683" s="232"/>
      <c r="G683" s="190"/>
      <c r="H683" s="248"/>
      <c r="I683" s="177"/>
    </row>
    <row r="684" s="165" customFormat="1" ht="18" customHeight="1" spans="2:9">
      <c r="B684" s="210"/>
      <c r="C684" s="282" t="s">
        <v>1862</v>
      </c>
      <c r="D684" s="227"/>
      <c r="E684" s="224"/>
      <c r="F684" s="232"/>
      <c r="G684" s="190"/>
      <c r="H684" s="248"/>
      <c r="I684" s="177"/>
    </row>
    <row r="685" s="165" customFormat="1" ht="50.25" customHeight="1" spans="2:9">
      <c r="B685" s="185" t="s">
        <v>1863</v>
      </c>
      <c r="C685" s="279" t="s">
        <v>1864</v>
      </c>
      <c r="D685" s="227" t="s">
        <v>205</v>
      </c>
      <c r="E685" s="224">
        <v>6</v>
      </c>
      <c r="F685" s="229">
        <v>7540</v>
      </c>
      <c r="G685" s="190">
        <f>E685*F685</f>
        <v>45240</v>
      </c>
      <c r="H685" s="248"/>
      <c r="I685" s="177"/>
    </row>
    <row r="686" s="165" customFormat="1" spans="2:9">
      <c r="B686" s="210"/>
      <c r="C686" s="279"/>
      <c r="D686" s="227"/>
      <c r="E686" s="224"/>
      <c r="F686" s="232"/>
      <c r="G686" s="190"/>
      <c r="H686" s="248"/>
      <c r="I686" s="177"/>
    </row>
    <row r="687" s="165" customFormat="1" ht="18.75" customHeight="1" spans="2:9">
      <c r="B687" s="210"/>
      <c r="C687" s="282" t="s">
        <v>1865</v>
      </c>
      <c r="D687" s="227"/>
      <c r="E687" s="251"/>
      <c r="F687" s="232"/>
      <c r="G687" s="190"/>
      <c r="H687" s="248"/>
      <c r="I687" s="177"/>
    </row>
    <row r="688" s="165" customFormat="1" ht="48" customHeight="1" spans="2:9">
      <c r="B688" s="185" t="s">
        <v>1866</v>
      </c>
      <c r="C688" s="279" t="s">
        <v>1867</v>
      </c>
      <c r="D688" s="227" t="s">
        <v>205</v>
      </c>
      <c r="E688" s="251">
        <v>6</v>
      </c>
      <c r="F688" s="229">
        <v>11388</v>
      </c>
      <c r="G688" s="190">
        <f>E688*F688</f>
        <v>68328</v>
      </c>
      <c r="H688" s="248"/>
      <c r="I688" s="177"/>
    </row>
    <row r="689" s="165" customFormat="1" ht="18" customHeight="1" spans="2:9">
      <c r="B689" s="210"/>
      <c r="C689" s="279"/>
      <c r="D689" s="227"/>
      <c r="E689" s="224"/>
      <c r="F689" s="232"/>
      <c r="G689" s="190"/>
      <c r="H689" s="248"/>
      <c r="I689" s="177"/>
    </row>
    <row r="690" s="165" customFormat="1" ht="21.75" customHeight="1" spans="2:9">
      <c r="B690" s="210"/>
      <c r="C690" s="282" t="s">
        <v>1868</v>
      </c>
      <c r="D690" s="227"/>
      <c r="E690" s="224"/>
      <c r="F690" s="232"/>
      <c r="G690" s="190"/>
      <c r="H690" s="248"/>
      <c r="I690" s="177"/>
    </row>
    <row r="691" s="165" customFormat="1" ht="52.5" customHeight="1" spans="2:9">
      <c r="B691" s="185" t="s">
        <v>1869</v>
      </c>
      <c r="C691" s="279" t="s">
        <v>1870</v>
      </c>
      <c r="D691" s="227" t="s">
        <v>205</v>
      </c>
      <c r="E691" s="224">
        <v>6</v>
      </c>
      <c r="F691" s="229">
        <v>7540</v>
      </c>
      <c r="G691" s="190">
        <f>E691*F691</f>
        <v>45240</v>
      </c>
      <c r="H691" s="248"/>
      <c r="I691" s="177"/>
    </row>
    <row r="692" s="165" customFormat="1" ht="17.25" customHeight="1" spans="2:9">
      <c r="B692" s="210"/>
      <c r="C692" s="279"/>
      <c r="D692" s="227"/>
      <c r="E692" s="224"/>
      <c r="F692" s="232"/>
      <c r="G692" s="190"/>
      <c r="H692" s="248"/>
      <c r="I692" s="177"/>
    </row>
    <row r="693" s="165" customFormat="1" ht="20.25" customHeight="1" spans="2:9">
      <c r="B693" s="210"/>
      <c r="C693" s="282" t="s">
        <v>1871</v>
      </c>
      <c r="D693" s="227"/>
      <c r="E693" s="224"/>
      <c r="F693" s="232"/>
      <c r="G693" s="190"/>
      <c r="H693" s="248"/>
      <c r="I693" s="177"/>
    </row>
    <row r="694" s="165" customFormat="1" ht="50.25" customHeight="1" spans="2:9">
      <c r="B694" s="205" t="s">
        <v>1872</v>
      </c>
      <c r="C694" s="280" t="s">
        <v>1870</v>
      </c>
      <c r="D694" s="234" t="s">
        <v>205</v>
      </c>
      <c r="E694" s="235">
        <v>6</v>
      </c>
      <c r="F694" s="270">
        <v>7540</v>
      </c>
      <c r="G694" s="209">
        <f>E694*F694</f>
        <v>45240</v>
      </c>
      <c r="H694" s="248"/>
      <c r="I694" s="177"/>
    </row>
    <row r="695" s="165" customFormat="1" spans="2:9">
      <c r="B695" s="210"/>
      <c r="C695" s="279"/>
      <c r="D695" s="227"/>
      <c r="E695" s="224"/>
      <c r="F695" s="232"/>
      <c r="G695" s="190"/>
      <c r="H695" s="248"/>
      <c r="I695" s="177"/>
    </row>
    <row r="696" s="165" customFormat="1" ht="24.75" customHeight="1" spans="2:9">
      <c r="B696" s="210"/>
      <c r="C696" s="282" t="s">
        <v>1873</v>
      </c>
      <c r="D696" s="227"/>
      <c r="E696" s="224"/>
      <c r="F696" s="232"/>
      <c r="G696" s="190"/>
      <c r="H696" s="248"/>
      <c r="I696" s="177"/>
    </row>
    <row r="697" s="165" customFormat="1" ht="49.5" customHeight="1" spans="2:9">
      <c r="B697" s="185" t="s">
        <v>1874</v>
      </c>
      <c r="C697" s="279" t="s">
        <v>1875</v>
      </c>
      <c r="D697" s="227" t="s">
        <v>205</v>
      </c>
      <c r="E697" s="224">
        <v>6</v>
      </c>
      <c r="F697" s="229">
        <v>7540</v>
      </c>
      <c r="G697" s="190">
        <f>E697*F697</f>
        <v>45240</v>
      </c>
      <c r="H697" s="248"/>
      <c r="I697" s="177"/>
    </row>
    <row r="698" s="165" customFormat="1" spans="2:9">
      <c r="B698" s="210"/>
      <c r="C698" s="279"/>
      <c r="D698" s="227"/>
      <c r="E698" s="224"/>
      <c r="F698" s="232"/>
      <c r="G698" s="190"/>
      <c r="H698" s="248"/>
      <c r="I698" s="177"/>
    </row>
    <row r="699" s="165" customFormat="1" ht="18" customHeight="1" spans="2:9">
      <c r="B699" s="210"/>
      <c r="C699" s="282" t="s">
        <v>1876</v>
      </c>
      <c r="D699" s="227"/>
      <c r="E699" s="224"/>
      <c r="F699" s="232"/>
      <c r="G699" s="190"/>
      <c r="H699" s="248"/>
      <c r="I699" s="177"/>
    </row>
    <row r="700" s="165" customFormat="1" ht="49.5" customHeight="1" spans="2:9">
      <c r="B700" s="185" t="s">
        <v>1877</v>
      </c>
      <c r="C700" s="279" t="s">
        <v>1875</v>
      </c>
      <c r="D700" s="227" t="s">
        <v>205</v>
      </c>
      <c r="E700" s="224">
        <v>6</v>
      </c>
      <c r="F700" s="229">
        <v>7540</v>
      </c>
      <c r="G700" s="190">
        <f>E700*F700</f>
        <v>45240</v>
      </c>
      <c r="H700" s="248"/>
      <c r="I700" s="177"/>
    </row>
    <row r="701" s="165" customFormat="1" spans="2:9">
      <c r="B701" s="210"/>
      <c r="C701" s="279"/>
      <c r="D701" s="227"/>
      <c r="E701" s="224"/>
      <c r="F701" s="232"/>
      <c r="G701" s="190"/>
      <c r="H701" s="248"/>
      <c r="I701" s="177"/>
    </row>
    <row r="702" s="165" customFormat="1" ht="18" customHeight="1" spans="2:9">
      <c r="B702" s="210"/>
      <c r="C702" s="282" t="s">
        <v>1878</v>
      </c>
      <c r="D702" s="227"/>
      <c r="E702" s="224"/>
      <c r="F702" s="232"/>
      <c r="G702" s="190"/>
      <c r="H702" s="248"/>
      <c r="I702" s="177"/>
    </row>
    <row r="703" s="165" customFormat="1" ht="49.5" customHeight="1" spans="2:9">
      <c r="B703" s="185" t="s">
        <v>1879</v>
      </c>
      <c r="C703" s="279" t="s">
        <v>1880</v>
      </c>
      <c r="D703" s="227" t="s">
        <v>205</v>
      </c>
      <c r="E703" s="224">
        <v>6</v>
      </c>
      <c r="F703" s="229">
        <v>11388</v>
      </c>
      <c r="G703" s="190">
        <f>E703*F703</f>
        <v>68328</v>
      </c>
      <c r="H703" s="248"/>
      <c r="I703" s="177"/>
    </row>
    <row r="704" s="165" customFormat="1" spans="2:9">
      <c r="B704" s="210"/>
      <c r="C704" s="279"/>
      <c r="D704" s="227"/>
      <c r="E704" s="224"/>
      <c r="F704" s="232"/>
      <c r="G704" s="190"/>
      <c r="H704" s="248"/>
      <c r="I704" s="177"/>
    </row>
    <row r="705" s="165" customFormat="1" ht="17.25" customHeight="1" spans="2:9">
      <c r="B705" s="210"/>
      <c r="C705" s="282" t="s">
        <v>1881</v>
      </c>
      <c r="D705" s="227"/>
      <c r="E705" s="224"/>
      <c r="F705" s="232"/>
      <c r="G705" s="190"/>
      <c r="H705" s="248"/>
      <c r="I705" s="177"/>
    </row>
    <row r="706" s="165" customFormat="1" ht="48" customHeight="1" spans="2:9">
      <c r="B706" s="185" t="s">
        <v>1882</v>
      </c>
      <c r="C706" s="279" t="s">
        <v>1883</v>
      </c>
      <c r="D706" s="227" t="s">
        <v>205</v>
      </c>
      <c r="E706" s="224">
        <v>6</v>
      </c>
      <c r="F706" s="229">
        <v>5980</v>
      </c>
      <c r="G706" s="190">
        <f>E706*F706</f>
        <v>35880</v>
      </c>
      <c r="H706" s="248"/>
      <c r="I706" s="177"/>
    </row>
    <row r="707" s="165" customFormat="1" ht="14.25" customHeight="1" spans="2:9">
      <c r="B707" s="210"/>
      <c r="C707" s="279"/>
      <c r="D707" s="227"/>
      <c r="E707" s="224"/>
      <c r="F707" s="232"/>
      <c r="G707" s="190"/>
      <c r="H707" s="253"/>
      <c r="I707" s="177"/>
    </row>
    <row r="708" s="165" customFormat="1" ht="18" customHeight="1" spans="2:9">
      <c r="B708" s="210"/>
      <c r="C708" s="282" t="s">
        <v>1884</v>
      </c>
      <c r="D708" s="227"/>
      <c r="E708" s="224"/>
      <c r="F708" s="232"/>
      <c r="G708" s="190"/>
      <c r="H708" s="248"/>
      <c r="I708" s="177"/>
    </row>
    <row r="709" s="165" customFormat="1" ht="54" customHeight="1" spans="2:9">
      <c r="B709" s="185" t="s">
        <v>1885</v>
      </c>
      <c r="C709" s="279" t="s">
        <v>1886</v>
      </c>
      <c r="D709" s="227" t="s">
        <v>205</v>
      </c>
      <c r="E709" s="224">
        <v>6</v>
      </c>
      <c r="F709" s="229">
        <v>7540</v>
      </c>
      <c r="G709" s="190">
        <f>E709*F709</f>
        <v>45240</v>
      </c>
      <c r="H709" s="248"/>
      <c r="I709" s="177"/>
    </row>
    <row r="710" s="165" customFormat="1" spans="2:9">
      <c r="B710" s="210"/>
      <c r="C710" s="279"/>
      <c r="D710" s="227"/>
      <c r="E710" s="224"/>
      <c r="F710" s="232"/>
      <c r="G710" s="190"/>
      <c r="H710" s="248"/>
      <c r="I710" s="177"/>
    </row>
    <row r="711" s="165" customFormat="1" ht="17.25" customHeight="1" spans="2:9">
      <c r="B711" s="210"/>
      <c r="C711" s="282" t="s">
        <v>1887</v>
      </c>
      <c r="D711" s="227"/>
      <c r="E711" s="224"/>
      <c r="F711" s="232"/>
      <c r="G711" s="190"/>
      <c r="H711" s="248"/>
      <c r="I711" s="177"/>
    </row>
    <row r="712" s="165" customFormat="1" ht="48" customHeight="1" spans="2:9">
      <c r="B712" s="185" t="s">
        <v>1888</v>
      </c>
      <c r="C712" s="279" t="s">
        <v>1889</v>
      </c>
      <c r="D712" s="227" t="s">
        <v>205</v>
      </c>
      <c r="E712" s="224">
        <v>6</v>
      </c>
      <c r="F712" s="229">
        <v>7540</v>
      </c>
      <c r="G712" s="190">
        <f>E712*F712</f>
        <v>45240</v>
      </c>
      <c r="H712" s="248"/>
      <c r="I712" s="177"/>
    </row>
    <row r="713" s="165" customFormat="1" ht="19.5" customHeight="1" spans="2:9">
      <c r="B713" s="210"/>
      <c r="C713" s="282"/>
      <c r="D713" s="227"/>
      <c r="E713" s="224"/>
      <c r="F713" s="232"/>
      <c r="G713" s="190"/>
      <c r="H713" s="248"/>
      <c r="I713" s="177"/>
    </row>
    <row r="714" s="165" customFormat="1" ht="18" customHeight="1" spans="2:9">
      <c r="B714" s="210"/>
      <c r="C714" s="282" t="s">
        <v>1890</v>
      </c>
      <c r="D714" s="227"/>
      <c r="E714" s="224"/>
      <c r="F714" s="232"/>
      <c r="G714" s="190"/>
      <c r="H714" s="248"/>
      <c r="I714" s="177"/>
    </row>
    <row r="715" s="165" customFormat="1" ht="50.25" customHeight="1" spans="2:9">
      <c r="B715" s="185" t="s">
        <v>1891</v>
      </c>
      <c r="C715" s="279" t="s">
        <v>1892</v>
      </c>
      <c r="D715" s="227" t="s">
        <v>205</v>
      </c>
      <c r="E715" s="224">
        <v>35</v>
      </c>
      <c r="F715" s="229">
        <v>30004</v>
      </c>
      <c r="G715" s="190">
        <f>E715*F715</f>
        <v>1050140</v>
      </c>
      <c r="H715" s="248"/>
      <c r="I715" s="177"/>
    </row>
    <row r="716" s="165" customFormat="1" ht="15.75" customHeight="1" spans="2:9">
      <c r="B716" s="210"/>
      <c r="C716" s="282"/>
      <c r="D716" s="227"/>
      <c r="E716" s="251"/>
      <c r="F716" s="232"/>
      <c r="G716" s="190"/>
      <c r="H716" s="248"/>
      <c r="I716" s="177"/>
    </row>
    <row r="717" s="165" customFormat="1" ht="19.5" customHeight="1" spans="2:9">
      <c r="B717" s="210"/>
      <c r="C717" s="282" t="s">
        <v>1893</v>
      </c>
      <c r="D717" s="227"/>
      <c r="E717" s="251"/>
      <c r="F717" s="232"/>
      <c r="G717" s="190"/>
      <c r="H717" s="248"/>
      <c r="I717" s="177"/>
    </row>
    <row r="718" s="165" customFormat="1" ht="49.5" customHeight="1" spans="2:9">
      <c r="B718" s="185" t="s">
        <v>1894</v>
      </c>
      <c r="C718" s="279" t="s">
        <v>1895</v>
      </c>
      <c r="D718" s="227" t="s">
        <v>205</v>
      </c>
      <c r="E718" s="251">
        <v>60</v>
      </c>
      <c r="F718" s="229">
        <v>41392</v>
      </c>
      <c r="G718" s="190">
        <f>E718*F718</f>
        <v>2483520</v>
      </c>
      <c r="H718" s="248"/>
      <c r="I718" s="177"/>
    </row>
    <row r="719" s="165" customFormat="1" ht="18" customHeight="1" spans="2:9">
      <c r="B719" s="210"/>
      <c r="C719" s="279"/>
      <c r="D719" s="227"/>
      <c r="E719" s="224"/>
      <c r="F719" s="232"/>
      <c r="G719" s="190"/>
      <c r="H719" s="248"/>
      <c r="I719" s="177"/>
    </row>
    <row r="720" s="165" customFormat="1" ht="16.5" customHeight="1" spans="2:9">
      <c r="B720" s="210"/>
      <c r="C720" s="282" t="s">
        <v>1896</v>
      </c>
      <c r="D720" s="227"/>
      <c r="E720" s="224"/>
      <c r="F720" s="232"/>
      <c r="G720" s="190"/>
      <c r="H720" s="248"/>
      <c r="I720" s="177"/>
    </row>
    <row r="721" s="165" customFormat="1" ht="50.25" customHeight="1" spans="2:9">
      <c r="B721" s="185" t="s">
        <v>1897</v>
      </c>
      <c r="C721" s="279" t="s">
        <v>1898</v>
      </c>
      <c r="D721" s="227" t="s">
        <v>205</v>
      </c>
      <c r="E721" s="224">
        <v>60</v>
      </c>
      <c r="F721" s="229">
        <v>5980</v>
      </c>
      <c r="G721" s="190">
        <f>E721*F721</f>
        <v>358800</v>
      </c>
      <c r="H721" s="248"/>
      <c r="I721" s="177"/>
    </row>
    <row r="722" s="165" customFormat="1" ht="18" customHeight="1" spans="2:9">
      <c r="B722" s="210"/>
      <c r="C722" s="282"/>
      <c r="D722" s="227"/>
      <c r="E722" s="224"/>
      <c r="F722" s="232"/>
      <c r="G722" s="190"/>
      <c r="H722" s="248"/>
      <c r="I722" s="177"/>
    </row>
    <row r="723" s="165" customFormat="1" ht="17.25" customHeight="1" spans="2:9">
      <c r="B723" s="210"/>
      <c r="C723" s="282" t="s">
        <v>1899</v>
      </c>
      <c r="D723" s="227"/>
      <c r="E723" s="224"/>
      <c r="F723" s="232"/>
      <c r="G723" s="190"/>
      <c r="H723" s="248"/>
      <c r="I723" s="177"/>
    </row>
    <row r="724" s="165" customFormat="1" ht="57" customHeight="1" spans="2:9">
      <c r="B724" s="205" t="s">
        <v>1900</v>
      </c>
      <c r="C724" s="280" t="s">
        <v>1901</v>
      </c>
      <c r="D724" s="234" t="s">
        <v>205</v>
      </c>
      <c r="E724" s="235">
        <v>60</v>
      </c>
      <c r="F724" s="270">
        <v>5980</v>
      </c>
      <c r="G724" s="209">
        <f>E724*F724</f>
        <v>358800</v>
      </c>
      <c r="H724" s="248"/>
      <c r="I724" s="177"/>
    </row>
    <row r="725" s="165" customFormat="1" ht="17.25" customHeight="1" spans="2:9">
      <c r="B725" s="210"/>
      <c r="C725" s="279"/>
      <c r="D725" s="227"/>
      <c r="E725" s="224"/>
      <c r="F725" s="232"/>
      <c r="G725" s="190"/>
      <c r="H725" s="248"/>
      <c r="I725" s="177"/>
    </row>
    <row r="726" s="165" customFormat="1" ht="18.75" customHeight="1" spans="2:9">
      <c r="B726" s="210"/>
      <c r="C726" s="282" t="s">
        <v>1902</v>
      </c>
      <c r="D726" s="227"/>
      <c r="E726" s="224"/>
      <c r="F726" s="232"/>
      <c r="G726" s="190"/>
      <c r="H726" s="248"/>
      <c r="I726" s="177"/>
    </row>
    <row r="727" s="165" customFormat="1" ht="51" customHeight="1" spans="2:9">
      <c r="B727" s="185" t="s">
        <v>1903</v>
      </c>
      <c r="C727" s="279" t="s">
        <v>1904</v>
      </c>
      <c r="D727" s="227" t="s">
        <v>205</v>
      </c>
      <c r="E727" s="224">
        <v>42</v>
      </c>
      <c r="F727" s="229">
        <v>7540</v>
      </c>
      <c r="G727" s="190">
        <f>E727*F727</f>
        <v>316680</v>
      </c>
      <c r="H727" s="248"/>
      <c r="I727" s="177"/>
    </row>
    <row r="728" s="165" customFormat="1" ht="18.75" customHeight="1" spans="2:9">
      <c r="B728" s="210"/>
      <c r="C728" s="282"/>
      <c r="D728" s="227"/>
      <c r="E728" s="224"/>
      <c r="F728" s="232"/>
      <c r="G728" s="190"/>
      <c r="H728" s="248"/>
      <c r="I728" s="177"/>
    </row>
    <row r="729" s="165" customFormat="1" ht="17.25" customHeight="1" spans="2:9">
      <c r="B729" s="210"/>
      <c r="C729" s="282" t="s">
        <v>1905</v>
      </c>
      <c r="D729" s="227"/>
      <c r="E729" s="224"/>
      <c r="F729" s="232"/>
      <c r="G729" s="190"/>
      <c r="H729" s="248"/>
      <c r="I729" s="177"/>
    </row>
    <row r="730" s="165" customFormat="1" ht="49.5" customHeight="1" spans="2:9">
      <c r="B730" s="185" t="s">
        <v>1906</v>
      </c>
      <c r="C730" s="279" t="s">
        <v>1907</v>
      </c>
      <c r="D730" s="227" t="s">
        <v>205</v>
      </c>
      <c r="E730" s="224">
        <v>52</v>
      </c>
      <c r="F730" s="229">
        <v>8164</v>
      </c>
      <c r="G730" s="190">
        <f>E730*F730</f>
        <v>424528</v>
      </c>
      <c r="H730" s="248"/>
      <c r="I730" s="177"/>
    </row>
    <row r="731" s="165" customFormat="1" ht="20.25" customHeight="1" spans="2:9">
      <c r="B731" s="210"/>
      <c r="C731" s="282"/>
      <c r="D731" s="227"/>
      <c r="E731" s="224"/>
      <c r="F731" s="232"/>
      <c r="G731" s="190"/>
      <c r="H731" s="248"/>
      <c r="I731" s="177"/>
    </row>
    <row r="732" s="165" customFormat="1" ht="18.75" customHeight="1" spans="2:9">
      <c r="B732" s="210"/>
      <c r="C732" s="282" t="s">
        <v>1908</v>
      </c>
      <c r="D732" s="227"/>
      <c r="E732" s="251"/>
      <c r="F732" s="232"/>
      <c r="G732" s="190"/>
      <c r="H732" s="248"/>
      <c r="I732" s="177"/>
    </row>
    <row r="733" s="165" customFormat="1" ht="47.25" customHeight="1" spans="2:9">
      <c r="B733" s="185" t="s">
        <v>1909</v>
      </c>
      <c r="C733" s="279" t="s">
        <v>1910</v>
      </c>
      <c r="D733" s="227" t="s">
        <v>205</v>
      </c>
      <c r="E733" s="251">
        <v>28</v>
      </c>
      <c r="F733" s="229">
        <v>7540</v>
      </c>
      <c r="G733" s="190">
        <f>E733*F733</f>
        <v>211120</v>
      </c>
      <c r="H733" s="248"/>
      <c r="I733" s="177"/>
    </row>
    <row r="734" s="165" customFormat="1" ht="15" customHeight="1" spans="2:9">
      <c r="B734" s="210"/>
      <c r="C734" s="279"/>
      <c r="D734" s="227"/>
      <c r="E734" s="224"/>
      <c r="F734" s="232"/>
      <c r="G734" s="190"/>
      <c r="H734" s="253"/>
      <c r="I734" s="177"/>
    </row>
    <row r="735" s="165" customFormat="1" ht="20.25" customHeight="1" spans="2:9">
      <c r="B735" s="210"/>
      <c r="C735" s="282" t="s">
        <v>1911</v>
      </c>
      <c r="D735" s="227"/>
      <c r="E735" s="224"/>
      <c r="F735" s="232"/>
      <c r="G735" s="190"/>
      <c r="H735" s="248"/>
      <c r="I735" s="177"/>
    </row>
    <row r="736" s="165" customFormat="1" ht="49.5" customHeight="1" spans="2:9">
      <c r="B736" s="185" t="s">
        <v>1912</v>
      </c>
      <c r="C736" s="279" t="s">
        <v>1913</v>
      </c>
      <c r="D736" s="227" t="s">
        <v>205</v>
      </c>
      <c r="E736" s="224">
        <v>15</v>
      </c>
      <c r="F736" s="229">
        <v>7250</v>
      </c>
      <c r="G736" s="190">
        <f>E736*F736</f>
        <v>108750</v>
      </c>
      <c r="H736" s="248"/>
      <c r="I736" s="177"/>
    </row>
    <row r="737" s="165" customFormat="1" ht="17.25" customHeight="1" spans="2:9">
      <c r="B737" s="210"/>
      <c r="C737" s="282"/>
      <c r="D737" s="227"/>
      <c r="E737" s="224"/>
      <c r="F737" s="232"/>
      <c r="G737" s="190"/>
      <c r="H737" s="248"/>
      <c r="I737" s="177"/>
    </row>
    <row r="738" s="165" customFormat="1" ht="18.75" customHeight="1" spans="2:9">
      <c r="B738" s="210"/>
      <c r="C738" s="282" t="s">
        <v>1914</v>
      </c>
      <c r="D738" s="227"/>
      <c r="E738" s="224"/>
      <c r="F738" s="232"/>
      <c r="G738" s="190"/>
      <c r="H738" s="248"/>
      <c r="I738" s="177"/>
    </row>
    <row r="739" s="165" customFormat="1" ht="51.75" customHeight="1" spans="2:9">
      <c r="B739" s="185" t="s">
        <v>1915</v>
      </c>
      <c r="C739" s="279" t="s">
        <v>1916</v>
      </c>
      <c r="D739" s="227" t="s">
        <v>205</v>
      </c>
      <c r="E739" s="224">
        <v>55</v>
      </c>
      <c r="F739" s="229">
        <v>20436</v>
      </c>
      <c r="G739" s="190">
        <f>E739*F739</f>
        <v>1123980</v>
      </c>
      <c r="H739" s="248"/>
      <c r="I739" s="177"/>
    </row>
    <row r="740" s="165" customFormat="1" ht="18.75" customHeight="1" spans="2:9">
      <c r="B740" s="210"/>
      <c r="C740" s="282"/>
      <c r="D740" s="227"/>
      <c r="E740" s="224"/>
      <c r="F740" s="232"/>
      <c r="G740" s="190"/>
      <c r="H740" s="248"/>
      <c r="I740" s="177"/>
    </row>
    <row r="741" s="165" customFormat="1" ht="22.5" customHeight="1" spans="2:9">
      <c r="B741" s="283"/>
      <c r="C741" s="284" t="s">
        <v>1917</v>
      </c>
      <c r="D741" s="227"/>
      <c r="E741" s="224"/>
      <c r="F741" s="232"/>
      <c r="G741" s="190"/>
      <c r="H741" s="248"/>
      <c r="I741" s="177"/>
    </row>
    <row r="742" s="165" customFormat="1" ht="49.5" customHeight="1" spans="2:9">
      <c r="B742" s="185" t="s">
        <v>1918</v>
      </c>
      <c r="C742" s="279" t="s">
        <v>1919</v>
      </c>
      <c r="D742" s="227" t="s">
        <v>205</v>
      </c>
      <c r="E742" s="224">
        <v>85</v>
      </c>
      <c r="F742" s="229">
        <v>30004</v>
      </c>
      <c r="G742" s="190">
        <f>E742*F742</f>
        <v>2550340</v>
      </c>
      <c r="H742" s="248"/>
      <c r="I742" s="177"/>
    </row>
    <row r="743" s="165" customFormat="1" spans="2:9">
      <c r="B743" s="210"/>
      <c r="C743" s="279"/>
      <c r="D743" s="227"/>
      <c r="E743" s="224"/>
      <c r="F743" s="232"/>
      <c r="G743" s="190"/>
      <c r="H743" s="248"/>
      <c r="I743" s="177"/>
    </row>
    <row r="744" s="165" customFormat="1" ht="18" customHeight="1" spans="2:9">
      <c r="B744" s="210"/>
      <c r="C744" s="282" t="s">
        <v>1920</v>
      </c>
      <c r="D744" s="227"/>
      <c r="E744" s="224"/>
      <c r="F744" s="232"/>
      <c r="G744" s="190"/>
      <c r="H744" s="248"/>
      <c r="I744" s="177"/>
    </row>
    <row r="745" s="165" customFormat="1" ht="48.75" customHeight="1" spans="2:9">
      <c r="B745" s="185" t="s">
        <v>1921</v>
      </c>
      <c r="C745" s="279" t="s">
        <v>1922</v>
      </c>
      <c r="D745" s="227" t="s">
        <v>205</v>
      </c>
      <c r="E745" s="224">
        <v>40</v>
      </c>
      <c r="F745" s="229">
        <v>14872</v>
      </c>
      <c r="G745" s="190">
        <f>E745*F745</f>
        <v>594880</v>
      </c>
      <c r="H745" s="248"/>
      <c r="I745" s="177"/>
    </row>
    <row r="746" s="165" customFormat="1" spans="2:9">
      <c r="B746" s="210"/>
      <c r="C746" s="282"/>
      <c r="D746" s="227"/>
      <c r="E746" s="224"/>
      <c r="F746" s="232"/>
      <c r="G746" s="190"/>
      <c r="H746" s="248"/>
      <c r="I746" s="177"/>
    </row>
    <row r="747" s="165" customFormat="1" ht="18" customHeight="1" spans="2:9">
      <c r="B747" s="210"/>
      <c r="C747" s="282" t="s">
        <v>1923</v>
      </c>
      <c r="D747" s="227"/>
      <c r="E747" s="224"/>
      <c r="F747" s="232"/>
      <c r="G747" s="190"/>
      <c r="H747" s="248"/>
      <c r="I747" s="177"/>
    </row>
    <row r="748" s="168" customFormat="1" ht="51" customHeight="1" spans="2:9">
      <c r="B748" s="185" t="s">
        <v>1924</v>
      </c>
      <c r="C748" s="279" t="s">
        <v>1925</v>
      </c>
      <c r="D748" s="227" t="s">
        <v>205</v>
      </c>
      <c r="E748" s="224">
        <v>37</v>
      </c>
      <c r="F748" s="229">
        <v>7540</v>
      </c>
      <c r="G748" s="190">
        <f>E748*F748</f>
        <v>278980</v>
      </c>
      <c r="H748" s="248"/>
      <c r="I748" s="288"/>
    </row>
    <row r="749" s="168" customFormat="1" spans="2:9">
      <c r="B749" s="210"/>
      <c r="C749" s="282"/>
      <c r="D749" s="227"/>
      <c r="E749" s="224"/>
      <c r="F749" s="232"/>
      <c r="G749" s="190"/>
      <c r="H749" s="248"/>
      <c r="I749" s="288"/>
    </row>
    <row r="750" s="168" customFormat="1" ht="19.5" customHeight="1" spans="2:9">
      <c r="B750" s="210"/>
      <c r="C750" s="282" t="s">
        <v>1926</v>
      </c>
      <c r="D750" s="227"/>
      <c r="E750" s="224"/>
      <c r="F750" s="232"/>
      <c r="G750" s="190"/>
      <c r="H750" s="248"/>
      <c r="I750" s="288"/>
    </row>
    <row r="751" s="168" customFormat="1" ht="48" customHeight="1" spans="2:9">
      <c r="B751" s="185" t="s">
        <v>1927</v>
      </c>
      <c r="C751" s="279" t="s">
        <v>1928</v>
      </c>
      <c r="D751" s="227" t="s">
        <v>205</v>
      </c>
      <c r="E751" s="224">
        <v>45</v>
      </c>
      <c r="F751" s="229">
        <v>7540</v>
      </c>
      <c r="G751" s="190">
        <f>E751*F751</f>
        <v>339300</v>
      </c>
      <c r="H751" s="248"/>
      <c r="I751" s="288"/>
    </row>
    <row r="752" s="168" customFormat="1" spans="2:9">
      <c r="B752" s="210"/>
      <c r="C752" s="279"/>
      <c r="D752" s="227"/>
      <c r="E752" s="224"/>
      <c r="F752" s="232"/>
      <c r="G752" s="190"/>
      <c r="H752" s="248"/>
      <c r="I752" s="288"/>
    </row>
    <row r="753" s="168" customFormat="1" ht="18.75" customHeight="1" spans="2:9">
      <c r="B753" s="210"/>
      <c r="C753" s="282" t="s">
        <v>1929</v>
      </c>
      <c r="D753" s="227"/>
      <c r="E753" s="224"/>
      <c r="F753" s="232"/>
      <c r="G753" s="190"/>
      <c r="H753" s="248"/>
      <c r="I753" s="288"/>
    </row>
    <row r="754" s="168" customFormat="1" ht="53.25" customHeight="1" spans="2:9">
      <c r="B754" s="205" t="s">
        <v>1930</v>
      </c>
      <c r="C754" s="280" t="s">
        <v>1931</v>
      </c>
      <c r="D754" s="234" t="s">
        <v>205</v>
      </c>
      <c r="E754" s="235">
        <v>5</v>
      </c>
      <c r="F754" s="270">
        <v>5408</v>
      </c>
      <c r="G754" s="209">
        <f>E754*F754</f>
        <v>27040</v>
      </c>
      <c r="H754" s="248"/>
      <c r="I754" s="288"/>
    </row>
    <row r="755" s="168" customFormat="1" spans="2:9">
      <c r="B755" s="185"/>
      <c r="C755" s="279"/>
      <c r="D755" s="227"/>
      <c r="E755" s="224"/>
      <c r="F755" s="232"/>
      <c r="G755" s="190"/>
      <c r="H755" s="248"/>
      <c r="I755" s="288"/>
    </row>
    <row r="756" s="168" customFormat="1" ht="18" customHeight="1" spans="2:9">
      <c r="B756" s="185"/>
      <c r="C756" s="282" t="s">
        <v>1932</v>
      </c>
      <c r="D756" s="227"/>
      <c r="E756" s="251"/>
      <c r="F756" s="232"/>
      <c r="G756" s="190"/>
      <c r="H756" s="278"/>
      <c r="I756" s="288"/>
    </row>
    <row r="757" s="168" customFormat="1" ht="48" customHeight="1" spans="2:9">
      <c r="B757" s="185" t="s">
        <v>1933</v>
      </c>
      <c r="C757" s="279" t="s">
        <v>1934</v>
      </c>
      <c r="D757" s="227" t="s">
        <v>205</v>
      </c>
      <c r="E757" s="251">
        <v>11</v>
      </c>
      <c r="F757" s="229">
        <v>5980</v>
      </c>
      <c r="G757" s="190">
        <f>E757*F757</f>
        <v>65780</v>
      </c>
      <c r="H757" s="278"/>
      <c r="I757" s="288"/>
    </row>
    <row r="758" s="168" customFormat="1" spans="2:9">
      <c r="B758" s="185"/>
      <c r="C758" s="282"/>
      <c r="D758" s="227"/>
      <c r="E758" s="251"/>
      <c r="F758" s="232"/>
      <c r="G758" s="190"/>
      <c r="H758" s="278"/>
      <c r="I758" s="288"/>
    </row>
    <row r="759" s="168" customFormat="1" ht="19.5" customHeight="1" spans="2:9">
      <c r="B759" s="185"/>
      <c r="C759" s="282" t="s">
        <v>1935</v>
      </c>
      <c r="D759" s="227"/>
      <c r="E759" s="251"/>
      <c r="F759" s="232"/>
      <c r="G759" s="190"/>
      <c r="H759" s="278"/>
      <c r="I759" s="288"/>
    </row>
    <row r="760" s="168" customFormat="1" ht="48.75" customHeight="1" spans="2:9">
      <c r="B760" s="185" t="s">
        <v>1936</v>
      </c>
      <c r="C760" s="279" t="s">
        <v>1937</v>
      </c>
      <c r="D760" s="227" t="s">
        <v>205</v>
      </c>
      <c r="E760" s="251">
        <v>48</v>
      </c>
      <c r="F760" s="229">
        <v>11388</v>
      </c>
      <c r="G760" s="190">
        <f>E760*F760</f>
        <v>546624</v>
      </c>
      <c r="H760" s="278"/>
      <c r="I760" s="288"/>
    </row>
    <row r="761" s="168" customFormat="1" spans="2:9">
      <c r="B761" s="210"/>
      <c r="C761" s="242"/>
      <c r="D761" s="227"/>
      <c r="E761" s="251"/>
      <c r="F761" s="232"/>
      <c r="G761" s="190"/>
      <c r="H761" s="285"/>
      <c r="I761" s="288"/>
    </row>
    <row r="762" s="168" customFormat="1" ht="17.25" customHeight="1" spans="2:9">
      <c r="B762" s="210"/>
      <c r="C762" s="282" t="s">
        <v>1938</v>
      </c>
      <c r="D762" s="227"/>
      <c r="E762" s="251"/>
      <c r="F762" s="232"/>
      <c r="G762" s="190"/>
      <c r="H762" s="278"/>
      <c r="I762" s="288"/>
    </row>
    <row r="763" s="165" customFormat="1" ht="48" customHeight="1" spans="2:9">
      <c r="B763" s="185" t="s">
        <v>1939</v>
      </c>
      <c r="C763" s="279" t="s">
        <v>1940</v>
      </c>
      <c r="D763" s="227" t="s">
        <v>205</v>
      </c>
      <c r="E763" s="224">
        <v>34</v>
      </c>
      <c r="F763" s="229">
        <v>7540</v>
      </c>
      <c r="G763" s="190">
        <f>E763*F763</f>
        <v>256360</v>
      </c>
      <c r="H763" s="248"/>
      <c r="I763" s="177"/>
    </row>
    <row r="764" s="165" customFormat="1" ht="16.5" customHeight="1" spans="2:9">
      <c r="B764" s="210"/>
      <c r="C764" s="282"/>
      <c r="D764" s="286"/>
      <c r="E764" s="224"/>
      <c r="F764" s="287"/>
      <c r="G764" s="190"/>
      <c r="H764" s="248"/>
      <c r="I764" s="177"/>
    </row>
    <row r="765" s="165" customFormat="1" ht="17.25" customHeight="1" spans="2:9">
      <c r="B765" s="210"/>
      <c r="C765" s="282" t="s">
        <v>1941</v>
      </c>
      <c r="D765" s="286"/>
      <c r="E765" s="224"/>
      <c r="F765" s="287"/>
      <c r="G765" s="190"/>
      <c r="H765" s="248"/>
      <c r="I765" s="177"/>
    </row>
    <row r="766" s="165" customFormat="1" ht="49.5" customHeight="1" spans="2:9">
      <c r="B766" s="185" t="s">
        <v>1942</v>
      </c>
      <c r="C766" s="279" t="s">
        <v>1943</v>
      </c>
      <c r="D766" s="227" t="s">
        <v>205</v>
      </c>
      <c r="E766" s="224">
        <v>15</v>
      </c>
      <c r="F766" s="229">
        <v>5408</v>
      </c>
      <c r="G766" s="190">
        <f>E766*F766</f>
        <v>81120</v>
      </c>
      <c r="H766" s="248"/>
      <c r="I766" s="177"/>
    </row>
    <row r="767" s="165" customFormat="1" ht="18.75" customHeight="1" spans="2:9">
      <c r="B767" s="210"/>
      <c r="C767" s="282"/>
      <c r="D767" s="187"/>
      <c r="E767" s="224"/>
      <c r="F767" s="189"/>
      <c r="G767" s="190"/>
      <c r="H767" s="253"/>
      <c r="I767" s="177"/>
    </row>
    <row r="768" s="165" customFormat="1" ht="18" customHeight="1" spans="2:9">
      <c r="B768" s="242"/>
      <c r="C768" s="282" t="s">
        <v>1944</v>
      </c>
      <c r="D768" s="243"/>
      <c r="E768" s="243"/>
      <c r="F768" s="244"/>
      <c r="G768" s="190"/>
      <c r="H768" s="245"/>
      <c r="I768" s="177"/>
    </row>
    <row r="769" s="165" customFormat="1" ht="51" customHeight="1" spans="2:9">
      <c r="B769" s="185" t="s">
        <v>1945</v>
      </c>
      <c r="C769" s="279" t="s">
        <v>1946</v>
      </c>
      <c r="D769" s="227" t="s">
        <v>205</v>
      </c>
      <c r="E769" s="289">
        <v>45</v>
      </c>
      <c r="F769" s="229">
        <v>7540</v>
      </c>
      <c r="G769" s="190">
        <f>E769*F769</f>
        <v>339300</v>
      </c>
      <c r="H769" s="245"/>
      <c r="I769" s="177"/>
    </row>
    <row r="770" s="165" customFormat="1" ht="17.25" customHeight="1" spans="2:9">
      <c r="B770" s="210"/>
      <c r="C770" s="243"/>
      <c r="D770" s="243"/>
      <c r="E770" s="243"/>
      <c r="F770" s="244"/>
      <c r="G770" s="190"/>
      <c r="H770" s="245"/>
      <c r="I770" s="177"/>
    </row>
    <row r="771" s="165" customFormat="1" ht="16.5" customHeight="1" spans="2:9">
      <c r="B771" s="242"/>
      <c r="C771" s="282" t="s">
        <v>1947</v>
      </c>
      <c r="D771" s="227"/>
      <c r="E771" s="251"/>
      <c r="F771" s="232"/>
      <c r="G771" s="190"/>
      <c r="H771" s="245"/>
      <c r="I771" s="177"/>
    </row>
    <row r="772" s="165" customFormat="1" ht="55.5" customHeight="1" spans="2:9">
      <c r="B772" s="185" t="s">
        <v>1948</v>
      </c>
      <c r="C772" s="279" t="s">
        <v>1949</v>
      </c>
      <c r="D772" s="227" t="s">
        <v>205</v>
      </c>
      <c r="E772" s="224">
        <v>49</v>
      </c>
      <c r="F772" s="229">
        <v>7540</v>
      </c>
      <c r="G772" s="190">
        <f>E772*F772</f>
        <v>369460</v>
      </c>
      <c r="H772" s="245"/>
      <c r="I772" s="177"/>
    </row>
    <row r="773" s="165" customFormat="1" ht="17.25" customHeight="1" spans="2:9">
      <c r="B773" s="242"/>
      <c r="C773" s="282"/>
      <c r="D773" s="286"/>
      <c r="E773" s="224"/>
      <c r="F773" s="287"/>
      <c r="G773" s="190"/>
      <c r="H773" s="245"/>
      <c r="I773" s="177"/>
    </row>
    <row r="774" s="165" customFormat="1" ht="15.75" customHeight="1" spans="2:9">
      <c r="B774" s="242"/>
      <c r="C774" s="282" t="s">
        <v>1950</v>
      </c>
      <c r="D774" s="286"/>
      <c r="E774" s="224"/>
      <c r="F774" s="287"/>
      <c r="G774" s="190"/>
      <c r="H774" s="245"/>
      <c r="I774" s="177"/>
    </row>
    <row r="775" s="165" customFormat="1" ht="48.75" customHeight="1" spans="2:9">
      <c r="B775" s="185" t="s">
        <v>1951</v>
      </c>
      <c r="C775" s="279" t="s">
        <v>1952</v>
      </c>
      <c r="D775" s="227" t="s">
        <v>205</v>
      </c>
      <c r="E775" s="224">
        <v>43</v>
      </c>
      <c r="F775" s="229">
        <v>7540</v>
      </c>
      <c r="G775" s="190">
        <f>E775*F775</f>
        <v>324220</v>
      </c>
      <c r="H775" s="245"/>
      <c r="I775" s="177"/>
    </row>
    <row r="776" s="165" customFormat="1" spans="2:9">
      <c r="B776" s="242"/>
      <c r="C776" s="282"/>
      <c r="D776" s="187"/>
      <c r="E776" s="224"/>
      <c r="F776" s="189"/>
      <c r="G776" s="190"/>
      <c r="H776" s="245"/>
      <c r="I776" s="177"/>
    </row>
    <row r="777" s="165" customFormat="1" ht="16.5" customHeight="1" spans="2:9">
      <c r="B777" s="242"/>
      <c r="C777" s="282" t="s">
        <v>1953</v>
      </c>
      <c r="D777" s="243"/>
      <c r="E777" s="243"/>
      <c r="F777" s="244"/>
      <c r="G777" s="190"/>
      <c r="H777" s="245"/>
      <c r="I777" s="177"/>
    </row>
    <row r="778" s="165" customFormat="1" ht="49.5" customHeight="1" spans="2:9">
      <c r="B778" s="185" t="s">
        <v>1954</v>
      </c>
      <c r="C778" s="279" t="s">
        <v>1955</v>
      </c>
      <c r="D778" s="227" t="s">
        <v>205</v>
      </c>
      <c r="E778" s="289">
        <v>15</v>
      </c>
      <c r="F778" s="229">
        <v>5408</v>
      </c>
      <c r="G778" s="190">
        <f>E778*F778</f>
        <v>81120</v>
      </c>
      <c r="H778" s="245"/>
      <c r="I778" s="177"/>
    </row>
    <row r="779" s="165" customFormat="1" spans="2:9">
      <c r="B779" s="242"/>
      <c r="C779" s="243"/>
      <c r="D779" s="243"/>
      <c r="E779" s="243"/>
      <c r="F779" s="244"/>
      <c r="G779" s="190"/>
      <c r="H779" s="245"/>
      <c r="I779" s="177"/>
    </row>
    <row r="780" s="165" customFormat="1" ht="18" customHeight="1" spans="2:9">
      <c r="B780" s="242"/>
      <c r="C780" s="282" t="s">
        <v>1956</v>
      </c>
      <c r="D780" s="227"/>
      <c r="E780" s="251"/>
      <c r="F780" s="232"/>
      <c r="G780" s="190"/>
      <c r="H780" s="245"/>
      <c r="I780" s="177"/>
    </row>
    <row r="781" s="165" customFormat="1" ht="48" customHeight="1" spans="2:9">
      <c r="B781" s="185" t="s">
        <v>1957</v>
      </c>
      <c r="C781" s="279" t="s">
        <v>1958</v>
      </c>
      <c r="D781" s="227" t="s">
        <v>205</v>
      </c>
      <c r="E781" s="224">
        <v>5</v>
      </c>
      <c r="F781" s="229">
        <v>5408</v>
      </c>
      <c r="G781" s="190">
        <f>E781*F781</f>
        <v>27040</v>
      </c>
      <c r="H781" s="245"/>
      <c r="I781" s="177"/>
    </row>
    <row r="782" s="165" customFormat="1" spans="2:9">
      <c r="B782" s="242"/>
      <c r="C782" s="243"/>
      <c r="D782" s="243"/>
      <c r="E782" s="243"/>
      <c r="F782" s="244"/>
      <c r="G782" s="190"/>
      <c r="H782" s="245"/>
      <c r="I782" s="177"/>
    </row>
    <row r="783" s="165" customFormat="1" ht="16.5" customHeight="1" spans="2:9">
      <c r="B783" s="242"/>
      <c r="C783" s="282" t="s">
        <v>1959</v>
      </c>
      <c r="D783" s="227"/>
      <c r="E783" s="251"/>
      <c r="F783" s="232"/>
      <c r="G783" s="190"/>
      <c r="H783" s="245"/>
      <c r="I783" s="177"/>
    </row>
    <row r="784" s="165" customFormat="1" ht="57" customHeight="1" spans="2:9">
      <c r="B784" s="205" t="s">
        <v>1960</v>
      </c>
      <c r="C784" s="280" t="s">
        <v>1961</v>
      </c>
      <c r="D784" s="234" t="s">
        <v>205</v>
      </c>
      <c r="E784" s="235">
        <v>5</v>
      </c>
      <c r="F784" s="270">
        <v>5408</v>
      </c>
      <c r="G784" s="209">
        <f>E784*F784</f>
        <v>27040</v>
      </c>
      <c r="H784" s="245"/>
      <c r="I784" s="177"/>
    </row>
    <row r="785" s="165" customFormat="1" ht="18" customHeight="1" spans="2:9">
      <c r="B785" s="242"/>
      <c r="C785" s="243"/>
      <c r="D785" s="243"/>
      <c r="E785" s="243"/>
      <c r="F785" s="244"/>
      <c r="G785" s="190"/>
      <c r="H785" s="245"/>
      <c r="I785" s="177"/>
    </row>
    <row r="786" s="165" customFormat="1" ht="20.25" customHeight="1" spans="2:9">
      <c r="B786" s="242"/>
      <c r="C786" s="282" t="s">
        <v>1962</v>
      </c>
      <c r="D786" s="227"/>
      <c r="E786" s="251"/>
      <c r="F786" s="232"/>
      <c r="G786" s="190"/>
      <c r="H786" s="245"/>
      <c r="I786" s="177"/>
    </row>
    <row r="787" s="165" customFormat="1" ht="48" customHeight="1" spans="2:9">
      <c r="B787" s="185" t="s">
        <v>1963</v>
      </c>
      <c r="C787" s="279" t="s">
        <v>1964</v>
      </c>
      <c r="D787" s="227" t="s">
        <v>205</v>
      </c>
      <c r="E787" s="224">
        <v>5</v>
      </c>
      <c r="F787" s="229">
        <v>5408</v>
      </c>
      <c r="G787" s="190">
        <f>E787*F787</f>
        <v>27040</v>
      </c>
      <c r="H787" s="244"/>
      <c r="I787" s="177"/>
    </row>
    <row r="788" s="165" customFormat="1" ht="14.25" customHeight="1" spans="2:9">
      <c r="B788" s="242"/>
      <c r="C788" s="282"/>
      <c r="D788" s="286"/>
      <c r="E788" s="224"/>
      <c r="F788" s="287"/>
      <c r="G788" s="190"/>
      <c r="H788" s="244"/>
      <c r="I788" s="177"/>
    </row>
    <row r="789" s="165" customFormat="1" ht="16.5" customHeight="1" spans="2:9">
      <c r="B789" s="242"/>
      <c r="C789" s="282" t="s">
        <v>1965</v>
      </c>
      <c r="D789" s="286"/>
      <c r="E789" s="224"/>
      <c r="F789" s="287"/>
      <c r="G789" s="190"/>
      <c r="H789" s="245"/>
      <c r="I789" s="177"/>
    </row>
    <row r="790" s="165" customFormat="1" ht="47.25" customHeight="1" spans="2:9">
      <c r="B790" s="185" t="s">
        <v>1966</v>
      </c>
      <c r="C790" s="279" t="s">
        <v>1967</v>
      </c>
      <c r="D790" s="227" t="s">
        <v>205</v>
      </c>
      <c r="E790" s="224">
        <v>23</v>
      </c>
      <c r="F790" s="229">
        <v>5408</v>
      </c>
      <c r="G790" s="190">
        <f>E790*F790</f>
        <v>124384</v>
      </c>
      <c r="H790" s="245"/>
      <c r="I790" s="177"/>
    </row>
    <row r="791" s="165" customFormat="1" ht="15" customHeight="1" spans="2:9">
      <c r="B791" s="242"/>
      <c r="C791" s="243"/>
      <c r="D791" s="243"/>
      <c r="E791" s="243"/>
      <c r="F791" s="244"/>
      <c r="G791" s="190"/>
      <c r="H791" s="245"/>
      <c r="I791" s="177"/>
    </row>
    <row r="792" s="165" customFormat="1" ht="15.75" customHeight="1" spans="2:9">
      <c r="B792" s="242"/>
      <c r="C792" s="282" t="s">
        <v>1968</v>
      </c>
      <c r="D792" s="227"/>
      <c r="E792" s="251"/>
      <c r="F792" s="232"/>
      <c r="G792" s="190"/>
      <c r="H792" s="245"/>
      <c r="I792" s="177"/>
    </row>
    <row r="793" s="165" customFormat="1" ht="49.5" customHeight="1" spans="2:9">
      <c r="B793" s="185" t="s">
        <v>1969</v>
      </c>
      <c r="C793" s="279" t="s">
        <v>1970</v>
      </c>
      <c r="D793" s="227" t="s">
        <v>205</v>
      </c>
      <c r="E793" s="224">
        <v>65</v>
      </c>
      <c r="F793" s="229">
        <v>8164</v>
      </c>
      <c r="G793" s="190">
        <f>E793*F793</f>
        <v>530660</v>
      </c>
      <c r="H793" s="245"/>
      <c r="I793" s="177"/>
    </row>
    <row r="794" s="165" customFormat="1" ht="16.5" customHeight="1" spans="2:9">
      <c r="B794" s="242"/>
      <c r="C794" s="282"/>
      <c r="D794" s="286"/>
      <c r="E794" s="224"/>
      <c r="F794" s="287"/>
      <c r="G794" s="190"/>
      <c r="H794" s="245"/>
      <c r="I794" s="177"/>
    </row>
    <row r="795" s="165" customFormat="1" ht="16.5" customHeight="1" spans="2:9">
      <c r="B795" s="242"/>
      <c r="C795" s="282" t="s">
        <v>1968</v>
      </c>
      <c r="D795" s="286"/>
      <c r="E795" s="224"/>
      <c r="F795" s="287"/>
      <c r="G795" s="190"/>
      <c r="H795" s="245"/>
      <c r="I795" s="177"/>
    </row>
    <row r="796" s="165" customFormat="1" ht="48" customHeight="1" spans="2:9">
      <c r="B796" s="185" t="s">
        <v>1971</v>
      </c>
      <c r="C796" s="279" t="s">
        <v>1972</v>
      </c>
      <c r="D796" s="227" t="s">
        <v>205</v>
      </c>
      <c r="E796" s="224">
        <v>50</v>
      </c>
      <c r="F796" s="229">
        <v>5408</v>
      </c>
      <c r="G796" s="190">
        <f>E796*F796</f>
        <v>270400</v>
      </c>
      <c r="H796" s="245"/>
      <c r="I796" s="177"/>
    </row>
    <row r="797" s="165" customFormat="1" ht="16.5" customHeight="1" spans="2:9">
      <c r="B797" s="242"/>
      <c r="C797" s="243"/>
      <c r="D797" s="243"/>
      <c r="E797" s="243"/>
      <c r="F797" s="244"/>
      <c r="G797" s="190"/>
      <c r="H797" s="245"/>
      <c r="I797" s="177"/>
    </row>
    <row r="798" s="165" customFormat="1" ht="18" customHeight="1" spans="2:9">
      <c r="B798" s="185" t="s">
        <v>1973</v>
      </c>
      <c r="C798" s="282" t="s">
        <v>1974</v>
      </c>
      <c r="D798" s="243"/>
      <c r="E798" s="243"/>
      <c r="F798" s="244"/>
      <c r="G798" s="190"/>
      <c r="H798" s="245"/>
      <c r="I798" s="177"/>
    </row>
    <row r="799" s="165" customFormat="1" ht="30" customHeight="1" spans="2:9">
      <c r="B799" s="242"/>
      <c r="C799" s="279" t="s">
        <v>1975</v>
      </c>
      <c r="D799" s="243"/>
      <c r="E799" s="243"/>
      <c r="F799" s="290">
        <v>14481100</v>
      </c>
      <c r="G799" s="190">
        <f>F799</f>
        <v>14481100</v>
      </c>
      <c r="H799" s="245"/>
      <c r="I799" s="177"/>
    </row>
    <row r="800" s="165" customFormat="1" ht="17.25" customHeight="1" spans="2:9">
      <c r="B800" s="242"/>
      <c r="C800" s="214" t="s">
        <v>886</v>
      </c>
      <c r="D800" s="243"/>
      <c r="E800" s="243"/>
      <c r="F800" s="244"/>
      <c r="G800" s="190"/>
      <c r="H800" s="245"/>
      <c r="I800" s="177"/>
    </row>
    <row r="801" s="165" customFormat="1" ht="70.5" customHeight="1" spans="2:9">
      <c r="B801" s="291" t="s">
        <v>1976</v>
      </c>
      <c r="C801" s="26" t="s">
        <v>1977</v>
      </c>
      <c r="D801" s="243"/>
      <c r="E801" s="243"/>
      <c r="F801" s="290">
        <v>104000</v>
      </c>
      <c r="G801" s="190">
        <f>F801</f>
        <v>104000</v>
      </c>
      <c r="H801" s="245"/>
      <c r="I801" s="177"/>
    </row>
    <row r="802" s="165" customFormat="1" ht="14.25" customHeight="1" spans="2:9">
      <c r="B802" s="242"/>
      <c r="C802" s="243"/>
      <c r="D802" s="243"/>
      <c r="E802" s="243"/>
      <c r="F802" s="244"/>
      <c r="G802" s="190"/>
      <c r="H802" s="245"/>
      <c r="I802" s="177"/>
    </row>
    <row r="803" s="165" customFormat="1" ht="37.5" customHeight="1" spans="2:9">
      <c r="B803" s="291" t="s">
        <v>1978</v>
      </c>
      <c r="C803" s="292" t="s">
        <v>1979</v>
      </c>
      <c r="D803" s="243"/>
      <c r="E803" s="243"/>
      <c r="F803" s="290">
        <v>20800000</v>
      </c>
      <c r="G803" s="190">
        <f>F803</f>
        <v>20800000</v>
      </c>
      <c r="H803" s="245"/>
      <c r="I803" s="177"/>
    </row>
    <row r="804" s="165" customFormat="1" ht="17.25" customHeight="1" spans="2:9">
      <c r="B804" s="242"/>
      <c r="C804" s="243"/>
      <c r="D804" s="243"/>
      <c r="E804" s="243"/>
      <c r="F804" s="244"/>
      <c r="G804" s="190"/>
      <c r="H804" s="245"/>
      <c r="I804" s="177"/>
    </row>
    <row r="805" s="165" customFormat="1" ht="21" customHeight="1" spans="2:9">
      <c r="B805" s="293" t="s">
        <v>1980</v>
      </c>
      <c r="C805" s="294" t="s">
        <v>1981</v>
      </c>
      <c r="D805" s="227"/>
      <c r="E805" s="295"/>
      <c r="F805" s="232"/>
      <c r="G805" s="190"/>
      <c r="H805" s="245"/>
      <c r="I805" s="177"/>
    </row>
    <row r="806" s="165" customFormat="1" spans="2:9">
      <c r="B806" s="293"/>
      <c r="C806" s="296"/>
      <c r="D806" s="227"/>
      <c r="E806" s="295"/>
      <c r="F806" s="232"/>
      <c r="G806" s="190"/>
      <c r="H806" s="245"/>
      <c r="I806" s="177"/>
    </row>
    <row r="807" s="165" customFormat="1" ht="56.25" customHeight="1" spans="2:9">
      <c r="B807" s="293" t="s">
        <v>1982</v>
      </c>
      <c r="C807" s="296" t="s">
        <v>1983</v>
      </c>
      <c r="D807" s="227" t="s">
        <v>1629</v>
      </c>
      <c r="E807" s="295">
        <v>1</v>
      </c>
      <c r="F807" s="229">
        <v>3120000</v>
      </c>
      <c r="G807" s="190">
        <f>E807*F807</f>
        <v>3120000</v>
      </c>
      <c r="H807" s="245"/>
      <c r="I807" s="177"/>
    </row>
    <row r="808" s="165" customFormat="1" spans="2:9">
      <c r="B808" s="293"/>
      <c r="C808" s="296"/>
      <c r="D808" s="227"/>
      <c r="E808" s="295"/>
      <c r="F808" s="232"/>
      <c r="G808" s="190"/>
      <c r="H808" s="245"/>
      <c r="I808" s="177"/>
    </row>
    <row r="809" s="165" customFormat="1" ht="69" customHeight="1" spans="2:9">
      <c r="B809" s="293" t="s">
        <v>1984</v>
      </c>
      <c r="C809" s="296" t="s">
        <v>1985</v>
      </c>
      <c r="D809" s="227" t="s">
        <v>1629</v>
      </c>
      <c r="E809" s="295">
        <v>1</v>
      </c>
      <c r="F809" s="229">
        <v>187200</v>
      </c>
      <c r="G809" s="190">
        <f>E809*F809</f>
        <v>187200</v>
      </c>
      <c r="H809" s="245"/>
      <c r="I809" s="177"/>
    </row>
    <row r="810" s="165" customFormat="1" spans="2:9">
      <c r="B810" s="293"/>
      <c r="C810" s="296"/>
      <c r="D810" s="227"/>
      <c r="E810" s="295"/>
      <c r="F810" s="232"/>
      <c r="G810" s="190"/>
      <c r="H810" s="245"/>
      <c r="I810" s="177"/>
    </row>
    <row r="811" s="165" customFormat="1" ht="73.5" customHeight="1" spans="2:9">
      <c r="B811" s="297" t="s">
        <v>1986</v>
      </c>
      <c r="C811" s="298" t="s">
        <v>1987</v>
      </c>
      <c r="D811" s="234" t="s">
        <v>1988</v>
      </c>
      <c r="E811" s="299">
        <v>8</v>
      </c>
      <c r="F811" s="270">
        <v>52000</v>
      </c>
      <c r="G811" s="209">
        <f>E811*F811</f>
        <v>416000</v>
      </c>
      <c r="H811" s="300"/>
      <c r="I811" s="177"/>
    </row>
    <row r="812" s="165" customFormat="1" ht="15.75" customHeight="1" spans="2:9">
      <c r="B812" s="293"/>
      <c r="C812" s="296"/>
      <c r="D812" s="227"/>
      <c r="E812" s="295"/>
      <c r="F812" s="232"/>
      <c r="G812" s="190"/>
      <c r="H812" s="245"/>
      <c r="I812" s="177"/>
    </row>
    <row r="813" s="165" customFormat="1" ht="83.25" customHeight="1" spans="2:9">
      <c r="B813" s="293" t="s">
        <v>1989</v>
      </c>
      <c r="C813" s="301" t="s">
        <v>1990</v>
      </c>
      <c r="D813" s="227" t="s">
        <v>1629</v>
      </c>
      <c r="E813" s="295">
        <v>530</v>
      </c>
      <c r="F813" s="229">
        <v>4680</v>
      </c>
      <c r="G813" s="190">
        <f>E813*F813</f>
        <v>2480400</v>
      </c>
      <c r="H813" s="245"/>
      <c r="I813" s="177"/>
    </row>
    <row r="814" s="165" customFormat="1" spans="2:9">
      <c r="B814" s="293"/>
      <c r="C814" s="302"/>
      <c r="D814" s="227"/>
      <c r="E814" s="295"/>
      <c r="F814" s="232"/>
      <c r="G814" s="190"/>
      <c r="H814" s="245"/>
      <c r="I814" s="177"/>
    </row>
    <row r="815" s="165" customFormat="1" ht="18.75" customHeight="1" spans="2:9">
      <c r="B815" s="293" t="s">
        <v>1991</v>
      </c>
      <c r="C815" s="302" t="s">
        <v>1992</v>
      </c>
      <c r="D815" s="227" t="s">
        <v>1629</v>
      </c>
      <c r="E815" s="295">
        <v>1</v>
      </c>
      <c r="F815" s="229">
        <v>208000</v>
      </c>
      <c r="G815" s="190">
        <f>E815*F815</f>
        <v>208000</v>
      </c>
      <c r="H815" s="245"/>
      <c r="I815" s="177"/>
    </row>
    <row r="816" s="165" customFormat="1" ht="18.75" customHeight="1" spans="2:9">
      <c r="B816" s="293"/>
      <c r="C816" s="302"/>
      <c r="D816" s="227"/>
      <c r="E816" s="295"/>
      <c r="F816" s="232"/>
      <c r="G816" s="190"/>
      <c r="H816" s="245"/>
      <c r="I816" s="177"/>
    </row>
    <row r="817" s="165" customFormat="1" ht="18.75" customHeight="1" spans="2:9">
      <c r="B817" s="293" t="s">
        <v>1993</v>
      </c>
      <c r="C817" s="301" t="s">
        <v>1994</v>
      </c>
      <c r="D817" s="227" t="s">
        <v>1629</v>
      </c>
      <c r="E817" s="303">
        <v>409</v>
      </c>
      <c r="F817" s="229">
        <v>3640</v>
      </c>
      <c r="G817" s="190">
        <f>E817*F817</f>
        <v>1488760</v>
      </c>
      <c r="H817" s="245" t="s">
        <v>579</v>
      </c>
      <c r="I817" s="177"/>
    </row>
    <row r="818" s="165" customFormat="1" ht="18.75" customHeight="1" spans="2:9">
      <c r="B818" s="293"/>
      <c r="C818" s="304"/>
      <c r="D818" s="227"/>
      <c r="E818" s="295"/>
      <c r="F818" s="232"/>
      <c r="G818" s="190"/>
      <c r="H818" s="245"/>
      <c r="I818" s="177"/>
    </row>
    <row r="819" s="165" customFormat="1" ht="18.75" customHeight="1" spans="2:9">
      <c r="B819" s="293" t="s">
        <v>1995</v>
      </c>
      <c r="C819" s="301" t="s">
        <v>1996</v>
      </c>
      <c r="D819" s="227" t="s">
        <v>1629</v>
      </c>
      <c r="E819" s="295">
        <v>4</v>
      </c>
      <c r="F819" s="229">
        <v>5720</v>
      </c>
      <c r="G819" s="190">
        <f>E819*F819</f>
        <v>22880</v>
      </c>
      <c r="H819" s="245"/>
      <c r="I819" s="177"/>
    </row>
    <row r="820" s="165" customFormat="1" ht="18.75" customHeight="1" spans="2:9">
      <c r="B820" s="293"/>
      <c r="C820" s="301"/>
      <c r="D820" s="227"/>
      <c r="E820" s="295"/>
      <c r="F820" s="232"/>
      <c r="G820" s="190"/>
      <c r="H820" s="245"/>
      <c r="I820" s="177"/>
    </row>
    <row r="821" s="165" customFormat="1" ht="18.75" customHeight="1" spans="2:9">
      <c r="B821" s="293" t="s">
        <v>1997</v>
      </c>
      <c r="C821" s="301" t="s">
        <v>1998</v>
      </c>
      <c r="D821" s="227" t="s">
        <v>1629</v>
      </c>
      <c r="E821" s="295">
        <v>20</v>
      </c>
      <c r="F821" s="229">
        <v>31200</v>
      </c>
      <c r="G821" s="190">
        <f>E821*F821</f>
        <v>624000</v>
      </c>
      <c r="H821" s="245"/>
      <c r="I821" s="177"/>
    </row>
    <row r="822" s="165" customFormat="1" ht="24.75" customHeight="1" spans="2:9">
      <c r="B822" s="305"/>
      <c r="C822" s="301"/>
      <c r="D822" s="227"/>
      <c r="E822" s="295"/>
      <c r="F822" s="232"/>
      <c r="G822" s="190"/>
      <c r="H822" s="245"/>
      <c r="I822" s="177"/>
    </row>
    <row r="823" s="165" customFormat="1" ht="21.75" customHeight="1" spans="2:9">
      <c r="B823" s="293" t="s">
        <v>1999</v>
      </c>
      <c r="C823" s="294" t="s">
        <v>2000</v>
      </c>
      <c r="D823" s="227"/>
      <c r="E823" s="295"/>
      <c r="F823" s="232"/>
      <c r="G823" s="190"/>
      <c r="H823" s="245"/>
      <c r="I823" s="177"/>
    </row>
    <row r="824" s="165" customFormat="1" ht="61.5" customHeight="1" spans="2:9">
      <c r="B824" s="305"/>
      <c r="C824" s="294" t="s">
        <v>2001</v>
      </c>
      <c r="D824" s="227"/>
      <c r="E824" s="295"/>
      <c r="F824" s="232"/>
      <c r="G824" s="190"/>
      <c r="H824" s="245"/>
      <c r="I824" s="177"/>
    </row>
    <row r="825" s="165" customFormat="1" ht="18.75" customHeight="1" spans="2:8">
      <c r="B825" s="293" t="s">
        <v>2002</v>
      </c>
      <c r="C825" s="301" t="s">
        <v>2003</v>
      </c>
      <c r="D825" s="227" t="s">
        <v>1629</v>
      </c>
      <c r="E825" s="303">
        <v>151</v>
      </c>
      <c r="F825" s="229">
        <v>4680</v>
      </c>
      <c r="G825" s="190">
        <f>E825*F825</f>
        <v>706680</v>
      </c>
      <c r="H825" s="244" t="s">
        <v>579</v>
      </c>
    </row>
    <row r="826" s="165" customFormat="1" ht="18.75" customHeight="1" spans="2:8">
      <c r="B826" s="305"/>
      <c r="C826" s="294"/>
      <c r="D826" s="227"/>
      <c r="E826" s="295"/>
      <c r="F826" s="232"/>
      <c r="G826" s="190"/>
      <c r="H826" s="244"/>
    </row>
    <row r="827" s="165" customFormat="1" ht="18.75" customHeight="1" spans="2:8">
      <c r="B827" s="293" t="s">
        <v>2004</v>
      </c>
      <c r="C827" s="301" t="s">
        <v>2005</v>
      </c>
      <c r="D827" s="227" t="s">
        <v>1629</v>
      </c>
      <c r="E827" s="295">
        <v>4</v>
      </c>
      <c r="F827" s="229">
        <v>166400</v>
      </c>
      <c r="G827" s="190">
        <f>E827*F827</f>
        <v>665600</v>
      </c>
      <c r="H827" s="244"/>
    </row>
    <row r="828" s="165" customFormat="1" ht="18.75" customHeight="1" spans="2:8">
      <c r="B828" s="305"/>
      <c r="C828" s="301"/>
      <c r="D828" s="227"/>
      <c r="E828" s="295"/>
      <c r="F828" s="232"/>
      <c r="G828" s="190"/>
      <c r="H828" s="244"/>
    </row>
    <row r="829" s="165" customFormat="1" ht="18.75" customHeight="1" spans="2:8">
      <c r="B829" s="293" t="s">
        <v>2006</v>
      </c>
      <c r="C829" s="301" t="s">
        <v>2007</v>
      </c>
      <c r="D829" s="227" t="s">
        <v>1629</v>
      </c>
      <c r="E829" s="295">
        <v>1</v>
      </c>
      <c r="F829" s="229">
        <v>10400</v>
      </c>
      <c r="G829" s="190">
        <f>E829*F829</f>
        <v>10400</v>
      </c>
      <c r="H829" s="244"/>
    </row>
    <row r="830" s="165" customFormat="1" ht="18.75" customHeight="1" spans="2:8">
      <c r="B830" s="305"/>
      <c r="C830" s="301"/>
      <c r="D830" s="227"/>
      <c r="E830" s="295"/>
      <c r="F830" s="232"/>
      <c r="G830" s="190"/>
      <c r="H830" s="244"/>
    </row>
    <row r="831" s="165" customFormat="1" ht="18.75" customHeight="1" spans="2:8">
      <c r="B831" s="293" t="s">
        <v>2008</v>
      </c>
      <c r="C831" s="301" t="s">
        <v>2009</v>
      </c>
      <c r="D831" s="227"/>
      <c r="E831" s="295">
        <v>1</v>
      </c>
      <c r="F831" s="229">
        <v>93600</v>
      </c>
      <c r="G831" s="190">
        <f>E831*F831</f>
        <v>93600</v>
      </c>
      <c r="H831" s="244"/>
    </row>
    <row r="832" s="165" customFormat="1" ht="18.75" customHeight="1" spans="2:8">
      <c r="B832" s="305"/>
      <c r="C832" s="301"/>
      <c r="D832" s="227"/>
      <c r="E832" s="295"/>
      <c r="F832" s="232"/>
      <c r="G832" s="190"/>
      <c r="H832" s="244"/>
    </row>
    <row r="833" s="165" customFormat="1" ht="18.75" customHeight="1" spans="2:8">
      <c r="B833" s="293" t="s">
        <v>2010</v>
      </c>
      <c r="C833" s="301" t="s">
        <v>2011</v>
      </c>
      <c r="D833" s="227"/>
      <c r="E833" s="295">
        <v>1</v>
      </c>
      <c r="F833" s="229">
        <v>93600</v>
      </c>
      <c r="G833" s="190">
        <f>E833*F833</f>
        <v>93600</v>
      </c>
      <c r="H833" s="244"/>
    </row>
    <row r="834" s="165" customFormat="1" ht="18.75" customHeight="1" spans="2:8">
      <c r="B834" s="305"/>
      <c r="C834" s="301"/>
      <c r="D834" s="227"/>
      <c r="E834" s="295"/>
      <c r="F834" s="232"/>
      <c r="G834" s="190"/>
      <c r="H834" s="244"/>
    </row>
    <row r="835" s="165" customFormat="1" ht="18.75" customHeight="1" spans="2:8">
      <c r="B835" s="293" t="s">
        <v>2012</v>
      </c>
      <c r="C835" s="301" t="s">
        <v>2013</v>
      </c>
      <c r="D835" s="227"/>
      <c r="E835" s="295">
        <v>1</v>
      </c>
      <c r="F835" s="229">
        <v>93600</v>
      </c>
      <c r="G835" s="190">
        <f>E835*F835</f>
        <v>93600</v>
      </c>
      <c r="H835" s="244"/>
    </row>
    <row r="836" s="165" customFormat="1" ht="18.75" customHeight="1" spans="2:8">
      <c r="B836" s="305"/>
      <c r="C836" s="301"/>
      <c r="D836" s="227"/>
      <c r="E836" s="295"/>
      <c r="F836" s="232"/>
      <c r="G836" s="190"/>
      <c r="H836" s="244"/>
    </row>
    <row r="837" s="165" customFormat="1" ht="18.75" customHeight="1" spans="2:8">
      <c r="B837" s="293" t="s">
        <v>2014</v>
      </c>
      <c r="C837" s="301" t="s">
        <v>2015</v>
      </c>
      <c r="D837" s="227"/>
      <c r="E837" s="295">
        <v>1</v>
      </c>
      <c r="F837" s="229">
        <v>78000</v>
      </c>
      <c r="G837" s="190">
        <f>E837*F837</f>
        <v>78000</v>
      </c>
      <c r="H837" s="244"/>
    </row>
    <row r="838" s="165" customFormat="1" ht="18.75" customHeight="1" spans="2:8">
      <c r="B838" s="305"/>
      <c r="C838" s="301"/>
      <c r="D838" s="227"/>
      <c r="E838" s="295"/>
      <c r="F838" s="232"/>
      <c r="G838" s="190"/>
      <c r="H838" s="244"/>
    </row>
    <row r="839" s="165" customFormat="1" ht="18.75" customHeight="1" spans="2:8">
      <c r="B839" s="293" t="s">
        <v>2016</v>
      </c>
      <c r="C839" s="301" t="s">
        <v>2017</v>
      </c>
      <c r="D839" s="227"/>
      <c r="E839" s="295">
        <v>1</v>
      </c>
      <c r="F839" s="229">
        <v>93600</v>
      </c>
      <c r="G839" s="190">
        <f>E839*F839</f>
        <v>93600</v>
      </c>
      <c r="H839" s="244"/>
    </row>
    <row r="840" s="165" customFormat="1" ht="15.75" customHeight="1" spans="2:8">
      <c r="B840" s="305"/>
      <c r="C840" s="301"/>
      <c r="D840" s="227"/>
      <c r="E840" s="295"/>
      <c r="F840" s="232"/>
      <c r="G840" s="190"/>
      <c r="H840" s="244"/>
    </row>
    <row r="841" s="165" customFormat="1" ht="24.75" customHeight="1" spans="2:8">
      <c r="B841" s="293" t="s">
        <v>2018</v>
      </c>
      <c r="C841" s="301" t="s">
        <v>2019</v>
      </c>
      <c r="D841" s="227"/>
      <c r="E841" s="295">
        <v>1</v>
      </c>
      <c r="F841" s="229">
        <v>93600</v>
      </c>
      <c r="G841" s="190">
        <f>E841*F841</f>
        <v>93600</v>
      </c>
      <c r="H841" s="244"/>
    </row>
    <row r="842" s="165" customFormat="1" ht="18.75" customHeight="1" spans="2:8">
      <c r="B842" s="305"/>
      <c r="C842" s="301"/>
      <c r="D842" s="227"/>
      <c r="E842" s="295"/>
      <c r="F842" s="232"/>
      <c r="G842" s="190"/>
      <c r="H842" s="244"/>
    </row>
    <row r="843" s="165" customFormat="1" ht="18.75" customHeight="1" spans="2:8">
      <c r="B843" s="293" t="s">
        <v>2020</v>
      </c>
      <c r="C843" s="301" t="s">
        <v>2021</v>
      </c>
      <c r="D843" s="227"/>
      <c r="E843" s="295">
        <v>1</v>
      </c>
      <c r="F843" s="229">
        <v>93600</v>
      </c>
      <c r="G843" s="190">
        <f>E843*F843</f>
        <v>93600</v>
      </c>
      <c r="H843" s="244"/>
    </row>
    <row r="844" ht="18.75" customHeight="1" spans="2:8">
      <c r="B844" s="305"/>
      <c r="C844" s="301"/>
      <c r="D844" s="227"/>
      <c r="E844" s="295"/>
      <c r="F844" s="232"/>
      <c r="G844" s="190"/>
      <c r="H844" s="244"/>
    </row>
    <row r="845" ht="18.75" customHeight="1" spans="2:8">
      <c r="B845" s="293" t="s">
        <v>2022</v>
      </c>
      <c r="C845" s="301" t="s">
        <v>2023</v>
      </c>
      <c r="D845" s="227"/>
      <c r="E845" s="295">
        <v>1</v>
      </c>
      <c r="F845" s="229">
        <v>93600</v>
      </c>
      <c r="G845" s="190">
        <f>E845*F845</f>
        <v>93600</v>
      </c>
      <c r="H845" s="244"/>
    </row>
    <row r="846" ht="18.75" customHeight="1" spans="2:8">
      <c r="B846" s="305"/>
      <c r="C846" s="301"/>
      <c r="D846" s="227"/>
      <c r="E846" s="295"/>
      <c r="F846" s="232"/>
      <c r="G846" s="190"/>
      <c r="H846" s="244"/>
    </row>
    <row r="847" ht="18.75" customHeight="1" spans="2:8">
      <c r="B847" s="293" t="s">
        <v>2024</v>
      </c>
      <c r="C847" s="301" t="s">
        <v>2025</v>
      </c>
      <c r="D847" s="227"/>
      <c r="E847" s="295">
        <v>1</v>
      </c>
      <c r="F847" s="229">
        <v>93600</v>
      </c>
      <c r="G847" s="190">
        <f>E847*F847</f>
        <v>93600</v>
      </c>
      <c r="H847" s="244"/>
    </row>
    <row r="848" ht="18.75" customHeight="1" spans="2:8">
      <c r="B848" s="305"/>
      <c r="C848" s="301"/>
      <c r="D848" s="227"/>
      <c r="E848" s="295"/>
      <c r="F848" s="232"/>
      <c r="G848" s="190"/>
      <c r="H848" s="306"/>
    </row>
    <row r="849" ht="30" customHeight="1" spans="2:8">
      <c r="B849" s="297" t="s">
        <v>2026</v>
      </c>
      <c r="C849" s="307" t="s">
        <v>2027</v>
      </c>
      <c r="D849" s="234"/>
      <c r="E849" s="299">
        <v>12</v>
      </c>
      <c r="F849" s="270">
        <v>20800</v>
      </c>
      <c r="G849" s="209">
        <f>E849*F849</f>
        <v>249600</v>
      </c>
      <c r="H849" s="244"/>
    </row>
    <row r="850" ht="18.75" customHeight="1" spans="2:8">
      <c r="B850" s="305"/>
      <c r="C850" s="301"/>
      <c r="D850" s="227"/>
      <c r="E850" s="295"/>
      <c r="F850" s="232"/>
      <c r="G850" s="190"/>
      <c r="H850" s="244"/>
    </row>
    <row r="851" ht="30.75" customHeight="1" spans="2:8">
      <c r="B851" s="293" t="s">
        <v>2028</v>
      </c>
      <c r="C851" s="301" t="s">
        <v>2029</v>
      </c>
      <c r="D851" s="227"/>
      <c r="E851" s="295">
        <v>77</v>
      </c>
      <c r="F851" s="229">
        <v>5720</v>
      </c>
      <c r="G851" s="190">
        <f>E851*F851</f>
        <v>440440</v>
      </c>
      <c r="H851" s="244"/>
    </row>
    <row r="852" spans="2:8">
      <c r="B852" s="305"/>
      <c r="C852" s="302"/>
      <c r="D852" s="227"/>
      <c r="E852" s="295"/>
      <c r="F852" s="232"/>
      <c r="G852" s="190"/>
      <c r="H852" s="244"/>
    </row>
    <row r="853" ht="18" customHeight="1" spans="2:8">
      <c r="B853" s="293" t="s">
        <v>2030</v>
      </c>
      <c r="C853" s="294" t="s">
        <v>2031</v>
      </c>
      <c r="D853" s="227"/>
      <c r="E853" s="295"/>
      <c r="F853" s="232"/>
      <c r="G853" s="190"/>
      <c r="H853" s="244"/>
    </row>
    <row r="854" ht="15" customHeight="1" spans="2:8">
      <c r="B854" s="293"/>
      <c r="C854" s="296"/>
      <c r="D854" s="227"/>
      <c r="E854" s="295"/>
      <c r="F854" s="232"/>
      <c r="G854" s="190"/>
      <c r="H854" s="244"/>
    </row>
    <row r="855" ht="43.5" customHeight="1" spans="2:8">
      <c r="B855" s="293" t="s">
        <v>2032</v>
      </c>
      <c r="C855" s="296" t="s">
        <v>2033</v>
      </c>
      <c r="D855" s="227" t="s">
        <v>1629</v>
      </c>
      <c r="E855" s="295">
        <v>1</v>
      </c>
      <c r="F855" s="229">
        <v>520000</v>
      </c>
      <c r="G855" s="190">
        <f>E855*F855</f>
        <v>520000</v>
      </c>
      <c r="H855" s="244"/>
    </row>
    <row r="856" spans="2:8">
      <c r="B856" s="293"/>
      <c r="C856" s="296"/>
      <c r="D856" s="227"/>
      <c r="E856" s="295"/>
      <c r="F856" s="232"/>
      <c r="G856" s="190"/>
      <c r="H856" s="244"/>
    </row>
    <row r="857" ht="45" customHeight="1" spans="2:8">
      <c r="B857" s="293" t="s">
        <v>2034</v>
      </c>
      <c r="C857" s="296" t="s">
        <v>2035</v>
      </c>
      <c r="D857" s="227" t="s">
        <v>1629</v>
      </c>
      <c r="E857" s="303">
        <v>116</v>
      </c>
      <c r="F857" s="229">
        <v>37960</v>
      </c>
      <c r="G857" s="190">
        <f>E857*F857</f>
        <v>4403360</v>
      </c>
      <c r="H857" s="244" t="s">
        <v>579</v>
      </c>
    </row>
    <row r="858" spans="2:8">
      <c r="B858" s="293"/>
      <c r="C858" s="296"/>
      <c r="D858" s="227"/>
      <c r="E858" s="295"/>
      <c r="F858" s="232"/>
      <c r="G858" s="190"/>
      <c r="H858" s="244"/>
    </row>
    <row r="859" ht="45" customHeight="1" spans="2:8">
      <c r="B859" s="293" t="s">
        <v>2036</v>
      </c>
      <c r="C859" s="296" t="s">
        <v>2037</v>
      </c>
      <c r="D859" s="227" t="s">
        <v>1988</v>
      </c>
      <c r="E859" s="295">
        <v>5</v>
      </c>
      <c r="F859" s="229">
        <v>46540</v>
      </c>
      <c r="G859" s="190">
        <f>E859*F859</f>
        <v>232700</v>
      </c>
      <c r="H859" s="244"/>
    </row>
    <row r="860" spans="2:8">
      <c r="B860" s="293"/>
      <c r="C860" s="296"/>
      <c r="D860" s="227"/>
      <c r="E860" s="295"/>
      <c r="F860" s="232"/>
      <c r="G860" s="190"/>
      <c r="H860" s="244"/>
    </row>
    <row r="861" ht="30.75" customHeight="1" spans="2:8">
      <c r="B861" s="293" t="s">
        <v>2038</v>
      </c>
      <c r="C861" s="301" t="s">
        <v>2039</v>
      </c>
      <c r="D861" s="227" t="s">
        <v>1629</v>
      </c>
      <c r="E861" s="295">
        <v>2</v>
      </c>
      <c r="F861" s="229">
        <v>46540</v>
      </c>
      <c r="G861" s="190">
        <f t="shared" ref="G861:G871" si="0">E861*F861</f>
        <v>93080</v>
      </c>
      <c r="H861" s="244"/>
    </row>
    <row r="862" spans="2:8">
      <c r="B862" s="293"/>
      <c r="C862" s="302"/>
      <c r="D862" s="227"/>
      <c r="E862" s="295"/>
      <c r="F862" s="232"/>
      <c r="G862" s="190"/>
      <c r="H862" s="244"/>
    </row>
    <row r="863" ht="18" customHeight="1" spans="2:8">
      <c r="B863" s="293" t="s">
        <v>2040</v>
      </c>
      <c r="C863" s="302" t="s">
        <v>2041</v>
      </c>
      <c r="D863" s="227" t="s">
        <v>1629</v>
      </c>
      <c r="E863" s="295">
        <v>8</v>
      </c>
      <c r="F863" s="229">
        <v>41600</v>
      </c>
      <c r="G863" s="190">
        <f t="shared" si="0"/>
        <v>332800</v>
      </c>
      <c r="H863" s="244"/>
    </row>
    <row r="864" spans="2:8">
      <c r="B864" s="293"/>
      <c r="C864" s="302"/>
      <c r="D864" s="227"/>
      <c r="E864" s="295"/>
      <c r="F864" s="232"/>
      <c r="G864" s="190"/>
      <c r="H864" s="244"/>
    </row>
    <row r="865" ht="30" customHeight="1" spans="2:8">
      <c r="B865" s="293" t="s">
        <v>2042</v>
      </c>
      <c r="C865" s="301" t="s">
        <v>2043</v>
      </c>
      <c r="D865" s="227" t="s">
        <v>1629</v>
      </c>
      <c r="E865" s="295">
        <v>1</v>
      </c>
      <c r="F865" s="229">
        <v>312000</v>
      </c>
      <c r="G865" s="190">
        <f t="shared" si="0"/>
        <v>312000</v>
      </c>
      <c r="H865" s="244"/>
    </row>
    <row r="866" ht="15.75" customHeight="1" spans="2:8">
      <c r="B866" s="293"/>
      <c r="C866" s="304"/>
      <c r="D866" s="227"/>
      <c r="E866" s="295"/>
      <c r="F866" s="232"/>
      <c r="G866" s="190"/>
      <c r="H866" s="244"/>
    </row>
    <row r="867" ht="18" customHeight="1" spans="2:8">
      <c r="B867" s="293" t="s">
        <v>2044</v>
      </c>
      <c r="C867" s="294" t="s">
        <v>2045</v>
      </c>
      <c r="D867" s="227"/>
      <c r="E867" s="295"/>
      <c r="F867" s="232"/>
      <c r="G867" s="190"/>
      <c r="H867" s="244"/>
    </row>
    <row r="868" ht="5.25" customHeight="1" spans="2:8">
      <c r="B868" s="293"/>
      <c r="C868" s="296"/>
      <c r="D868" s="227"/>
      <c r="E868" s="295"/>
      <c r="F868" s="232"/>
      <c r="G868" s="190"/>
      <c r="H868" s="244"/>
    </row>
    <row r="869" ht="56.25" customHeight="1" spans="2:8">
      <c r="B869" s="293" t="s">
        <v>2046</v>
      </c>
      <c r="C869" s="296" t="s">
        <v>2047</v>
      </c>
      <c r="D869" s="227" t="s">
        <v>1629</v>
      </c>
      <c r="E869" s="295">
        <v>1</v>
      </c>
      <c r="F869" s="229">
        <v>520000</v>
      </c>
      <c r="G869" s="190">
        <f t="shared" si="0"/>
        <v>520000</v>
      </c>
      <c r="H869" s="244"/>
    </row>
    <row r="870" ht="16.5" customHeight="1" spans="2:8">
      <c r="B870" s="293"/>
      <c r="C870" s="296"/>
      <c r="D870" s="227"/>
      <c r="E870" s="295"/>
      <c r="F870" s="232"/>
      <c r="G870" s="190"/>
      <c r="H870" s="244"/>
    </row>
    <row r="871" ht="45" customHeight="1" spans="2:8">
      <c r="B871" s="293" t="s">
        <v>2048</v>
      </c>
      <c r="C871" s="296" t="s">
        <v>2049</v>
      </c>
      <c r="D871" s="227" t="s">
        <v>1629</v>
      </c>
      <c r="E871" s="303">
        <v>157</v>
      </c>
      <c r="F871" s="229">
        <v>4160</v>
      </c>
      <c r="G871" s="190">
        <f t="shared" si="0"/>
        <v>653120</v>
      </c>
      <c r="H871" s="244" t="s">
        <v>579</v>
      </c>
    </row>
    <row r="872" ht="15.75" customHeight="1" spans="2:8">
      <c r="B872" s="210"/>
      <c r="C872" s="214" t="s">
        <v>886</v>
      </c>
      <c r="D872" s="286"/>
      <c r="E872" s="224"/>
      <c r="F872" s="287"/>
      <c r="G872" s="190"/>
      <c r="H872" s="268"/>
    </row>
    <row r="873" ht="78" customHeight="1" spans="2:8">
      <c r="B873" s="185" t="s">
        <v>2050</v>
      </c>
      <c r="C873" s="26" t="s">
        <v>1977</v>
      </c>
      <c r="D873" s="286" t="s">
        <v>62</v>
      </c>
      <c r="E873" s="224"/>
      <c r="F873" s="308">
        <v>104000</v>
      </c>
      <c r="G873" s="190">
        <f>F873</f>
        <v>104000</v>
      </c>
      <c r="H873" s="268"/>
    </row>
    <row r="874" ht="56.25" customHeight="1" spans="2:8">
      <c r="B874" s="185" t="s">
        <v>2051</v>
      </c>
      <c r="C874" s="26" t="s">
        <v>2052</v>
      </c>
      <c r="D874" s="286" t="s">
        <v>2053</v>
      </c>
      <c r="E874" s="224"/>
      <c r="F874" s="308"/>
      <c r="G874" s="309">
        <v>100000</v>
      </c>
      <c r="H874" s="244" t="s">
        <v>579</v>
      </c>
    </row>
    <row r="875" ht="12" customHeight="1" spans="2:8">
      <c r="B875" s="185"/>
      <c r="C875" s="26"/>
      <c r="D875" s="286"/>
      <c r="E875" s="224"/>
      <c r="F875" s="287"/>
      <c r="G875" s="190"/>
      <c r="H875" s="268"/>
    </row>
    <row r="876" ht="30.75" customHeight="1" spans="2:7">
      <c r="B876" s="185" t="s">
        <v>2054</v>
      </c>
      <c r="C876" s="26" t="s">
        <v>2055</v>
      </c>
      <c r="D876" s="286" t="s">
        <v>62</v>
      </c>
      <c r="E876" s="224"/>
      <c r="F876" s="310" t="s">
        <v>2056</v>
      </c>
      <c r="G876" s="311">
        <v>3250000</v>
      </c>
    </row>
    <row r="877" ht="9" customHeight="1" spans="2:5">
      <c r="B877" s="312"/>
      <c r="C877" s="313"/>
      <c r="D877" s="313"/>
      <c r="E877" s="313"/>
    </row>
    <row r="878" s="169" customFormat="1" ht="27" customHeight="1" spans="2:8">
      <c r="B878" s="257"/>
      <c r="C878" s="314" t="s">
        <v>215</v>
      </c>
      <c r="D878" s="260"/>
      <c r="E878" s="260"/>
      <c r="F878" s="315"/>
      <c r="G878" s="316">
        <f>SUM(G68:G877)</f>
        <v>172924342</v>
      </c>
      <c r="H878" s="317"/>
    </row>
    <row r="879" ht="9.75" customHeight="1" spans="2:8">
      <c r="B879" s="318"/>
      <c r="C879" s="319"/>
      <c r="D879" s="319"/>
      <c r="E879" s="319"/>
      <c r="F879" s="319"/>
      <c r="G879" s="319"/>
      <c r="H879" s="319"/>
    </row>
    <row r="882" spans="7:7">
      <c r="G882" s="320"/>
    </row>
  </sheetData>
  <mergeCells count="4">
    <mergeCell ref="B2:G2"/>
    <mergeCell ref="B3:G3"/>
    <mergeCell ref="B4:C4"/>
    <mergeCell ref="D4:G4"/>
  </mergeCells>
  <pageMargins left="0.8" right="0.1" top="0.35" bottom="0.3" header="0.3" footer="0.15"/>
  <pageSetup paperSize="9" scale="94" firstPageNumber="56" orientation="portrait" useFirstPageNumber="1"/>
  <headerFooter>
    <oddFooter>&amp;C&amp;P</oddFooter>
  </headerFooter>
  <rowBreaks count="20" manualBreakCount="20">
    <brk id="37" max="7" man="1"/>
    <brk id="66" max="6" man="1"/>
    <brk id="93" max="6" man="1"/>
    <brk id="125" max="6" man="1"/>
    <brk id="185" max="6" man="1"/>
    <brk id="271" max="6" man="1"/>
    <brk id="303" max="6" man="1"/>
    <brk id="328" max="6" man="1"/>
    <brk id="359" max="6" man="1"/>
    <brk id="386" max="6" man="1"/>
    <brk id="415" max="6" man="1"/>
    <brk id="443" max="6" man="1"/>
    <brk id="471" max="6" man="1"/>
    <brk id="499" max="6" man="1"/>
    <brk id="554" max="6" man="1"/>
    <brk id="584" max="6" man="1"/>
    <brk id="636" max="6" man="1"/>
    <brk id="664" max="6" man="1"/>
    <brk id="784" max="6" man="1"/>
    <brk id="811" max="6" man="1"/>
  </row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tint="0.349986266670736"/>
  </sheetPr>
  <dimension ref="B2:K288"/>
  <sheetViews>
    <sheetView view="pageBreakPreview" zoomScaleNormal="100" topLeftCell="A6" workbookViewId="0">
      <selection activeCell="I12" sqref="I12"/>
    </sheetView>
  </sheetViews>
  <sheetFormatPr defaultColWidth="10.287037037037" defaultRowHeight="14.4"/>
  <cols>
    <col min="1" max="1" width="10.287037037037" style="2"/>
    <col min="2" max="2" width="9.13888888888889" style="2"/>
    <col min="3" max="3" width="43" style="2" customWidth="1"/>
    <col min="4" max="4" width="6.71296296296296" style="2" customWidth="1"/>
    <col min="5" max="5" width="11.1388888888889" style="126" customWidth="1"/>
    <col min="6" max="6" width="13.287037037037" style="4" customWidth="1"/>
    <col min="7" max="7" width="17" style="4" customWidth="1"/>
    <col min="8" max="8" width="14.712962962963" style="2" customWidth="1"/>
    <col min="9" max="9" width="14.287037037037" style="2" customWidth="1"/>
    <col min="10" max="16384" width="10.287037037037" style="2"/>
  </cols>
  <sheetData>
    <row r="2" s="1" customFormat="1" ht="21" customHeight="1" spans="2:8">
      <c r="B2" s="5" t="s">
        <v>20</v>
      </c>
      <c r="C2" s="5"/>
      <c r="D2" s="5"/>
      <c r="E2" s="5"/>
      <c r="F2" s="5"/>
      <c r="G2" s="5"/>
      <c r="H2" s="130"/>
    </row>
    <row r="3" s="1" customFormat="1" ht="21" customHeight="1" spans="2:8">
      <c r="B3" s="7" t="s">
        <v>37</v>
      </c>
      <c r="C3" s="7"/>
      <c r="D3" s="7"/>
      <c r="E3" s="7"/>
      <c r="F3" s="7"/>
      <c r="G3" s="7"/>
      <c r="H3" s="131"/>
    </row>
    <row r="4" s="1" customFormat="1" ht="22.5" customHeight="1" spans="2:7">
      <c r="B4" s="91" t="str">
        <f>Elec!B4</f>
        <v>BILL OF QUANTITIES</v>
      </c>
      <c r="C4" s="91"/>
      <c r="D4" s="132" t="s">
        <v>2057</v>
      </c>
      <c r="E4" s="132"/>
      <c r="F4" s="132"/>
      <c r="G4" s="132"/>
    </row>
    <row r="5" ht="22.5" customHeight="1" spans="2:7">
      <c r="B5" s="11" t="s">
        <v>155</v>
      </c>
      <c r="C5" s="11" t="s">
        <v>2</v>
      </c>
      <c r="D5" s="11" t="s">
        <v>156</v>
      </c>
      <c r="E5" s="92" t="s">
        <v>218</v>
      </c>
      <c r="F5" s="14" t="s">
        <v>2058</v>
      </c>
      <c r="G5" s="14" t="s">
        <v>159</v>
      </c>
    </row>
    <row r="6" spans="2:7">
      <c r="B6" s="133"/>
      <c r="C6" s="134"/>
      <c r="D6" s="133"/>
      <c r="E6" s="135"/>
      <c r="F6" s="136"/>
      <c r="G6" s="136"/>
    </row>
    <row r="7" s="1" customFormat="1" spans="2:7">
      <c r="B7" s="97" t="s">
        <v>2059</v>
      </c>
      <c r="C7" s="81" t="s">
        <v>2060</v>
      </c>
      <c r="D7" s="64"/>
      <c r="E7" s="102"/>
      <c r="F7" s="21"/>
      <c r="G7" s="21"/>
    </row>
    <row r="8" spans="2:7">
      <c r="B8" s="64"/>
      <c r="C8" s="81"/>
      <c r="D8" s="64"/>
      <c r="E8" s="102"/>
      <c r="F8" s="21"/>
      <c r="G8" s="21"/>
    </row>
    <row r="9" s="127" customFormat="1" spans="2:7">
      <c r="B9" s="64" t="s">
        <v>2061</v>
      </c>
      <c r="C9" s="137" t="s">
        <v>2062</v>
      </c>
      <c r="D9" s="64"/>
      <c r="E9" s="102"/>
      <c r="F9" s="21"/>
      <c r="G9" s="21"/>
    </row>
    <row r="10" s="127" customFormat="1" spans="2:7">
      <c r="B10" s="64"/>
      <c r="C10" s="65"/>
      <c r="D10" s="64"/>
      <c r="E10" s="102"/>
      <c r="F10" s="21"/>
      <c r="G10" s="21"/>
    </row>
    <row r="11" s="127" customFormat="1" ht="138" customHeight="1" spans="2:9">
      <c r="B11" s="64" t="s">
        <v>2063</v>
      </c>
      <c r="C11" s="65" t="s">
        <v>2064</v>
      </c>
      <c r="D11" s="64"/>
      <c r="E11" s="102"/>
      <c r="F11" s="21"/>
      <c r="G11" s="21"/>
      <c r="I11" s="141">
        <f>SUM(G13:G66)/130*100</f>
        <v>66542865.3846154</v>
      </c>
    </row>
    <row r="12" s="127" customFormat="1" spans="2:7">
      <c r="B12" s="64"/>
      <c r="C12" s="65"/>
      <c r="D12" s="64"/>
      <c r="E12" s="102"/>
      <c r="F12" s="21"/>
      <c r="G12" s="21"/>
    </row>
    <row r="13" s="127" customFormat="1" ht="18.75" customHeight="1" spans="2:7">
      <c r="B13" s="64" t="s">
        <v>2065</v>
      </c>
      <c r="C13" s="104" t="s">
        <v>1066</v>
      </c>
      <c r="D13" s="64" t="s">
        <v>225</v>
      </c>
      <c r="E13" s="102">
        <v>147</v>
      </c>
      <c r="F13" s="21">
        <v>3578</v>
      </c>
      <c r="G13" s="21">
        <f>E13*F13</f>
        <v>525966</v>
      </c>
    </row>
    <row r="14" s="127" customFormat="1" ht="18.75" customHeight="1" spans="2:7">
      <c r="B14" s="64" t="s">
        <v>2066</v>
      </c>
      <c r="C14" s="104" t="s">
        <v>1068</v>
      </c>
      <c r="D14" s="64" t="s">
        <v>225</v>
      </c>
      <c r="E14" s="102">
        <v>1897</v>
      </c>
      <c r="F14" s="21">
        <v>3578</v>
      </c>
      <c r="G14" s="21">
        <f>E14*F14</f>
        <v>6787466</v>
      </c>
    </row>
    <row r="15" s="127" customFormat="1" ht="18.75" customHeight="1" spans="2:7">
      <c r="B15" s="64" t="s">
        <v>2067</v>
      </c>
      <c r="C15" s="104" t="s">
        <v>1070</v>
      </c>
      <c r="D15" s="64" t="s">
        <v>225</v>
      </c>
      <c r="E15" s="102">
        <v>946</v>
      </c>
      <c r="F15" s="21">
        <v>3650</v>
      </c>
      <c r="G15" s="21">
        <f>E15*F15</f>
        <v>3452900</v>
      </c>
    </row>
    <row r="16" s="127" customFormat="1" spans="2:7">
      <c r="B16" s="64"/>
      <c r="C16" s="104"/>
      <c r="D16" s="64"/>
      <c r="E16" s="102"/>
      <c r="F16" s="21"/>
      <c r="G16" s="21"/>
    </row>
    <row r="17" s="127" customFormat="1" ht="56.25" customHeight="1" spans="2:7">
      <c r="B17" s="64" t="s">
        <v>2068</v>
      </c>
      <c r="C17" s="65" t="s">
        <v>2069</v>
      </c>
      <c r="D17" s="64"/>
      <c r="E17" s="102"/>
      <c r="F17" s="21"/>
      <c r="G17" s="21"/>
    </row>
    <row r="18" s="127" customFormat="1" spans="2:7">
      <c r="B18" s="64"/>
      <c r="C18" s="65"/>
      <c r="D18" s="64"/>
      <c r="E18" s="102"/>
      <c r="F18" s="21"/>
      <c r="G18" s="21"/>
    </row>
    <row r="19" s="127" customFormat="1" ht="18.75" customHeight="1" spans="2:7">
      <c r="B19" s="64" t="s">
        <v>2070</v>
      </c>
      <c r="C19" s="104" t="s">
        <v>1072</v>
      </c>
      <c r="D19" s="64" t="s">
        <v>225</v>
      </c>
      <c r="E19" s="102">
        <v>807</v>
      </c>
      <c r="F19" s="21">
        <v>4123</v>
      </c>
      <c r="G19" s="21">
        <f>E19*F19</f>
        <v>3327261</v>
      </c>
    </row>
    <row r="20" s="127" customFormat="1" ht="18.75" customHeight="1" spans="2:7">
      <c r="B20" s="64" t="s">
        <v>2071</v>
      </c>
      <c r="C20" s="104" t="s">
        <v>1074</v>
      </c>
      <c r="D20" s="64" t="s">
        <v>225</v>
      </c>
      <c r="E20" s="102">
        <v>720</v>
      </c>
      <c r="F20" s="21">
        <v>4203</v>
      </c>
      <c r="G20" s="21">
        <f>E20*F20</f>
        <v>3026160</v>
      </c>
    </row>
    <row r="21" s="127" customFormat="1" spans="2:7">
      <c r="B21" s="64"/>
      <c r="C21" s="104"/>
      <c r="D21" s="64"/>
      <c r="E21" s="102"/>
      <c r="F21" s="21"/>
      <c r="G21" s="21"/>
    </row>
    <row r="22" s="127" customFormat="1" ht="44.25" customHeight="1" spans="2:7">
      <c r="B22" s="64" t="s">
        <v>2072</v>
      </c>
      <c r="C22" s="65" t="s">
        <v>2073</v>
      </c>
      <c r="D22" s="64"/>
      <c r="E22" s="102"/>
      <c r="F22" s="21"/>
      <c r="G22" s="21"/>
    </row>
    <row r="23" s="127" customFormat="1" spans="2:7">
      <c r="B23" s="64"/>
      <c r="C23" s="65"/>
      <c r="D23" s="64"/>
      <c r="E23" s="102"/>
      <c r="F23" s="21"/>
      <c r="G23" s="21"/>
    </row>
    <row r="24" s="127" customFormat="1" ht="18.75" customHeight="1" spans="2:7">
      <c r="B24" s="64" t="s">
        <v>2074</v>
      </c>
      <c r="C24" s="104" t="s">
        <v>1066</v>
      </c>
      <c r="D24" s="64" t="s">
        <v>225</v>
      </c>
      <c r="E24" s="102">
        <v>950</v>
      </c>
      <c r="F24" s="21">
        <v>3961</v>
      </c>
      <c r="G24" s="21">
        <f t="shared" ref="G24:G35" si="0">E24*F24</f>
        <v>3762950</v>
      </c>
    </row>
    <row r="25" s="127" customFormat="1" ht="18.75" customHeight="1" spans="2:7">
      <c r="B25" s="64" t="s">
        <v>2075</v>
      </c>
      <c r="C25" s="138" t="s">
        <v>1162</v>
      </c>
      <c r="D25" s="59" t="s">
        <v>225</v>
      </c>
      <c r="E25" s="102">
        <v>390</v>
      </c>
      <c r="F25" s="21">
        <v>3961</v>
      </c>
      <c r="G25" s="21">
        <f t="shared" si="0"/>
        <v>1544790</v>
      </c>
    </row>
    <row r="26" s="127" customFormat="1" ht="18.75" customHeight="1" spans="2:7">
      <c r="B26" s="64" t="s">
        <v>2076</v>
      </c>
      <c r="C26" s="104" t="s">
        <v>1068</v>
      </c>
      <c r="D26" s="64" t="s">
        <v>225</v>
      </c>
      <c r="E26" s="102">
        <v>1302</v>
      </c>
      <c r="F26" s="21">
        <v>3961</v>
      </c>
      <c r="G26" s="21">
        <f t="shared" si="0"/>
        <v>5157222</v>
      </c>
    </row>
    <row r="27" s="127" customFormat="1" ht="18.75" customHeight="1" spans="2:7">
      <c r="B27" s="64" t="s">
        <v>2077</v>
      </c>
      <c r="C27" s="104" t="s">
        <v>1070</v>
      </c>
      <c r="D27" s="64" t="s">
        <v>225</v>
      </c>
      <c r="E27" s="102">
        <v>1333</v>
      </c>
      <c r="F27" s="21">
        <v>4040</v>
      </c>
      <c r="G27" s="21">
        <f t="shared" si="0"/>
        <v>5385320</v>
      </c>
    </row>
    <row r="28" s="127" customFormat="1" ht="18.75" customHeight="1" spans="2:7">
      <c r="B28" s="64" t="s">
        <v>2078</v>
      </c>
      <c r="C28" s="104" t="s">
        <v>1072</v>
      </c>
      <c r="D28" s="64" t="s">
        <v>225</v>
      </c>
      <c r="E28" s="102">
        <v>933</v>
      </c>
      <c r="F28" s="21">
        <v>4119</v>
      </c>
      <c r="G28" s="21">
        <f t="shared" si="0"/>
        <v>3843027</v>
      </c>
    </row>
    <row r="29" s="127" customFormat="1" ht="18.75" customHeight="1" spans="2:7">
      <c r="B29" s="64" t="s">
        <v>2079</v>
      </c>
      <c r="C29" s="104" t="s">
        <v>1074</v>
      </c>
      <c r="D29" s="64" t="s">
        <v>225</v>
      </c>
      <c r="E29" s="102">
        <v>884</v>
      </c>
      <c r="F29" s="21">
        <v>4199</v>
      </c>
      <c r="G29" s="21">
        <f t="shared" si="0"/>
        <v>3711916</v>
      </c>
    </row>
    <row r="30" s="127" customFormat="1" ht="18.75" customHeight="1" spans="2:7">
      <c r="B30" s="64" t="s">
        <v>2080</v>
      </c>
      <c r="C30" s="104" t="s">
        <v>1076</v>
      </c>
      <c r="D30" s="64" t="s">
        <v>225</v>
      </c>
      <c r="E30" s="102">
        <v>992</v>
      </c>
      <c r="F30" s="21">
        <v>4278</v>
      </c>
      <c r="G30" s="21">
        <f t="shared" si="0"/>
        <v>4243776</v>
      </c>
    </row>
    <row r="31" s="127" customFormat="1" ht="18.75" customHeight="1" spans="2:7">
      <c r="B31" s="64" t="s">
        <v>2081</v>
      </c>
      <c r="C31" s="104" t="s">
        <v>1078</v>
      </c>
      <c r="D31" s="64" t="s">
        <v>225</v>
      </c>
      <c r="E31" s="102">
        <v>657</v>
      </c>
      <c r="F31" s="21">
        <v>4357</v>
      </c>
      <c r="G31" s="21">
        <f t="shared" si="0"/>
        <v>2862549</v>
      </c>
    </row>
    <row r="32" s="127" customFormat="1" ht="18.75" customHeight="1" spans="2:7">
      <c r="B32" s="64" t="s">
        <v>2082</v>
      </c>
      <c r="C32" s="104" t="s">
        <v>1080</v>
      </c>
      <c r="D32" s="64" t="s">
        <v>225</v>
      </c>
      <c r="E32" s="102">
        <v>380</v>
      </c>
      <c r="F32" s="21">
        <v>4436</v>
      </c>
      <c r="G32" s="21">
        <f t="shared" si="0"/>
        <v>1685680</v>
      </c>
    </row>
    <row r="33" s="127" customFormat="1" ht="18.75" customHeight="1" spans="2:7">
      <c r="B33" s="64" t="s">
        <v>2083</v>
      </c>
      <c r="C33" s="104" t="s">
        <v>1082</v>
      </c>
      <c r="D33" s="64" t="s">
        <v>225</v>
      </c>
      <c r="E33" s="102">
        <v>380</v>
      </c>
      <c r="F33" s="21">
        <v>4516</v>
      </c>
      <c r="G33" s="21">
        <f t="shared" si="0"/>
        <v>1716080</v>
      </c>
    </row>
    <row r="34" s="127" customFormat="1" ht="36.75" customHeight="1" spans="2:7">
      <c r="B34" s="64" t="s">
        <v>2084</v>
      </c>
      <c r="C34" s="104" t="s">
        <v>1084</v>
      </c>
      <c r="D34" s="64" t="s">
        <v>225</v>
      </c>
      <c r="E34" s="102">
        <v>595</v>
      </c>
      <c r="F34" s="21">
        <v>4595</v>
      </c>
      <c r="G34" s="21">
        <f t="shared" si="0"/>
        <v>2734025</v>
      </c>
    </row>
    <row r="35" s="127" customFormat="1" ht="53.25" customHeight="1" spans="2:7">
      <c r="B35" s="79" t="s">
        <v>2085</v>
      </c>
      <c r="C35" s="139" t="s">
        <v>2086</v>
      </c>
      <c r="D35" s="79" t="s">
        <v>225</v>
      </c>
      <c r="E35" s="109">
        <v>334</v>
      </c>
      <c r="F35" s="34">
        <v>5181</v>
      </c>
      <c r="G35" s="34">
        <f t="shared" si="0"/>
        <v>1730454</v>
      </c>
    </row>
    <row r="36" s="127" customFormat="1" ht="14.25" customHeight="1" spans="2:7">
      <c r="B36" s="64"/>
      <c r="C36" s="65"/>
      <c r="D36" s="64"/>
      <c r="E36" s="102"/>
      <c r="F36" s="21"/>
      <c r="G36" s="21"/>
    </row>
    <row r="37" s="127" customFormat="1" ht="45" customHeight="1" spans="2:7">
      <c r="B37" s="64" t="s">
        <v>2087</v>
      </c>
      <c r="C37" s="65" t="s">
        <v>2088</v>
      </c>
      <c r="D37" s="64"/>
      <c r="E37" s="102"/>
      <c r="F37" s="21"/>
      <c r="G37" s="21"/>
    </row>
    <row r="38" s="127" customFormat="1" ht="6.75" customHeight="1" spans="2:7">
      <c r="B38" s="64"/>
      <c r="C38" s="65"/>
      <c r="D38" s="64"/>
      <c r="E38" s="102"/>
      <c r="F38" s="21"/>
      <c r="G38" s="21"/>
    </row>
    <row r="39" s="127" customFormat="1" ht="19.5" customHeight="1" spans="2:7">
      <c r="B39" s="64" t="s">
        <v>2089</v>
      </c>
      <c r="C39" s="104" t="s">
        <v>2090</v>
      </c>
      <c r="D39" s="64" t="s">
        <v>225</v>
      </c>
      <c r="E39" s="102">
        <v>2200</v>
      </c>
      <c r="F39" s="21">
        <v>3165</v>
      </c>
      <c r="G39" s="21">
        <f>E39*F39</f>
        <v>6963000</v>
      </c>
    </row>
    <row r="40" s="127" customFormat="1" ht="17.25" customHeight="1" spans="2:7">
      <c r="B40" s="64"/>
      <c r="C40" s="65"/>
      <c r="D40" s="64"/>
      <c r="E40" s="102"/>
      <c r="F40" s="21"/>
      <c r="G40" s="21"/>
    </row>
    <row r="41" s="127" customFormat="1" ht="43.5" customHeight="1" spans="2:7">
      <c r="B41" s="64" t="s">
        <v>2091</v>
      </c>
      <c r="C41" s="65" t="s">
        <v>2092</v>
      </c>
      <c r="D41" s="64"/>
      <c r="E41" s="102"/>
      <c r="F41" s="21"/>
      <c r="G41" s="21"/>
    </row>
    <row r="42" s="127" customFormat="1" spans="2:7">
      <c r="B42" s="64"/>
      <c r="C42" s="65"/>
      <c r="D42" s="64"/>
      <c r="E42" s="102"/>
      <c r="F42" s="21"/>
      <c r="G42" s="21"/>
    </row>
    <row r="43" s="127" customFormat="1" ht="18.75" customHeight="1" spans="2:7">
      <c r="B43" s="64" t="s">
        <v>2093</v>
      </c>
      <c r="C43" s="104" t="s">
        <v>1066</v>
      </c>
      <c r="D43" s="64" t="s">
        <v>225</v>
      </c>
      <c r="E43" s="102">
        <v>427</v>
      </c>
      <c r="F43" s="21">
        <v>4206</v>
      </c>
      <c r="G43" s="21">
        <f t="shared" ref="G43:G52" si="1">E43*F43</f>
        <v>1795962</v>
      </c>
    </row>
    <row r="44" s="127" customFormat="1" ht="18.75" customHeight="1" spans="2:7">
      <c r="B44" s="64" t="s">
        <v>2094</v>
      </c>
      <c r="C44" s="104" t="s">
        <v>1068</v>
      </c>
      <c r="D44" s="64" t="s">
        <v>225</v>
      </c>
      <c r="E44" s="102">
        <v>648</v>
      </c>
      <c r="F44" s="21">
        <v>4206</v>
      </c>
      <c r="G44" s="21">
        <f t="shared" si="1"/>
        <v>2725488</v>
      </c>
    </row>
    <row r="45" s="127" customFormat="1" ht="18.75" customHeight="1" spans="2:7">
      <c r="B45" s="64" t="s">
        <v>2095</v>
      </c>
      <c r="C45" s="104" t="s">
        <v>1070</v>
      </c>
      <c r="D45" s="64" t="s">
        <v>225</v>
      </c>
      <c r="E45" s="102">
        <v>24</v>
      </c>
      <c r="F45" s="21">
        <v>4290</v>
      </c>
      <c r="G45" s="21">
        <f t="shared" si="1"/>
        <v>102960</v>
      </c>
    </row>
    <row r="46" s="127" customFormat="1" ht="18.75" customHeight="1" spans="2:7">
      <c r="B46" s="64" t="s">
        <v>2096</v>
      </c>
      <c r="C46" s="104" t="s">
        <v>1072</v>
      </c>
      <c r="D46" s="64" t="s">
        <v>225</v>
      </c>
      <c r="E46" s="102">
        <v>24</v>
      </c>
      <c r="F46" s="21">
        <v>4374</v>
      </c>
      <c r="G46" s="21">
        <f t="shared" si="1"/>
        <v>104976</v>
      </c>
    </row>
    <row r="47" s="127" customFormat="1" ht="18.75" customHeight="1" spans="2:7">
      <c r="B47" s="64" t="s">
        <v>2097</v>
      </c>
      <c r="C47" s="104" t="s">
        <v>1074</v>
      </c>
      <c r="D47" s="64" t="s">
        <v>225</v>
      </c>
      <c r="E47" s="102">
        <v>24</v>
      </c>
      <c r="F47" s="21">
        <v>4458</v>
      </c>
      <c r="G47" s="21">
        <f t="shared" si="1"/>
        <v>106992</v>
      </c>
    </row>
    <row r="48" s="127" customFormat="1" ht="18.75" customHeight="1" spans="2:7">
      <c r="B48" s="64" t="s">
        <v>2098</v>
      </c>
      <c r="C48" s="104" t="s">
        <v>1076</v>
      </c>
      <c r="D48" s="64" t="s">
        <v>225</v>
      </c>
      <c r="E48" s="102">
        <v>768</v>
      </c>
      <c r="F48" s="21">
        <v>4542</v>
      </c>
      <c r="G48" s="21">
        <f t="shared" si="1"/>
        <v>3488256</v>
      </c>
    </row>
    <row r="49" s="127" customFormat="1" ht="18.75" customHeight="1" spans="2:7">
      <c r="B49" s="64" t="s">
        <v>2099</v>
      </c>
      <c r="C49" s="104" t="s">
        <v>1078</v>
      </c>
      <c r="D49" s="64" t="s">
        <v>225</v>
      </c>
      <c r="E49" s="102">
        <v>670</v>
      </c>
      <c r="F49" s="21">
        <v>4627</v>
      </c>
      <c r="G49" s="21">
        <f t="shared" si="1"/>
        <v>3100090</v>
      </c>
    </row>
    <row r="50" s="127" customFormat="1" ht="18.75" customHeight="1" spans="2:7">
      <c r="B50" s="64" t="s">
        <v>2100</v>
      </c>
      <c r="C50" s="104" t="s">
        <v>1080</v>
      </c>
      <c r="D50" s="64" t="s">
        <v>225</v>
      </c>
      <c r="E50" s="102">
        <v>530</v>
      </c>
      <c r="F50" s="21">
        <v>4711</v>
      </c>
      <c r="G50" s="21">
        <f t="shared" si="1"/>
        <v>2496830</v>
      </c>
    </row>
    <row r="51" s="127" customFormat="1" ht="18.75" customHeight="1" spans="2:7">
      <c r="B51" s="64" t="s">
        <v>2101</v>
      </c>
      <c r="C51" s="104" t="s">
        <v>1082</v>
      </c>
      <c r="D51" s="64" t="s">
        <v>225</v>
      </c>
      <c r="E51" s="102">
        <v>530</v>
      </c>
      <c r="F51" s="21">
        <v>4795</v>
      </c>
      <c r="G51" s="21">
        <f t="shared" si="1"/>
        <v>2541350</v>
      </c>
    </row>
    <row r="52" s="127" customFormat="1" ht="18.75" customHeight="1" spans="2:7">
      <c r="B52" s="64" t="s">
        <v>2102</v>
      </c>
      <c r="C52" s="104" t="s">
        <v>1084</v>
      </c>
      <c r="D52" s="64" t="s">
        <v>225</v>
      </c>
      <c r="E52" s="102">
        <v>257</v>
      </c>
      <c r="F52" s="21">
        <v>4879</v>
      </c>
      <c r="G52" s="21">
        <f t="shared" si="1"/>
        <v>1253903</v>
      </c>
    </row>
    <row r="53" s="127" customFormat="1" ht="18.75" customHeight="1" spans="2:7">
      <c r="B53" s="64"/>
      <c r="C53" s="65"/>
      <c r="D53" s="64"/>
      <c r="E53" s="102"/>
      <c r="F53" s="21"/>
      <c r="G53" s="21"/>
    </row>
    <row r="54" s="127" customFormat="1" ht="41.25" customHeight="1" spans="2:8">
      <c r="B54" s="64" t="s">
        <v>2103</v>
      </c>
      <c r="C54" s="65" t="s">
        <v>2104</v>
      </c>
      <c r="D54" s="64"/>
      <c r="E54" s="102"/>
      <c r="F54" s="21"/>
      <c r="G54" s="21"/>
      <c r="H54" s="140" t="s">
        <v>579</v>
      </c>
    </row>
    <row r="55" s="127" customFormat="1" ht="7.5" customHeight="1" spans="2:7">
      <c r="B55" s="64"/>
      <c r="C55" s="65"/>
      <c r="D55" s="64"/>
      <c r="E55" s="102"/>
      <c r="F55" s="21"/>
      <c r="G55" s="21"/>
    </row>
    <row r="56" s="127" customFormat="1" ht="18.75" customHeight="1" spans="2:7">
      <c r="B56" s="64" t="s">
        <v>2105</v>
      </c>
      <c r="C56" s="104" t="s">
        <v>1066</v>
      </c>
      <c r="D56" s="64" t="s">
        <v>225</v>
      </c>
      <c r="E56" s="102">
        <v>89</v>
      </c>
      <c r="F56" s="21">
        <v>4123</v>
      </c>
      <c r="G56" s="21">
        <f t="shared" ref="G56:G66" si="2">E56*F56</f>
        <v>366947</v>
      </c>
    </row>
    <row r="57" s="127" customFormat="1" ht="18.75" customHeight="1" spans="2:7">
      <c r="B57" s="64" t="s">
        <v>2106</v>
      </c>
      <c r="C57" s="104" t="s">
        <v>1162</v>
      </c>
      <c r="D57" s="64" t="s">
        <v>225</v>
      </c>
      <c r="E57" s="102">
        <v>10</v>
      </c>
      <c r="F57" s="21">
        <v>4123</v>
      </c>
      <c r="G57" s="21">
        <f t="shared" si="2"/>
        <v>41230</v>
      </c>
    </row>
    <row r="58" s="127" customFormat="1" ht="18.75" customHeight="1" spans="2:7">
      <c r="B58" s="64" t="s">
        <v>2107</v>
      </c>
      <c r="C58" s="104" t="s">
        <v>1068</v>
      </c>
      <c r="D58" s="64" t="s">
        <v>225</v>
      </c>
      <c r="E58" s="102">
        <v>79</v>
      </c>
      <c r="F58" s="21">
        <v>4123</v>
      </c>
      <c r="G58" s="21">
        <f t="shared" si="2"/>
        <v>325717</v>
      </c>
    </row>
    <row r="59" s="127" customFormat="1" ht="18.75" customHeight="1" spans="2:7">
      <c r="B59" s="64" t="s">
        <v>2108</v>
      </c>
      <c r="C59" s="104" t="s">
        <v>1070</v>
      </c>
      <c r="D59" s="64" t="s">
        <v>225</v>
      </c>
      <c r="E59" s="102">
        <v>161</v>
      </c>
      <c r="F59" s="21">
        <v>4205</v>
      </c>
      <c r="G59" s="21">
        <f t="shared" si="2"/>
        <v>677005</v>
      </c>
    </row>
    <row r="60" s="127" customFormat="1" ht="18.75" customHeight="1" spans="2:7">
      <c r="B60" s="64" t="s">
        <v>2109</v>
      </c>
      <c r="C60" s="104" t="s">
        <v>1072</v>
      </c>
      <c r="D60" s="64" t="s">
        <v>225</v>
      </c>
      <c r="E60" s="102">
        <v>132</v>
      </c>
      <c r="F60" s="21">
        <v>4288</v>
      </c>
      <c r="G60" s="21">
        <f t="shared" si="2"/>
        <v>566016</v>
      </c>
    </row>
    <row r="61" s="127" customFormat="1" ht="18.75" customHeight="1" spans="2:7">
      <c r="B61" s="64" t="s">
        <v>2110</v>
      </c>
      <c r="C61" s="104" t="s">
        <v>1074</v>
      </c>
      <c r="D61" s="64" t="s">
        <v>225</v>
      </c>
      <c r="E61" s="102">
        <v>233</v>
      </c>
      <c r="F61" s="21">
        <v>4370</v>
      </c>
      <c r="G61" s="21">
        <f t="shared" si="2"/>
        <v>1018210</v>
      </c>
    </row>
    <row r="62" s="127" customFormat="1" ht="18.75" customHeight="1" spans="2:7">
      <c r="B62" s="64" t="s">
        <v>2111</v>
      </c>
      <c r="C62" s="104" t="s">
        <v>1076</v>
      </c>
      <c r="D62" s="64" t="s">
        <v>225</v>
      </c>
      <c r="E62" s="102">
        <v>396</v>
      </c>
      <c r="F62" s="21">
        <v>4453</v>
      </c>
      <c r="G62" s="21">
        <f t="shared" si="2"/>
        <v>1763388</v>
      </c>
    </row>
    <row r="63" s="127" customFormat="1" ht="18.75" customHeight="1" spans="2:7">
      <c r="B63" s="64" t="s">
        <v>2112</v>
      </c>
      <c r="C63" s="104" t="s">
        <v>1078</v>
      </c>
      <c r="D63" s="64" t="s">
        <v>225</v>
      </c>
      <c r="E63" s="102">
        <v>103</v>
      </c>
      <c r="F63" s="21">
        <v>4535</v>
      </c>
      <c r="G63" s="21">
        <f t="shared" si="2"/>
        <v>467105</v>
      </c>
    </row>
    <row r="64" s="127" customFormat="1" ht="18.75" customHeight="1" spans="2:7">
      <c r="B64" s="64" t="s">
        <v>2113</v>
      </c>
      <c r="C64" s="104" t="s">
        <v>1080</v>
      </c>
      <c r="D64" s="64" t="s">
        <v>225</v>
      </c>
      <c r="E64" s="102">
        <v>84</v>
      </c>
      <c r="F64" s="21">
        <v>4618</v>
      </c>
      <c r="G64" s="21">
        <f t="shared" si="2"/>
        <v>387912</v>
      </c>
    </row>
    <row r="65" s="127" customFormat="1" ht="18.75" customHeight="1" spans="2:7">
      <c r="B65" s="64" t="s">
        <v>2114</v>
      </c>
      <c r="C65" s="104" t="s">
        <v>1082</v>
      </c>
      <c r="D65" s="64" t="s">
        <v>225</v>
      </c>
      <c r="E65" s="102">
        <v>89</v>
      </c>
      <c r="F65" s="21">
        <v>4700</v>
      </c>
      <c r="G65" s="21">
        <f t="shared" si="2"/>
        <v>418300</v>
      </c>
    </row>
    <row r="66" s="127" customFormat="1" ht="18.75" customHeight="1" spans="2:7">
      <c r="B66" s="64" t="s">
        <v>2115</v>
      </c>
      <c r="C66" s="104" t="s">
        <v>1084</v>
      </c>
      <c r="D66" s="64" t="s">
        <v>225</v>
      </c>
      <c r="E66" s="102">
        <v>62</v>
      </c>
      <c r="F66" s="21">
        <v>4783</v>
      </c>
      <c r="G66" s="21">
        <f t="shared" si="2"/>
        <v>296546</v>
      </c>
    </row>
    <row r="67" s="127" customFormat="1" spans="2:7">
      <c r="B67" s="64"/>
      <c r="C67" s="104"/>
      <c r="D67" s="64"/>
      <c r="E67" s="102"/>
      <c r="F67" s="21"/>
      <c r="G67" s="21"/>
    </row>
    <row r="68" s="127" customFormat="1" ht="57.75" customHeight="1" spans="2:8">
      <c r="B68" s="64" t="s">
        <v>2116</v>
      </c>
      <c r="C68" s="142" t="s">
        <v>2117</v>
      </c>
      <c r="D68" s="64"/>
      <c r="E68" s="102"/>
      <c r="F68" s="21"/>
      <c r="G68" s="21"/>
      <c r="H68" s="140" t="s">
        <v>579</v>
      </c>
    </row>
    <row r="69" s="127" customFormat="1" spans="2:7">
      <c r="B69" s="64"/>
      <c r="C69" s="143"/>
      <c r="D69" s="64"/>
      <c r="E69" s="102"/>
      <c r="F69" s="21"/>
      <c r="G69" s="21"/>
    </row>
    <row r="70" s="127" customFormat="1" ht="18.75" customHeight="1" spans="2:7">
      <c r="B70" s="64" t="s">
        <v>2118</v>
      </c>
      <c r="C70" s="104" t="s">
        <v>1066</v>
      </c>
      <c r="D70" s="64" t="s">
        <v>225</v>
      </c>
      <c r="E70" s="102">
        <v>980</v>
      </c>
      <c r="F70" s="21">
        <v>4161</v>
      </c>
      <c r="G70" s="21">
        <f>E70*F70</f>
        <v>4077780</v>
      </c>
    </row>
    <row r="71" s="127" customFormat="1" ht="18.75" customHeight="1" spans="2:7">
      <c r="B71" s="64" t="s">
        <v>2119</v>
      </c>
      <c r="C71" s="104" t="s">
        <v>2120</v>
      </c>
      <c r="D71" s="64" t="s">
        <v>225</v>
      </c>
      <c r="E71" s="102">
        <v>115</v>
      </c>
      <c r="F71" s="21">
        <v>4161</v>
      </c>
      <c r="G71" s="21">
        <f>E71*F71</f>
        <v>478515</v>
      </c>
    </row>
    <row r="72" s="127" customFormat="1" ht="28.5" customHeight="1" spans="2:7">
      <c r="B72" s="79" t="s">
        <v>2121</v>
      </c>
      <c r="C72" s="144" t="s">
        <v>2122</v>
      </c>
      <c r="D72" s="79" t="s">
        <v>225</v>
      </c>
      <c r="E72" s="109">
        <v>418</v>
      </c>
      <c r="F72" s="34">
        <v>4161</v>
      </c>
      <c r="G72" s="34">
        <f>E72*F72</f>
        <v>1739298</v>
      </c>
    </row>
    <row r="73" s="127" customFormat="1" ht="13.5" customHeight="1" spans="2:7">
      <c r="B73" s="57"/>
      <c r="C73" s="145"/>
      <c r="D73" s="57"/>
      <c r="E73" s="146"/>
      <c r="F73" s="17"/>
      <c r="G73" s="17"/>
    </row>
    <row r="74" s="127" customFormat="1" ht="81.75" customHeight="1" spans="2:8">
      <c r="B74" s="64" t="s">
        <v>2123</v>
      </c>
      <c r="C74" s="147" t="s">
        <v>2124</v>
      </c>
      <c r="D74" s="64"/>
      <c r="E74" s="102"/>
      <c r="F74" s="21"/>
      <c r="G74" s="21"/>
      <c r="H74" s="140" t="s">
        <v>579</v>
      </c>
    </row>
    <row r="75" s="127" customFormat="1" ht="9" customHeight="1" spans="2:7">
      <c r="B75" s="64"/>
      <c r="C75" s="143"/>
      <c r="D75" s="64"/>
      <c r="E75" s="102"/>
      <c r="F75" s="21"/>
      <c r="G75" s="21"/>
    </row>
    <row r="76" s="127" customFormat="1" ht="18.75" customHeight="1" spans="2:7">
      <c r="B76" s="64" t="s">
        <v>2125</v>
      </c>
      <c r="C76" s="104" t="s">
        <v>1068</v>
      </c>
      <c r="D76" s="64" t="s">
        <v>225</v>
      </c>
      <c r="E76" s="102">
        <v>1799</v>
      </c>
      <c r="F76" s="21">
        <v>4268</v>
      </c>
      <c r="G76" s="21">
        <f>E76*F76</f>
        <v>7678132</v>
      </c>
    </row>
    <row r="77" s="127" customFormat="1" ht="18.75" customHeight="1" spans="2:7">
      <c r="B77" s="64" t="s">
        <v>2126</v>
      </c>
      <c r="C77" s="104" t="s">
        <v>1070</v>
      </c>
      <c r="D77" s="64" t="s">
        <v>225</v>
      </c>
      <c r="E77" s="102">
        <v>298</v>
      </c>
      <c r="F77" s="21">
        <v>4353</v>
      </c>
      <c r="G77" s="21">
        <f>E77*F77</f>
        <v>1297194</v>
      </c>
    </row>
    <row r="78" s="127" customFormat="1" ht="18.75" customHeight="1" spans="2:7">
      <c r="B78" s="64" t="s">
        <v>2127</v>
      </c>
      <c r="C78" s="104" t="s">
        <v>1072</v>
      </c>
      <c r="D78" s="64" t="s">
        <v>225</v>
      </c>
      <c r="E78" s="102">
        <v>1084</v>
      </c>
      <c r="F78" s="21">
        <v>4439</v>
      </c>
      <c r="G78" s="21">
        <f>E78*F78</f>
        <v>4811876</v>
      </c>
    </row>
    <row r="79" s="127" customFormat="1" ht="18.75" customHeight="1" spans="2:7">
      <c r="B79" s="64" t="s">
        <v>2128</v>
      </c>
      <c r="C79" s="104" t="s">
        <v>1076</v>
      </c>
      <c r="D79" s="64" t="s">
        <v>225</v>
      </c>
      <c r="E79" s="102">
        <v>353</v>
      </c>
      <c r="F79" s="21">
        <v>4609</v>
      </c>
      <c r="G79" s="21">
        <f>E79*F79</f>
        <v>1626977</v>
      </c>
    </row>
    <row r="80" s="127" customFormat="1" ht="18.75" customHeight="1" spans="2:7">
      <c r="B80" s="64" t="s">
        <v>2129</v>
      </c>
      <c r="C80" s="104" t="s">
        <v>1078</v>
      </c>
      <c r="D80" s="64" t="s">
        <v>225</v>
      </c>
      <c r="E80" s="102">
        <v>854</v>
      </c>
      <c r="F80" s="21">
        <v>4695</v>
      </c>
      <c r="G80" s="21">
        <f>E80*F80</f>
        <v>4009530</v>
      </c>
    </row>
    <row r="81" s="127" customFormat="1" ht="18.75" customHeight="1" spans="2:7">
      <c r="B81" s="64"/>
      <c r="C81" s="104"/>
      <c r="D81" s="64"/>
      <c r="E81" s="102"/>
      <c r="F81" s="21"/>
      <c r="G81" s="21"/>
    </row>
    <row r="82" s="127" customFormat="1" ht="18.75" customHeight="1" spans="2:7">
      <c r="B82" s="64" t="s">
        <v>2130</v>
      </c>
      <c r="C82" s="143" t="s">
        <v>2131</v>
      </c>
      <c r="D82" s="64"/>
      <c r="E82" s="102"/>
      <c r="F82" s="21"/>
      <c r="G82" s="21"/>
    </row>
    <row r="83" s="127" customFormat="1" ht="18.75" customHeight="1" spans="2:7">
      <c r="B83" s="64"/>
      <c r="C83" s="143"/>
      <c r="D83" s="64"/>
      <c r="E83" s="102"/>
      <c r="F83" s="21"/>
      <c r="G83" s="21"/>
    </row>
    <row r="84" s="127" customFormat="1" ht="18.75" customHeight="1" spans="2:7">
      <c r="B84" s="64" t="s">
        <v>2132</v>
      </c>
      <c r="C84" s="104" t="s">
        <v>1068</v>
      </c>
      <c r="D84" s="64" t="s">
        <v>225</v>
      </c>
      <c r="E84" s="102">
        <v>203</v>
      </c>
      <c r="F84" s="21">
        <v>5510</v>
      </c>
      <c r="G84" s="21">
        <f>E84*F84</f>
        <v>1118530</v>
      </c>
    </row>
    <row r="85" s="127" customFormat="1" ht="18.75" customHeight="1" spans="2:7">
      <c r="B85" s="64" t="s">
        <v>2133</v>
      </c>
      <c r="C85" s="104" t="s">
        <v>1072</v>
      </c>
      <c r="D85" s="64" t="s">
        <v>225</v>
      </c>
      <c r="E85" s="102">
        <v>163</v>
      </c>
      <c r="F85" s="21">
        <v>5730</v>
      </c>
      <c r="G85" s="21">
        <f>E85*F85</f>
        <v>933990</v>
      </c>
    </row>
    <row r="86" s="127" customFormat="1" ht="18.75" customHeight="1" spans="2:7">
      <c r="B86" s="64" t="s">
        <v>2134</v>
      </c>
      <c r="C86" s="104" t="s">
        <v>1076</v>
      </c>
      <c r="D86" s="64" t="s">
        <v>225</v>
      </c>
      <c r="E86" s="102">
        <v>4</v>
      </c>
      <c r="F86" s="21">
        <v>5950</v>
      </c>
      <c r="G86" s="21">
        <f>E86*F86</f>
        <v>23800</v>
      </c>
    </row>
    <row r="87" s="127" customFormat="1" ht="18.75" customHeight="1" spans="2:7">
      <c r="B87" s="64" t="s">
        <v>2135</v>
      </c>
      <c r="C87" s="104" t="s">
        <v>1078</v>
      </c>
      <c r="D87" s="64" t="s">
        <v>225</v>
      </c>
      <c r="E87" s="102">
        <v>42</v>
      </c>
      <c r="F87" s="21">
        <v>6061</v>
      </c>
      <c r="G87" s="21">
        <f>E87*F87</f>
        <v>254562</v>
      </c>
    </row>
    <row r="88" s="127" customFormat="1" ht="18.75" customHeight="1" spans="2:7">
      <c r="B88" s="64"/>
      <c r="C88" s="104"/>
      <c r="D88" s="64"/>
      <c r="E88" s="102"/>
      <c r="F88" s="21"/>
      <c r="G88" s="21"/>
    </row>
    <row r="89" s="127" customFormat="1" ht="34.5" customHeight="1" spans="2:7">
      <c r="B89" s="64" t="s">
        <v>2136</v>
      </c>
      <c r="C89" s="143" t="s">
        <v>2137</v>
      </c>
      <c r="D89" s="64"/>
      <c r="E89" s="102"/>
      <c r="F89" s="21"/>
      <c r="G89" s="21"/>
    </row>
    <row r="90" s="127" customFormat="1" spans="2:7">
      <c r="B90" s="64"/>
      <c r="C90" s="143"/>
      <c r="D90" s="64"/>
      <c r="E90" s="102"/>
      <c r="F90" s="21"/>
      <c r="G90" s="21"/>
    </row>
    <row r="91" s="127" customFormat="1" ht="18.75" customHeight="1" spans="2:7">
      <c r="B91" s="64" t="s">
        <v>2138</v>
      </c>
      <c r="C91" s="104" t="s">
        <v>1068</v>
      </c>
      <c r="D91" s="64" t="s">
        <v>225</v>
      </c>
      <c r="E91" s="102">
        <v>12</v>
      </c>
      <c r="F91" s="21">
        <v>516</v>
      </c>
      <c r="G91" s="21">
        <f t="shared" ref="G91:G99" si="3">E91*F91</f>
        <v>6192</v>
      </c>
    </row>
    <row r="92" s="127" customFormat="1" ht="18.75" customHeight="1" spans="2:7">
      <c r="B92" s="64" t="s">
        <v>2139</v>
      </c>
      <c r="C92" s="104" t="s">
        <v>1070</v>
      </c>
      <c r="D92" s="64" t="s">
        <v>225</v>
      </c>
      <c r="E92" s="102">
        <v>27</v>
      </c>
      <c r="F92" s="21">
        <v>526</v>
      </c>
      <c r="G92" s="21">
        <f t="shared" si="3"/>
        <v>14202</v>
      </c>
    </row>
    <row r="93" s="127" customFormat="1" ht="18.75" customHeight="1" spans="2:7">
      <c r="B93" s="64" t="s">
        <v>2140</v>
      </c>
      <c r="C93" s="104" t="s">
        <v>1072</v>
      </c>
      <c r="D93" s="64" t="s">
        <v>225</v>
      </c>
      <c r="E93" s="102">
        <v>32</v>
      </c>
      <c r="F93" s="21">
        <v>537</v>
      </c>
      <c r="G93" s="21">
        <f t="shared" si="3"/>
        <v>17184</v>
      </c>
    </row>
    <row r="94" s="127" customFormat="1" ht="18.75" customHeight="1" spans="2:7">
      <c r="B94" s="64" t="s">
        <v>2141</v>
      </c>
      <c r="C94" s="104" t="s">
        <v>1074</v>
      </c>
      <c r="D94" s="64" t="s">
        <v>225</v>
      </c>
      <c r="E94" s="102">
        <v>48</v>
      </c>
      <c r="F94" s="21">
        <v>547</v>
      </c>
      <c r="G94" s="21">
        <f t="shared" si="3"/>
        <v>26256</v>
      </c>
    </row>
    <row r="95" s="127" customFormat="1" ht="18.75" customHeight="1" spans="2:7">
      <c r="B95" s="64" t="s">
        <v>2142</v>
      </c>
      <c r="C95" s="104" t="s">
        <v>1076</v>
      </c>
      <c r="D95" s="64" t="s">
        <v>225</v>
      </c>
      <c r="E95" s="102">
        <v>50</v>
      </c>
      <c r="F95" s="21">
        <v>557</v>
      </c>
      <c r="G95" s="21">
        <f t="shared" si="3"/>
        <v>27850</v>
      </c>
    </row>
    <row r="96" s="127" customFormat="1" ht="18.75" customHeight="1" spans="2:7">
      <c r="B96" s="64" t="s">
        <v>2143</v>
      </c>
      <c r="C96" s="104" t="s">
        <v>1078</v>
      </c>
      <c r="D96" s="64" t="s">
        <v>225</v>
      </c>
      <c r="E96" s="102">
        <v>17</v>
      </c>
      <c r="F96" s="21">
        <v>568</v>
      </c>
      <c r="G96" s="21">
        <f t="shared" si="3"/>
        <v>9656</v>
      </c>
    </row>
    <row r="97" s="127" customFormat="1" ht="18.75" customHeight="1" spans="2:7">
      <c r="B97" s="64" t="s">
        <v>2144</v>
      </c>
      <c r="C97" s="104" t="s">
        <v>1080</v>
      </c>
      <c r="D97" s="64" t="s">
        <v>225</v>
      </c>
      <c r="E97" s="102">
        <v>14</v>
      </c>
      <c r="F97" s="21">
        <v>578</v>
      </c>
      <c r="G97" s="21">
        <f t="shared" si="3"/>
        <v>8092</v>
      </c>
    </row>
    <row r="98" s="127" customFormat="1" ht="18.75" customHeight="1" spans="2:7">
      <c r="B98" s="64" t="s">
        <v>2145</v>
      </c>
      <c r="C98" s="104" t="s">
        <v>1082</v>
      </c>
      <c r="D98" s="64" t="s">
        <v>225</v>
      </c>
      <c r="E98" s="102">
        <v>14</v>
      </c>
      <c r="F98" s="21">
        <v>588</v>
      </c>
      <c r="G98" s="21">
        <f t="shared" si="3"/>
        <v>8232</v>
      </c>
    </row>
    <row r="99" s="127" customFormat="1" ht="18.75" customHeight="1" spans="2:7">
      <c r="B99" s="64" t="s">
        <v>2146</v>
      </c>
      <c r="C99" s="104" t="s">
        <v>1084</v>
      </c>
      <c r="D99" s="64" t="s">
        <v>225</v>
      </c>
      <c r="E99" s="102">
        <v>16</v>
      </c>
      <c r="F99" s="21">
        <v>599</v>
      </c>
      <c r="G99" s="21">
        <f t="shared" si="3"/>
        <v>9584</v>
      </c>
    </row>
    <row r="100" s="127" customFormat="1" spans="2:7">
      <c r="B100" s="64"/>
      <c r="C100" s="104"/>
      <c r="D100" s="64"/>
      <c r="E100" s="102"/>
      <c r="F100" s="21"/>
      <c r="G100" s="21"/>
    </row>
    <row r="101" s="127" customFormat="1" ht="44.25" customHeight="1" spans="2:7">
      <c r="B101" s="64" t="s">
        <v>2147</v>
      </c>
      <c r="C101" s="143" t="s">
        <v>2148</v>
      </c>
      <c r="D101" s="64"/>
      <c r="E101" s="102"/>
      <c r="F101" s="21"/>
      <c r="G101" s="21"/>
    </row>
    <row r="102" s="127" customFormat="1" ht="6.75" customHeight="1" spans="2:7">
      <c r="B102" s="64"/>
      <c r="C102" s="143"/>
      <c r="D102" s="64"/>
      <c r="E102" s="102"/>
      <c r="F102" s="21"/>
      <c r="G102" s="21"/>
    </row>
    <row r="103" s="127" customFormat="1" ht="18.75" customHeight="1" spans="2:8">
      <c r="B103" s="64" t="s">
        <v>2149</v>
      </c>
      <c r="C103" s="104" t="s">
        <v>2150</v>
      </c>
      <c r="D103" s="64" t="s">
        <v>225</v>
      </c>
      <c r="E103" s="102">
        <v>498.389</v>
      </c>
      <c r="F103" s="148">
        <v>614</v>
      </c>
      <c r="G103" s="21">
        <f>E103*F103</f>
        <v>306010.846</v>
      </c>
      <c r="H103" s="149"/>
    </row>
    <row r="104" s="127" customFormat="1" spans="2:7">
      <c r="B104" s="64"/>
      <c r="C104" s="104"/>
      <c r="D104" s="64"/>
      <c r="E104" s="102"/>
      <c r="F104" s="21"/>
      <c r="G104" s="21"/>
    </row>
    <row r="105" s="127" customFormat="1" ht="24.75" customHeight="1" spans="2:7">
      <c r="B105" s="150" t="s">
        <v>2151</v>
      </c>
      <c r="C105" s="151" t="s">
        <v>2152</v>
      </c>
      <c r="D105" s="64"/>
      <c r="E105" s="102"/>
      <c r="F105" s="21"/>
      <c r="G105" s="21"/>
    </row>
    <row r="106" ht="9" customHeight="1" spans="2:7">
      <c r="B106" s="64"/>
      <c r="C106" s="152"/>
      <c r="D106" s="64"/>
      <c r="E106" s="102"/>
      <c r="F106" s="21"/>
      <c r="G106" s="21"/>
    </row>
    <row r="107" s="128" customFormat="1" ht="46.5" customHeight="1" spans="2:7">
      <c r="B107" s="64" t="s">
        <v>2153</v>
      </c>
      <c r="C107" s="65" t="s">
        <v>2154</v>
      </c>
      <c r="D107" s="105"/>
      <c r="E107" s="102"/>
      <c r="F107" s="21"/>
      <c r="G107" s="21"/>
    </row>
    <row r="108" s="128" customFormat="1" ht="6" customHeight="1" spans="2:7">
      <c r="B108" s="105"/>
      <c r="C108" s="65"/>
      <c r="D108" s="105"/>
      <c r="E108" s="102"/>
      <c r="F108" s="21"/>
      <c r="G108" s="21"/>
    </row>
    <row r="109" s="128" customFormat="1" ht="18.75" customHeight="1" spans="2:11">
      <c r="B109" s="64" t="s">
        <v>2155</v>
      </c>
      <c r="C109" s="104" t="s">
        <v>1066</v>
      </c>
      <c r="D109" s="105" t="s">
        <v>225</v>
      </c>
      <c r="E109" s="102">
        <v>8577</v>
      </c>
      <c r="F109" s="21">
        <v>639</v>
      </c>
      <c r="G109" s="21">
        <f t="shared" ref="G109:G119" si="4">E109*F109</f>
        <v>5480703</v>
      </c>
      <c r="I109" s="154"/>
      <c r="J109" s="155"/>
      <c r="K109" s="155"/>
    </row>
    <row r="110" s="128" customFormat="1" ht="18.75" customHeight="1" spans="2:11">
      <c r="B110" s="64" t="s">
        <v>2156</v>
      </c>
      <c r="C110" s="104" t="s">
        <v>1162</v>
      </c>
      <c r="D110" s="105" t="s">
        <v>225</v>
      </c>
      <c r="E110" s="102">
        <v>346</v>
      </c>
      <c r="F110" s="21">
        <v>639</v>
      </c>
      <c r="G110" s="21">
        <f t="shared" si="4"/>
        <v>221094</v>
      </c>
      <c r="I110" s="154"/>
      <c r="J110" s="155"/>
      <c r="K110" s="155"/>
    </row>
    <row r="111" s="128" customFormat="1" ht="18.75" customHeight="1" spans="2:7">
      <c r="B111" s="64" t="s">
        <v>2157</v>
      </c>
      <c r="C111" s="104" t="s">
        <v>1068</v>
      </c>
      <c r="D111" s="105" t="s">
        <v>225</v>
      </c>
      <c r="E111" s="102">
        <v>8114</v>
      </c>
      <c r="F111" s="21">
        <v>639</v>
      </c>
      <c r="G111" s="21">
        <f t="shared" si="4"/>
        <v>5184846</v>
      </c>
    </row>
    <row r="112" s="128" customFormat="1" ht="18.75" customHeight="1" spans="2:7">
      <c r="B112" s="64" t="s">
        <v>2158</v>
      </c>
      <c r="C112" s="104" t="s">
        <v>1070</v>
      </c>
      <c r="D112" s="105" t="s">
        <v>225</v>
      </c>
      <c r="E112" s="102">
        <v>4750</v>
      </c>
      <c r="F112" s="21">
        <v>652</v>
      </c>
      <c r="G112" s="21">
        <f t="shared" si="4"/>
        <v>3097000</v>
      </c>
    </row>
    <row r="113" s="128" customFormat="1" ht="24.75" customHeight="1" spans="2:7">
      <c r="B113" s="79" t="s">
        <v>2159</v>
      </c>
      <c r="C113" s="144" t="s">
        <v>1072</v>
      </c>
      <c r="D113" s="108" t="s">
        <v>225</v>
      </c>
      <c r="E113" s="109">
        <v>5880</v>
      </c>
      <c r="F113" s="34">
        <v>665</v>
      </c>
      <c r="G113" s="34">
        <f t="shared" si="4"/>
        <v>3910200</v>
      </c>
    </row>
    <row r="114" s="129" customFormat="1" ht="30" customHeight="1" spans="2:7">
      <c r="B114" s="74" t="s">
        <v>2160</v>
      </c>
      <c r="C114" s="111" t="s">
        <v>1074</v>
      </c>
      <c r="D114" s="112" t="s">
        <v>225</v>
      </c>
      <c r="E114" s="113">
        <v>3707</v>
      </c>
      <c r="F114" s="76">
        <v>677</v>
      </c>
      <c r="G114" s="76">
        <f t="shared" si="4"/>
        <v>2509639</v>
      </c>
    </row>
    <row r="115" s="128" customFormat="1" ht="18.75" customHeight="1" spans="2:7">
      <c r="B115" s="64" t="s">
        <v>2161</v>
      </c>
      <c r="C115" s="104" t="s">
        <v>1076</v>
      </c>
      <c r="D115" s="105" t="s">
        <v>225</v>
      </c>
      <c r="E115" s="102">
        <v>3082</v>
      </c>
      <c r="F115" s="21">
        <v>690</v>
      </c>
      <c r="G115" s="21">
        <f t="shared" si="4"/>
        <v>2126580</v>
      </c>
    </row>
    <row r="116" s="128" customFormat="1" ht="18.75" customHeight="1" spans="2:7">
      <c r="B116" s="64" t="s">
        <v>2162</v>
      </c>
      <c r="C116" s="104" t="s">
        <v>1078</v>
      </c>
      <c r="D116" s="105" t="s">
        <v>225</v>
      </c>
      <c r="E116" s="102">
        <v>3383</v>
      </c>
      <c r="F116" s="21">
        <v>703</v>
      </c>
      <c r="G116" s="21">
        <f t="shared" si="4"/>
        <v>2378249</v>
      </c>
    </row>
    <row r="117" s="128" customFormat="1" ht="18.75" customHeight="1" spans="2:7">
      <c r="B117" s="64" t="s">
        <v>2163</v>
      </c>
      <c r="C117" s="104" t="s">
        <v>1080</v>
      </c>
      <c r="D117" s="105" t="s">
        <v>225</v>
      </c>
      <c r="E117" s="102">
        <v>2154</v>
      </c>
      <c r="F117" s="21">
        <v>716</v>
      </c>
      <c r="G117" s="21">
        <f t="shared" si="4"/>
        <v>1542264</v>
      </c>
    </row>
    <row r="118" s="128" customFormat="1" ht="18.75" customHeight="1" spans="2:7">
      <c r="B118" s="64" t="s">
        <v>2164</v>
      </c>
      <c r="C118" s="104" t="s">
        <v>1082</v>
      </c>
      <c r="D118" s="105" t="s">
        <v>225</v>
      </c>
      <c r="E118" s="102">
        <v>2006</v>
      </c>
      <c r="F118" s="21">
        <v>728</v>
      </c>
      <c r="G118" s="21">
        <f t="shared" si="4"/>
        <v>1460368</v>
      </c>
    </row>
    <row r="119" s="128" customFormat="1" ht="18.75" customHeight="1" spans="2:7">
      <c r="B119" s="64" t="s">
        <v>2165</v>
      </c>
      <c r="C119" s="104" t="s">
        <v>1084</v>
      </c>
      <c r="D119" s="105" t="s">
        <v>225</v>
      </c>
      <c r="E119" s="102">
        <v>1937</v>
      </c>
      <c r="F119" s="21">
        <v>741</v>
      </c>
      <c r="G119" s="21">
        <f t="shared" si="4"/>
        <v>1435317</v>
      </c>
    </row>
    <row r="120" s="128" customFormat="1" spans="2:7">
      <c r="B120" s="105"/>
      <c r="C120" s="104"/>
      <c r="D120" s="105"/>
      <c r="E120" s="102"/>
      <c r="F120" s="21"/>
      <c r="G120" s="21"/>
    </row>
    <row r="121" s="128" customFormat="1" ht="20.25" customHeight="1" spans="2:7">
      <c r="B121" s="105"/>
      <c r="C121" s="80" t="s">
        <v>925</v>
      </c>
      <c r="D121" s="64"/>
      <c r="E121" s="102"/>
      <c r="F121" s="21"/>
      <c r="G121" s="21"/>
    </row>
    <row r="122" s="128" customFormat="1" ht="22.5" customHeight="1" spans="2:7">
      <c r="B122" s="64" t="s">
        <v>2166</v>
      </c>
      <c r="C122" s="26" t="s">
        <v>927</v>
      </c>
      <c r="D122" s="59" t="s">
        <v>225</v>
      </c>
      <c r="E122" s="102">
        <v>82</v>
      </c>
      <c r="F122" s="21">
        <v>639</v>
      </c>
      <c r="G122" s="21">
        <f>E122*F122</f>
        <v>52398</v>
      </c>
    </row>
    <row r="123" s="128" customFormat="1" ht="18" customHeight="1" spans="2:7">
      <c r="B123" s="105"/>
      <c r="C123" s="26"/>
      <c r="D123" s="59"/>
      <c r="E123" s="102"/>
      <c r="F123" s="21"/>
      <c r="G123" s="21"/>
    </row>
    <row r="124" s="128" customFormat="1" ht="21" customHeight="1" spans="2:7">
      <c r="B124" s="64" t="s">
        <v>2167</v>
      </c>
      <c r="C124" s="26" t="s">
        <v>929</v>
      </c>
      <c r="D124" s="59" t="s">
        <v>225</v>
      </c>
      <c r="E124" s="102">
        <v>161</v>
      </c>
      <c r="F124" s="21">
        <v>756</v>
      </c>
      <c r="G124" s="21">
        <f>E124*F124</f>
        <v>121716</v>
      </c>
    </row>
    <row r="125" s="128" customFormat="1" ht="15.75" customHeight="1" spans="2:7">
      <c r="B125" s="105"/>
      <c r="C125" s="104"/>
      <c r="D125" s="105"/>
      <c r="E125" s="102"/>
      <c r="F125" s="21"/>
      <c r="G125" s="21"/>
    </row>
    <row r="126" s="128" customFormat="1" ht="21" customHeight="1" spans="2:7">
      <c r="B126" s="64" t="s">
        <v>2168</v>
      </c>
      <c r="C126" s="153" t="s">
        <v>2169</v>
      </c>
      <c r="D126" s="105"/>
      <c r="E126" s="102"/>
      <c r="F126" s="21"/>
      <c r="G126" s="21"/>
    </row>
    <row r="127" s="128" customFormat="1" ht="50.25" customHeight="1" spans="2:7">
      <c r="B127" s="64" t="s">
        <v>2168</v>
      </c>
      <c r="C127" s="115" t="s">
        <v>2170</v>
      </c>
      <c r="D127" s="105"/>
      <c r="E127" s="102"/>
      <c r="F127" s="21"/>
      <c r="G127" s="21"/>
    </row>
    <row r="128" s="128" customFormat="1" ht="17.25" customHeight="1" spans="2:7">
      <c r="B128" s="64" t="s">
        <v>2171</v>
      </c>
      <c r="C128" s="104" t="s">
        <v>2172</v>
      </c>
      <c r="D128" s="105" t="s">
        <v>225</v>
      </c>
      <c r="E128" s="102">
        <v>4800</v>
      </c>
      <c r="F128" s="21">
        <v>691</v>
      </c>
      <c r="G128" s="21">
        <f>E128*F128</f>
        <v>3316800</v>
      </c>
    </row>
    <row r="129" s="128" customFormat="1" ht="17.25" customHeight="1" spans="2:7">
      <c r="B129" s="105"/>
      <c r="C129" s="104"/>
      <c r="D129" s="105"/>
      <c r="E129" s="102"/>
      <c r="F129" s="21"/>
      <c r="G129" s="21"/>
    </row>
    <row r="130" s="128" customFormat="1" ht="18.75" customHeight="1" spans="2:7">
      <c r="B130" s="156" t="s">
        <v>2173</v>
      </c>
      <c r="C130" s="151" t="s">
        <v>2174</v>
      </c>
      <c r="D130" s="105"/>
      <c r="E130" s="102"/>
      <c r="F130" s="21"/>
      <c r="G130" s="21"/>
    </row>
    <row r="131" s="128" customFormat="1" ht="9.75" customHeight="1" spans="2:7">
      <c r="B131" s="105"/>
      <c r="C131" s="153"/>
      <c r="D131" s="105"/>
      <c r="E131" s="102"/>
      <c r="F131" s="21"/>
      <c r="G131" s="21"/>
    </row>
    <row r="132" s="128" customFormat="1" ht="41.25" customHeight="1" spans="2:7">
      <c r="B132" s="64" t="s">
        <v>2175</v>
      </c>
      <c r="C132" s="115" t="s">
        <v>2176</v>
      </c>
      <c r="D132" s="105"/>
      <c r="E132" s="102"/>
      <c r="F132" s="21"/>
      <c r="G132" s="21"/>
    </row>
    <row r="133" s="128" customFormat="1" ht="7.5" customHeight="1" spans="2:7">
      <c r="B133" s="64"/>
      <c r="C133" s="115"/>
      <c r="D133" s="105"/>
      <c r="E133" s="102"/>
      <c r="F133" s="21"/>
      <c r="G133" s="21"/>
    </row>
    <row r="134" s="128" customFormat="1" ht="18.75" customHeight="1" spans="2:7">
      <c r="B134" s="64" t="s">
        <v>2177</v>
      </c>
      <c r="C134" s="104" t="s">
        <v>1066</v>
      </c>
      <c r="D134" s="105" t="s">
        <v>225</v>
      </c>
      <c r="E134" s="102">
        <v>2002</v>
      </c>
      <c r="F134" s="21">
        <v>189</v>
      </c>
      <c r="G134" s="21">
        <f t="shared" ref="G134:G144" si="5">E134*F134</f>
        <v>378378</v>
      </c>
    </row>
    <row r="135" s="128" customFormat="1" ht="18.75" customHeight="1" spans="2:7">
      <c r="B135" s="64" t="s">
        <v>2178</v>
      </c>
      <c r="C135" s="104" t="s">
        <v>1162</v>
      </c>
      <c r="D135" s="105" t="s">
        <v>225</v>
      </c>
      <c r="E135" s="102">
        <v>427</v>
      </c>
      <c r="F135" s="21">
        <v>189</v>
      </c>
      <c r="G135" s="21">
        <f t="shared" si="5"/>
        <v>80703</v>
      </c>
    </row>
    <row r="136" s="128" customFormat="1" ht="18.75" customHeight="1" spans="2:7">
      <c r="B136" s="64" t="s">
        <v>2179</v>
      </c>
      <c r="C136" s="104" t="s">
        <v>1068</v>
      </c>
      <c r="D136" s="105" t="s">
        <v>225</v>
      </c>
      <c r="E136" s="102">
        <v>560</v>
      </c>
      <c r="F136" s="21">
        <v>189</v>
      </c>
      <c r="G136" s="21">
        <f t="shared" si="5"/>
        <v>105840</v>
      </c>
    </row>
    <row r="137" s="128" customFormat="1" ht="18.75" customHeight="1" spans="2:7">
      <c r="B137" s="64" t="s">
        <v>2180</v>
      </c>
      <c r="C137" s="104" t="s">
        <v>1070</v>
      </c>
      <c r="D137" s="105" t="s">
        <v>225</v>
      </c>
      <c r="E137" s="102">
        <v>1718</v>
      </c>
      <c r="F137" s="21">
        <v>193</v>
      </c>
      <c r="G137" s="21">
        <f t="shared" si="5"/>
        <v>331574</v>
      </c>
    </row>
    <row r="138" s="128" customFormat="1" ht="18.75" customHeight="1" spans="2:7">
      <c r="B138" s="64" t="s">
        <v>2181</v>
      </c>
      <c r="C138" s="104" t="s">
        <v>1072</v>
      </c>
      <c r="D138" s="105" t="s">
        <v>225</v>
      </c>
      <c r="E138" s="102">
        <v>1186</v>
      </c>
      <c r="F138" s="21">
        <v>197</v>
      </c>
      <c r="G138" s="21">
        <f t="shared" si="5"/>
        <v>233642</v>
      </c>
    </row>
    <row r="139" s="128" customFormat="1" ht="18.75" customHeight="1" spans="2:7">
      <c r="B139" s="64" t="s">
        <v>2182</v>
      </c>
      <c r="C139" s="104" t="s">
        <v>1074</v>
      </c>
      <c r="D139" s="105" t="s">
        <v>225</v>
      </c>
      <c r="E139" s="102">
        <v>915</v>
      </c>
      <c r="F139" s="21">
        <v>200</v>
      </c>
      <c r="G139" s="21">
        <f t="shared" si="5"/>
        <v>183000</v>
      </c>
    </row>
    <row r="140" s="128" customFormat="1" ht="18.75" customHeight="1" spans="2:7">
      <c r="B140" s="64" t="s">
        <v>2183</v>
      </c>
      <c r="C140" s="104" t="s">
        <v>1076</v>
      </c>
      <c r="D140" s="105" t="s">
        <v>225</v>
      </c>
      <c r="E140" s="102">
        <v>741</v>
      </c>
      <c r="F140" s="21">
        <v>204</v>
      </c>
      <c r="G140" s="21">
        <f t="shared" si="5"/>
        <v>151164</v>
      </c>
    </row>
    <row r="141" s="128" customFormat="1" ht="18.75" customHeight="1" spans="2:7">
      <c r="B141" s="64" t="s">
        <v>2184</v>
      </c>
      <c r="C141" s="104" t="s">
        <v>1078</v>
      </c>
      <c r="D141" s="105" t="s">
        <v>225</v>
      </c>
      <c r="E141" s="102">
        <v>685</v>
      </c>
      <c r="F141" s="21">
        <v>208</v>
      </c>
      <c r="G141" s="21">
        <f t="shared" si="5"/>
        <v>142480</v>
      </c>
    </row>
    <row r="142" s="128" customFormat="1" ht="18.75" customHeight="1" spans="2:7">
      <c r="B142" s="64" t="s">
        <v>2185</v>
      </c>
      <c r="C142" s="104" t="s">
        <v>1080</v>
      </c>
      <c r="D142" s="105" t="s">
        <v>225</v>
      </c>
      <c r="E142" s="102">
        <v>506</v>
      </c>
      <c r="F142" s="21">
        <v>212</v>
      </c>
      <c r="G142" s="21">
        <f t="shared" si="5"/>
        <v>107272</v>
      </c>
    </row>
    <row r="143" s="128" customFormat="1" ht="18.75" customHeight="1" spans="2:7">
      <c r="B143" s="64" t="s">
        <v>2186</v>
      </c>
      <c r="C143" s="104" t="s">
        <v>1082</v>
      </c>
      <c r="D143" s="105" t="s">
        <v>225</v>
      </c>
      <c r="E143" s="102">
        <v>506</v>
      </c>
      <c r="F143" s="21">
        <v>215</v>
      </c>
      <c r="G143" s="21">
        <f t="shared" si="5"/>
        <v>108790</v>
      </c>
    </row>
    <row r="144" s="128" customFormat="1" ht="18.75" customHeight="1" spans="2:7">
      <c r="B144" s="64" t="s">
        <v>2187</v>
      </c>
      <c r="C144" s="104" t="s">
        <v>1084</v>
      </c>
      <c r="D144" s="105" t="s">
        <v>225</v>
      </c>
      <c r="E144" s="102">
        <v>284</v>
      </c>
      <c r="F144" s="21">
        <v>219</v>
      </c>
      <c r="G144" s="21">
        <f t="shared" si="5"/>
        <v>62196</v>
      </c>
    </row>
    <row r="145" s="128" customFormat="1" ht="15.75" customHeight="1" spans="2:7">
      <c r="B145" s="105"/>
      <c r="C145" s="104"/>
      <c r="D145" s="105"/>
      <c r="E145" s="102"/>
      <c r="F145" s="21"/>
      <c r="G145" s="21"/>
    </row>
    <row r="146" s="128" customFormat="1" ht="18.75" customHeight="1" spans="2:7">
      <c r="B146" s="105"/>
      <c r="C146" s="80" t="s">
        <v>925</v>
      </c>
      <c r="D146" s="64"/>
      <c r="E146" s="102"/>
      <c r="F146" s="21"/>
      <c r="G146" s="21"/>
    </row>
    <row r="147" s="128" customFormat="1" ht="30" customHeight="1" spans="2:7">
      <c r="B147" s="64" t="s">
        <v>2188</v>
      </c>
      <c r="C147" s="26" t="s">
        <v>927</v>
      </c>
      <c r="D147" s="59" t="s">
        <v>225</v>
      </c>
      <c r="E147" s="102">
        <v>71</v>
      </c>
      <c r="F147" s="21">
        <v>189</v>
      </c>
      <c r="G147" s="21">
        <f>E147*F147</f>
        <v>13419</v>
      </c>
    </row>
    <row r="148" s="128" customFormat="1" ht="23.25" customHeight="1" spans="2:7">
      <c r="B148" s="64" t="s">
        <v>2189</v>
      </c>
      <c r="C148" s="26" t="s">
        <v>929</v>
      </c>
      <c r="D148" s="59" t="s">
        <v>225</v>
      </c>
      <c r="E148" s="102">
        <v>207</v>
      </c>
      <c r="F148" s="21">
        <v>224</v>
      </c>
      <c r="G148" s="21">
        <f>E148*F148</f>
        <v>46368</v>
      </c>
    </row>
    <row r="149" s="128" customFormat="1" spans="2:7">
      <c r="B149" s="105"/>
      <c r="C149" s="104"/>
      <c r="D149" s="105"/>
      <c r="E149" s="102"/>
      <c r="F149" s="21"/>
      <c r="G149" s="21"/>
    </row>
    <row r="150" s="127" customFormat="1" ht="18.75" customHeight="1" spans="2:7">
      <c r="B150" s="97" t="s">
        <v>2190</v>
      </c>
      <c r="C150" s="664" t="s">
        <v>2191</v>
      </c>
      <c r="D150" s="64"/>
      <c r="E150" s="102"/>
      <c r="F150" s="21"/>
      <c r="G150" s="21"/>
    </row>
    <row r="151" ht="12.75" customHeight="1" spans="2:7">
      <c r="B151" s="64"/>
      <c r="C151" s="158"/>
      <c r="D151" s="64"/>
      <c r="E151" s="102"/>
      <c r="F151" s="21"/>
      <c r="G151" s="21"/>
    </row>
    <row r="152" s="128" customFormat="1" ht="119.25" customHeight="1" spans="2:7">
      <c r="B152" s="79" t="s">
        <v>2192</v>
      </c>
      <c r="C152" s="159" t="s">
        <v>2193</v>
      </c>
      <c r="D152" s="108"/>
      <c r="E152" s="109"/>
      <c r="F152" s="34"/>
      <c r="G152" s="34"/>
    </row>
    <row r="153" s="129" customFormat="1" ht="21.75" customHeight="1" spans="2:7">
      <c r="B153" s="74"/>
      <c r="C153" s="160" t="s">
        <v>2194</v>
      </c>
      <c r="D153" s="112"/>
      <c r="E153" s="113"/>
      <c r="F153" s="76"/>
      <c r="G153" s="76"/>
    </row>
    <row r="154" s="128" customFormat="1" ht="9.75" customHeight="1" spans="2:7">
      <c r="B154" s="64"/>
      <c r="C154" s="65"/>
      <c r="D154" s="105"/>
      <c r="E154" s="102"/>
      <c r="F154" s="21"/>
      <c r="G154" s="21"/>
    </row>
    <row r="155" s="128" customFormat="1" ht="18.75" customHeight="1" spans="2:7">
      <c r="B155" s="64" t="s">
        <v>2195</v>
      </c>
      <c r="C155" s="104" t="s">
        <v>1066</v>
      </c>
      <c r="D155" s="105" t="s">
        <v>225</v>
      </c>
      <c r="E155" s="102">
        <v>302</v>
      </c>
      <c r="F155" s="21">
        <v>3782</v>
      </c>
      <c r="G155" s="21">
        <f t="shared" ref="G155:G165" si="6">E155*F155</f>
        <v>1142164</v>
      </c>
    </row>
    <row r="156" s="128" customFormat="1" ht="18.75" customHeight="1" spans="2:7">
      <c r="B156" s="64" t="s">
        <v>2196</v>
      </c>
      <c r="C156" s="104" t="s">
        <v>1162</v>
      </c>
      <c r="D156" s="105" t="s">
        <v>225</v>
      </c>
      <c r="E156" s="102">
        <v>56</v>
      </c>
      <c r="F156" s="21">
        <v>3782</v>
      </c>
      <c r="G156" s="21">
        <f t="shared" si="6"/>
        <v>211792</v>
      </c>
    </row>
    <row r="157" s="128" customFormat="1" ht="18.75" customHeight="1" spans="2:7">
      <c r="B157" s="64" t="s">
        <v>2197</v>
      </c>
      <c r="C157" s="104" t="s">
        <v>1068</v>
      </c>
      <c r="D157" s="105" t="s">
        <v>225</v>
      </c>
      <c r="E157" s="102">
        <v>283</v>
      </c>
      <c r="F157" s="21">
        <v>3782</v>
      </c>
      <c r="G157" s="21">
        <f t="shared" si="6"/>
        <v>1070306</v>
      </c>
    </row>
    <row r="158" s="128" customFormat="1" ht="18.75" customHeight="1" spans="2:7">
      <c r="B158" s="64" t="s">
        <v>2198</v>
      </c>
      <c r="C158" s="104" t="s">
        <v>1070</v>
      </c>
      <c r="D158" s="105" t="s">
        <v>225</v>
      </c>
      <c r="E158" s="102">
        <v>520</v>
      </c>
      <c r="F158" s="21">
        <v>3858</v>
      </c>
      <c r="G158" s="21">
        <f t="shared" si="6"/>
        <v>2006160</v>
      </c>
    </row>
    <row r="159" s="128" customFormat="1" ht="18.75" customHeight="1" spans="2:7">
      <c r="B159" s="64" t="s">
        <v>2199</v>
      </c>
      <c r="C159" s="104" t="s">
        <v>1072</v>
      </c>
      <c r="D159" s="105" t="s">
        <v>225</v>
      </c>
      <c r="E159" s="102">
        <v>498</v>
      </c>
      <c r="F159" s="21">
        <v>3933</v>
      </c>
      <c r="G159" s="21">
        <f t="shared" si="6"/>
        <v>1958634</v>
      </c>
    </row>
    <row r="160" s="128" customFormat="1" ht="18.75" customHeight="1" spans="2:7">
      <c r="B160" s="64" t="s">
        <v>2200</v>
      </c>
      <c r="C160" s="104" t="s">
        <v>1074</v>
      </c>
      <c r="D160" s="105" t="s">
        <v>225</v>
      </c>
      <c r="E160" s="102">
        <v>780</v>
      </c>
      <c r="F160" s="21">
        <v>4009</v>
      </c>
      <c r="G160" s="21">
        <f t="shared" si="6"/>
        <v>3127020</v>
      </c>
    </row>
    <row r="161" s="128" customFormat="1" ht="18.75" customHeight="1" spans="2:7">
      <c r="B161" s="64" t="s">
        <v>2201</v>
      </c>
      <c r="C161" s="104" t="s">
        <v>1076</v>
      </c>
      <c r="D161" s="105" t="s">
        <v>225</v>
      </c>
      <c r="E161" s="102">
        <v>502</v>
      </c>
      <c r="F161" s="21">
        <v>4085</v>
      </c>
      <c r="G161" s="21">
        <f t="shared" si="6"/>
        <v>2050670</v>
      </c>
    </row>
    <row r="162" s="128" customFormat="1" ht="18.75" customHeight="1" spans="2:7">
      <c r="B162" s="64" t="s">
        <v>2202</v>
      </c>
      <c r="C162" s="104" t="s">
        <v>1078</v>
      </c>
      <c r="D162" s="105" t="s">
        <v>225</v>
      </c>
      <c r="E162" s="102">
        <v>390</v>
      </c>
      <c r="F162" s="21">
        <v>4160</v>
      </c>
      <c r="G162" s="21">
        <f t="shared" si="6"/>
        <v>1622400</v>
      </c>
    </row>
    <row r="163" s="128" customFormat="1" ht="18.75" customHeight="1" spans="2:7">
      <c r="B163" s="64" t="s">
        <v>2203</v>
      </c>
      <c r="C163" s="104" t="s">
        <v>1080</v>
      </c>
      <c r="D163" s="105" t="s">
        <v>225</v>
      </c>
      <c r="E163" s="102">
        <v>316</v>
      </c>
      <c r="F163" s="21">
        <v>4236</v>
      </c>
      <c r="G163" s="21">
        <f t="shared" si="6"/>
        <v>1338576</v>
      </c>
    </row>
    <row r="164" s="128" customFormat="1" ht="18.75" customHeight="1" spans="2:7">
      <c r="B164" s="64" t="s">
        <v>2204</v>
      </c>
      <c r="C164" s="104" t="s">
        <v>1082</v>
      </c>
      <c r="D164" s="105" t="s">
        <v>225</v>
      </c>
      <c r="E164" s="102">
        <v>339</v>
      </c>
      <c r="F164" s="21">
        <v>4311</v>
      </c>
      <c r="G164" s="21">
        <f t="shared" si="6"/>
        <v>1461429</v>
      </c>
    </row>
    <row r="165" s="128" customFormat="1" ht="18.75" customHeight="1" spans="2:7">
      <c r="B165" s="64" t="s">
        <v>2205</v>
      </c>
      <c r="C165" s="104" t="s">
        <v>1084</v>
      </c>
      <c r="D165" s="105" t="s">
        <v>225</v>
      </c>
      <c r="E165" s="102">
        <v>236</v>
      </c>
      <c r="F165" s="21">
        <v>4387</v>
      </c>
      <c r="G165" s="21">
        <f t="shared" si="6"/>
        <v>1035332</v>
      </c>
    </row>
    <row r="166" s="128" customFormat="1" ht="19.5" customHeight="1" spans="2:7">
      <c r="B166" s="105"/>
      <c r="C166" s="104"/>
      <c r="D166" s="105"/>
      <c r="E166" s="102"/>
      <c r="F166" s="21"/>
      <c r="G166" s="21"/>
    </row>
    <row r="167" s="128" customFormat="1" ht="44.25" customHeight="1" spans="2:7">
      <c r="B167" s="64" t="s">
        <v>2206</v>
      </c>
      <c r="C167" s="65" t="s">
        <v>2207</v>
      </c>
      <c r="D167" s="105"/>
      <c r="E167" s="102"/>
      <c r="F167" s="21"/>
      <c r="G167" s="21"/>
    </row>
    <row r="168" s="128" customFormat="1" ht="7.5" customHeight="1" spans="2:7">
      <c r="B168" s="105"/>
      <c r="C168" s="104"/>
      <c r="D168" s="105"/>
      <c r="E168" s="102"/>
      <c r="F168" s="21"/>
      <c r="G168" s="21"/>
    </row>
    <row r="169" s="128" customFormat="1" ht="18.75" customHeight="1" spans="2:7">
      <c r="B169" s="64" t="s">
        <v>2208</v>
      </c>
      <c r="C169" s="104" t="s">
        <v>1068</v>
      </c>
      <c r="D169" s="105" t="s">
        <v>225</v>
      </c>
      <c r="E169" s="102">
        <v>900</v>
      </c>
      <c r="F169" s="21">
        <v>3935</v>
      </c>
      <c r="G169" s="21">
        <f t="shared" ref="G169:G177" si="7">E169*F169</f>
        <v>3541500</v>
      </c>
    </row>
    <row r="170" s="128" customFormat="1" ht="18.75" customHeight="1" spans="2:7">
      <c r="B170" s="64" t="s">
        <v>2209</v>
      </c>
      <c r="C170" s="104" t="s">
        <v>1070</v>
      </c>
      <c r="D170" s="105" t="s">
        <v>225</v>
      </c>
      <c r="E170" s="102">
        <v>1092</v>
      </c>
      <c r="F170" s="21">
        <v>4014</v>
      </c>
      <c r="G170" s="21">
        <f t="shared" si="7"/>
        <v>4383288</v>
      </c>
    </row>
    <row r="171" s="128" customFormat="1" ht="18.75" customHeight="1" spans="2:7">
      <c r="B171" s="64" t="s">
        <v>2210</v>
      </c>
      <c r="C171" s="104" t="s">
        <v>1072</v>
      </c>
      <c r="D171" s="105" t="s">
        <v>225</v>
      </c>
      <c r="E171" s="102">
        <v>1439</v>
      </c>
      <c r="F171" s="21">
        <v>4092</v>
      </c>
      <c r="G171" s="21">
        <f t="shared" si="7"/>
        <v>5888388</v>
      </c>
    </row>
    <row r="172" s="128" customFormat="1" ht="18.75" customHeight="1" spans="2:7">
      <c r="B172" s="64" t="s">
        <v>2211</v>
      </c>
      <c r="C172" s="104" t="s">
        <v>1074</v>
      </c>
      <c r="D172" s="105" t="s">
        <v>225</v>
      </c>
      <c r="E172" s="102">
        <v>270</v>
      </c>
      <c r="F172" s="21">
        <v>4171</v>
      </c>
      <c r="G172" s="21">
        <f t="shared" si="7"/>
        <v>1126170</v>
      </c>
    </row>
    <row r="173" s="128" customFormat="1" ht="18.75" customHeight="1" spans="2:7">
      <c r="B173" s="64" t="s">
        <v>2212</v>
      </c>
      <c r="C173" s="104" t="s">
        <v>1076</v>
      </c>
      <c r="D173" s="105" t="s">
        <v>225</v>
      </c>
      <c r="E173" s="102">
        <v>972</v>
      </c>
      <c r="F173" s="21">
        <v>4250</v>
      </c>
      <c r="G173" s="21">
        <f t="shared" si="7"/>
        <v>4131000</v>
      </c>
    </row>
    <row r="174" s="128" customFormat="1" ht="18.75" customHeight="1" spans="2:7">
      <c r="B174" s="64" t="s">
        <v>2213</v>
      </c>
      <c r="C174" s="104" t="s">
        <v>1078</v>
      </c>
      <c r="D174" s="105" t="s">
        <v>225</v>
      </c>
      <c r="E174" s="102">
        <v>853</v>
      </c>
      <c r="F174" s="21">
        <v>4329</v>
      </c>
      <c r="G174" s="21">
        <f t="shared" si="7"/>
        <v>3692637</v>
      </c>
    </row>
    <row r="175" s="128" customFormat="1" ht="18.75" customHeight="1" spans="2:7">
      <c r="B175" s="64" t="s">
        <v>2214</v>
      </c>
      <c r="C175" s="104" t="s">
        <v>1080</v>
      </c>
      <c r="D175" s="105" t="s">
        <v>225</v>
      </c>
      <c r="E175" s="102">
        <v>290</v>
      </c>
      <c r="F175" s="21">
        <v>4407</v>
      </c>
      <c r="G175" s="21">
        <f t="shared" si="7"/>
        <v>1278030</v>
      </c>
    </row>
    <row r="176" s="128" customFormat="1" ht="18.75" customHeight="1" spans="2:7">
      <c r="B176" s="64" t="s">
        <v>2215</v>
      </c>
      <c r="C176" s="104" t="s">
        <v>1082</v>
      </c>
      <c r="D176" s="105" t="s">
        <v>225</v>
      </c>
      <c r="E176" s="102">
        <v>290</v>
      </c>
      <c r="F176" s="21">
        <v>4486</v>
      </c>
      <c r="G176" s="21">
        <f t="shared" si="7"/>
        <v>1300940</v>
      </c>
    </row>
    <row r="177" s="128" customFormat="1" ht="18.75" customHeight="1" spans="2:7">
      <c r="B177" s="64" t="s">
        <v>2216</v>
      </c>
      <c r="C177" s="104" t="s">
        <v>1084</v>
      </c>
      <c r="D177" s="105" t="s">
        <v>225</v>
      </c>
      <c r="E177" s="102">
        <v>131</v>
      </c>
      <c r="F177" s="21">
        <v>4565</v>
      </c>
      <c r="G177" s="21">
        <f t="shared" si="7"/>
        <v>598015</v>
      </c>
    </row>
    <row r="178" s="128" customFormat="1" ht="18" customHeight="1" spans="2:7">
      <c r="B178" s="105"/>
      <c r="C178" s="104"/>
      <c r="D178" s="105"/>
      <c r="E178" s="102"/>
      <c r="F178" s="21"/>
      <c r="G178" s="21"/>
    </row>
    <row r="179" s="128" customFormat="1" ht="43.5" customHeight="1" spans="2:7">
      <c r="B179" s="64" t="s">
        <v>2217</v>
      </c>
      <c r="C179" s="65" t="s">
        <v>2218</v>
      </c>
      <c r="D179" s="105"/>
      <c r="E179" s="102"/>
      <c r="F179" s="21"/>
      <c r="G179" s="21"/>
    </row>
    <row r="180" s="128" customFormat="1" spans="2:7">
      <c r="B180" s="105"/>
      <c r="C180" s="65"/>
      <c r="D180" s="105"/>
      <c r="E180" s="102"/>
      <c r="F180" s="21"/>
      <c r="G180" s="21"/>
    </row>
    <row r="181" s="128" customFormat="1" ht="18" customHeight="1" spans="2:7">
      <c r="B181" s="64" t="s">
        <v>2219</v>
      </c>
      <c r="C181" s="104" t="s">
        <v>1084</v>
      </c>
      <c r="D181" s="105" t="s">
        <v>225</v>
      </c>
      <c r="E181" s="102">
        <v>131</v>
      </c>
      <c r="F181" s="21">
        <v>4446</v>
      </c>
      <c r="G181" s="21">
        <f>E181*F181</f>
        <v>582426</v>
      </c>
    </row>
    <row r="182" s="128" customFormat="1" ht="16.5" customHeight="1" spans="2:7">
      <c r="B182" s="105"/>
      <c r="C182" s="104"/>
      <c r="D182" s="105"/>
      <c r="E182" s="102"/>
      <c r="F182" s="21"/>
      <c r="G182" s="21"/>
    </row>
    <row r="183" s="128" customFormat="1" ht="19.5" customHeight="1" spans="2:7">
      <c r="B183" s="97" t="s">
        <v>2220</v>
      </c>
      <c r="C183" s="151" t="s">
        <v>2221</v>
      </c>
      <c r="D183" s="105"/>
      <c r="E183" s="102"/>
      <c r="F183" s="21"/>
      <c r="G183" s="21"/>
    </row>
    <row r="184" s="128" customFormat="1" spans="2:7">
      <c r="B184" s="105"/>
      <c r="C184" s="158"/>
      <c r="D184" s="105"/>
      <c r="E184" s="102"/>
      <c r="F184" s="21"/>
      <c r="G184" s="21"/>
    </row>
    <row r="185" s="128" customFormat="1" ht="31.5" customHeight="1" spans="2:7">
      <c r="B185" s="64" t="s">
        <v>2222</v>
      </c>
      <c r="C185" s="65" t="s">
        <v>2223</v>
      </c>
      <c r="D185" s="105"/>
      <c r="E185" s="102"/>
      <c r="F185" s="21"/>
      <c r="G185" s="21"/>
    </row>
    <row r="186" s="127" customFormat="1" ht="6" customHeight="1" spans="2:7">
      <c r="B186" s="105"/>
      <c r="C186" s="161"/>
      <c r="D186" s="64"/>
      <c r="E186" s="102"/>
      <c r="F186" s="21"/>
      <c r="G186" s="21"/>
    </row>
    <row r="187" s="127" customFormat="1" ht="18.75" customHeight="1" spans="2:7">
      <c r="B187" s="64" t="s">
        <v>2224</v>
      </c>
      <c r="C187" s="104" t="s">
        <v>1066</v>
      </c>
      <c r="D187" s="64" t="s">
        <v>225</v>
      </c>
      <c r="E187" s="102">
        <v>1509</v>
      </c>
      <c r="F187" s="21">
        <v>397</v>
      </c>
      <c r="G187" s="21">
        <f t="shared" ref="G187:G197" si="8">E187*F187</f>
        <v>599073</v>
      </c>
    </row>
    <row r="188" s="127" customFormat="1" ht="18.75" customHeight="1" spans="2:7">
      <c r="B188" s="64" t="s">
        <v>2225</v>
      </c>
      <c r="C188" s="104" t="s">
        <v>1162</v>
      </c>
      <c r="D188" s="64" t="s">
        <v>225</v>
      </c>
      <c r="E188" s="102">
        <v>6</v>
      </c>
      <c r="F188" s="21">
        <v>397</v>
      </c>
      <c r="G188" s="21">
        <f t="shared" si="8"/>
        <v>2382</v>
      </c>
    </row>
    <row r="189" s="127" customFormat="1" ht="18.75" customHeight="1" spans="2:7">
      <c r="B189" s="64" t="s">
        <v>2226</v>
      </c>
      <c r="C189" s="104" t="s">
        <v>1068</v>
      </c>
      <c r="D189" s="64" t="s">
        <v>225</v>
      </c>
      <c r="E189" s="102">
        <v>1481</v>
      </c>
      <c r="F189" s="21">
        <v>397</v>
      </c>
      <c r="G189" s="21">
        <f t="shared" si="8"/>
        <v>587957</v>
      </c>
    </row>
    <row r="190" s="127" customFormat="1" ht="18.75" customHeight="1" spans="2:7">
      <c r="B190" s="64" t="s">
        <v>2227</v>
      </c>
      <c r="C190" s="104" t="s">
        <v>1070</v>
      </c>
      <c r="D190" s="64" t="s">
        <v>225</v>
      </c>
      <c r="E190" s="102">
        <v>1462</v>
      </c>
      <c r="F190" s="21">
        <v>405</v>
      </c>
      <c r="G190" s="21">
        <f t="shared" si="8"/>
        <v>592110</v>
      </c>
    </row>
    <row r="191" s="127" customFormat="1" ht="18.75" customHeight="1" spans="2:7">
      <c r="B191" s="64" t="s">
        <v>2228</v>
      </c>
      <c r="C191" s="104" t="s">
        <v>1072</v>
      </c>
      <c r="D191" s="64" t="s">
        <v>225</v>
      </c>
      <c r="E191" s="102">
        <v>1472</v>
      </c>
      <c r="F191" s="21">
        <v>413</v>
      </c>
      <c r="G191" s="21">
        <f t="shared" si="8"/>
        <v>607936</v>
      </c>
    </row>
    <row r="192" s="127" customFormat="1" ht="18.75" customHeight="1" spans="2:7">
      <c r="B192" s="64" t="s">
        <v>2229</v>
      </c>
      <c r="C192" s="104" t="s">
        <v>1074</v>
      </c>
      <c r="D192" s="64" t="s">
        <v>225</v>
      </c>
      <c r="E192" s="102">
        <v>1589</v>
      </c>
      <c r="F192" s="21">
        <v>421</v>
      </c>
      <c r="G192" s="21">
        <f t="shared" si="8"/>
        <v>668969</v>
      </c>
    </row>
    <row r="193" s="127" customFormat="1" ht="18.75" customHeight="1" spans="2:7">
      <c r="B193" s="64" t="s">
        <v>2230</v>
      </c>
      <c r="C193" s="104" t="s">
        <v>1076</v>
      </c>
      <c r="D193" s="64" t="s">
        <v>225</v>
      </c>
      <c r="E193" s="102">
        <v>1034</v>
      </c>
      <c r="F193" s="21">
        <v>429</v>
      </c>
      <c r="G193" s="21">
        <f t="shared" si="8"/>
        <v>443586</v>
      </c>
    </row>
    <row r="194" s="127" customFormat="1" ht="18.75" customHeight="1" spans="2:7">
      <c r="B194" s="64" t="s">
        <v>2231</v>
      </c>
      <c r="C194" s="104" t="s">
        <v>1078</v>
      </c>
      <c r="D194" s="64" t="s">
        <v>225</v>
      </c>
      <c r="E194" s="102">
        <v>1105</v>
      </c>
      <c r="F194" s="21">
        <v>437</v>
      </c>
      <c r="G194" s="21">
        <f t="shared" si="8"/>
        <v>482885</v>
      </c>
    </row>
    <row r="195" s="127" customFormat="1" ht="18.75" customHeight="1" spans="2:7">
      <c r="B195" s="64" t="s">
        <v>2232</v>
      </c>
      <c r="C195" s="104" t="s">
        <v>1080</v>
      </c>
      <c r="D195" s="64" t="s">
        <v>225</v>
      </c>
      <c r="E195" s="102">
        <v>1202</v>
      </c>
      <c r="F195" s="21">
        <v>445</v>
      </c>
      <c r="G195" s="21">
        <f t="shared" si="8"/>
        <v>534890</v>
      </c>
    </row>
    <row r="196" s="127" customFormat="1" ht="18.75" customHeight="1" spans="2:7">
      <c r="B196" s="64" t="s">
        <v>2233</v>
      </c>
      <c r="C196" s="104" t="s">
        <v>1082</v>
      </c>
      <c r="D196" s="64" t="s">
        <v>225</v>
      </c>
      <c r="E196" s="102">
        <v>646</v>
      </c>
      <c r="F196" s="21">
        <v>453</v>
      </c>
      <c r="G196" s="21">
        <f t="shared" si="8"/>
        <v>292638</v>
      </c>
    </row>
    <row r="197" s="127" customFormat="1" ht="24.75" customHeight="1" spans="2:7">
      <c r="B197" s="79" t="s">
        <v>2234</v>
      </c>
      <c r="C197" s="144" t="s">
        <v>1084</v>
      </c>
      <c r="D197" s="79" t="s">
        <v>225</v>
      </c>
      <c r="E197" s="109">
        <v>661</v>
      </c>
      <c r="F197" s="34">
        <v>461</v>
      </c>
      <c r="G197" s="34">
        <f t="shared" si="8"/>
        <v>304721</v>
      </c>
    </row>
    <row r="198" s="127" customFormat="1" ht="14.25" customHeight="1" spans="2:7">
      <c r="B198" s="64"/>
      <c r="C198" s="104"/>
      <c r="D198" s="64"/>
      <c r="E198" s="102"/>
      <c r="F198" s="21"/>
      <c r="G198" s="21"/>
    </row>
    <row r="199" s="127" customFormat="1" ht="18" customHeight="1" spans="2:7">
      <c r="B199" s="64"/>
      <c r="C199" s="80" t="s">
        <v>925</v>
      </c>
      <c r="D199" s="64"/>
      <c r="E199" s="102"/>
      <c r="F199" s="21"/>
      <c r="G199" s="21"/>
    </row>
    <row r="200" s="127" customFormat="1" ht="24.75" customHeight="1" spans="2:7">
      <c r="B200" s="64" t="s">
        <v>2235</v>
      </c>
      <c r="C200" s="26" t="s">
        <v>927</v>
      </c>
      <c r="D200" s="59" t="s">
        <v>225</v>
      </c>
      <c r="E200" s="102">
        <v>82</v>
      </c>
      <c r="F200" s="21">
        <v>397</v>
      </c>
      <c r="G200" s="21">
        <f>E200*F200</f>
        <v>32554</v>
      </c>
    </row>
    <row r="201" s="127" customFormat="1" ht="13.5" customHeight="1" spans="2:7">
      <c r="B201" s="64"/>
      <c r="C201" s="26"/>
      <c r="D201" s="59"/>
      <c r="E201" s="102"/>
      <c r="F201" s="21"/>
      <c r="G201" s="21"/>
    </row>
    <row r="202" s="127" customFormat="1" ht="20.25" customHeight="1" spans="2:7">
      <c r="B202" s="64" t="s">
        <v>2236</v>
      </c>
      <c r="C202" s="26" t="s">
        <v>929</v>
      </c>
      <c r="D202" s="59" t="s">
        <v>225</v>
      </c>
      <c r="E202" s="102">
        <v>155</v>
      </c>
      <c r="F202" s="21">
        <v>471</v>
      </c>
      <c r="G202" s="21">
        <f>E202*F202</f>
        <v>73005</v>
      </c>
    </row>
    <row r="203" s="127" customFormat="1" ht="16.5" customHeight="1" spans="2:7">
      <c r="B203" s="64"/>
      <c r="C203" s="26"/>
      <c r="D203" s="59"/>
      <c r="E203" s="102"/>
      <c r="F203" s="21"/>
      <c r="G203" s="21"/>
    </row>
    <row r="204" ht="18.75" customHeight="1" spans="2:7">
      <c r="B204" s="97" t="s">
        <v>2237</v>
      </c>
      <c r="C204" s="157" t="s">
        <v>2238</v>
      </c>
      <c r="D204" s="64"/>
      <c r="E204" s="102"/>
      <c r="F204" s="21"/>
      <c r="G204" s="21"/>
    </row>
    <row r="205" ht="43.5" customHeight="1" spans="2:7">
      <c r="B205" s="64" t="s">
        <v>2239</v>
      </c>
      <c r="C205" s="65" t="s">
        <v>2240</v>
      </c>
      <c r="D205" s="64"/>
      <c r="E205" s="102"/>
      <c r="F205" s="21"/>
      <c r="G205" s="21"/>
    </row>
    <row r="206" ht="11.25" customHeight="1" spans="2:7">
      <c r="B206" s="64"/>
      <c r="C206" s="65"/>
      <c r="D206" s="64"/>
      <c r="E206" s="102"/>
      <c r="F206" s="21"/>
      <c r="G206" s="21"/>
    </row>
    <row r="207" ht="18.75" customHeight="1" spans="2:7">
      <c r="B207" s="64" t="s">
        <v>2241</v>
      </c>
      <c r="C207" s="104" t="s">
        <v>1066</v>
      </c>
      <c r="D207" s="64" t="s">
        <v>205</v>
      </c>
      <c r="E207" s="102">
        <v>331</v>
      </c>
      <c r="F207" s="21">
        <v>616</v>
      </c>
      <c r="G207" s="21">
        <f t="shared" ref="G207:G216" si="9">E207*F207</f>
        <v>203896</v>
      </c>
    </row>
    <row r="208" ht="18.75" customHeight="1" spans="2:7">
      <c r="B208" s="64" t="s">
        <v>2242</v>
      </c>
      <c r="C208" s="104" t="s">
        <v>1068</v>
      </c>
      <c r="D208" s="64" t="s">
        <v>205</v>
      </c>
      <c r="E208" s="102">
        <v>106</v>
      </c>
      <c r="F208" s="21">
        <v>616</v>
      </c>
      <c r="G208" s="21">
        <f t="shared" si="9"/>
        <v>65296</v>
      </c>
    </row>
    <row r="209" ht="18.75" customHeight="1" spans="2:7">
      <c r="B209" s="64" t="s">
        <v>2243</v>
      </c>
      <c r="C209" s="104" t="s">
        <v>1070</v>
      </c>
      <c r="D209" s="64" t="s">
        <v>205</v>
      </c>
      <c r="E209" s="102">
        <v>437</v>
      </c>
      <c r="F209" s="21">
        <v>628</v>
      </c>
      <c r="G209" s="21">
        <f t="shared" si="9"/>
        <v>274436</v>
      </c>
    </row>
    <row r="210" ht="18.75" customHeight="1" spans="2:7">
      <c r="B210" s="64" t="s">
        <v>2244</v>
      </c>
      <c r="C210" s="104" t="s">
        <v>1072</v>
      </c>
      <c r="D210" s="64" t="s">
        <v>205</v>
      </c>
      <c r="E210" s="102">
        <v>218</v>
      </c>
      <c r="F210" s="21">
        <v>641</v>
      </c>
      <c r="G210" s="21">
        <f t="shared" si="9"/>
        <v>139738</v>
      </c>
    </row>
    <row r="211" ht="18.75" customHeight="1" spans="2:7">
      <c r="B211" s="64" t="s">
        <v>2245</v>
      </c>
      <c r="C211" s="104" t="s">
        <v>1074</v>
      </c>
      <c r="D211" s="64" t="s">
        <v>205</v>
      </c>
      <c r="E211" s="102">
        <v>444</v>
      </c>
      <c r="F211" s="21">
        <v>653</v>
      </c>
      <c r="G211" s="21">
        <f t="shared" si="9"/>
        <v>289932</v>
      </c>
    </row>
    <row r="212" ht="18.75" customHeight="1" spans="2:7">
      <c r="B212" s="64" t="s">
        <v>2246</v>
      </c>
      <c r="C212" s="104" t="s">
        <v>1076</v>
      </c>
      <c r="D212" s="64" t="s">
        <v>205</v>
      </c>
      <c r="E212" s="102">
        <v>733</v>
      </c>
      <c r="F212" s="21">
        <v>665</v>
      </c>
      <c r="G212" s="21">
        <f t="shared" si="9"/>
        <v>487445</v>
      </c>
    </row>
    <row r="213" ht="18.75" customHeight="1" spans="2:7">
      <c r="B213" s="64" t="s">
        <v>2247</v>
      </c>
      <c r="C213" s="104" t="s">
        <v>1078</v>
      </c>
      <c r="D213" s="64" t="s">
        <v>205</v>
      </c>
      <c r="E213" s="102">
        <v>177</v>
      </c>
      <c r="F213" s="21">
        <v>678</v>
      </c>
      <c r="G213" s="21">
        <f t="shared" si="9"/>
        <v>120006</v>
      </c>
    </row>
    <row r="214" ht="18.75" customHeight="1" spans="2:7">
      <c r="B214" s="64" t="s">
        <v>2248</v>
      </c>
      <c r="C214" s="104" t="s">
        <v>1080</v>
      </c>
      <c r="D214" s="64" t="s">
        <v>205</v>
      </c>
      <c r="E214" s="102">
        <v>160</v>
      </c>
      <c r="F214" s="21">
        <v>690</v>
      </c>
      <c r="G214" s="21">
        <f t="shared" si="9"/>
        <v>110400</v>
      </c>
    </row>
    <row r="215" ht="18.75" customHeight="1" spans="2:7">
      <c r="B215" s="64" t="s">
        <v>2249</v>
      </c>
      <c r="C215" s="104" t="s">
        <v>1082</v>
      </c>
      <c r="D215" s="64" t="s">
        <v>205</v>
      </c>
      <c r="E215" s="102">
        <v>160</v>
      </c>
      <c r="F215" s="21">
        <v>702</v>
      </c>
      <c r="G215" s="21">
        <f t="shared" si="9"/>
        <v>112320</v>
      </c>
    </row>
    <row r="216" ht="18.75" customHeight="1" spans="2:7">
      <c r="B216" s="64" t="s">
        <v>2250</v>
      </c>
      <c r="C216" s="104" t="s">
        <v>1084</v>
      </c>
      <c r="D216" s="64" t="s">
        <v>205</v>
      </c>
      <c r="E216" s="102">
        <v>219</v>
      </c>
      <c r="F216" s="21">
        <v>715</v>
      </c>
      <c r="G216" s="21">
        <f t="shared" si="9"/>
        <v>156585</v>
      </c>
    </row>
    <row r="217" ht="18.75" customHeight="1" spans="2:7">
      <c r="B217" s="64"/>
      <c r="C217" s="104"/>
      <c r="D217" s="64"/>
      <c r="E217" s="102"/>
      <c r="F217" s="21"/>
      <c r="G217" s="21"/>
    </row>
    <row r="218" ht="42.75" customHeight="1" spans="2:7">
      <c r="B218" s="64" t="s">
        <v>2251</v>
      </c>
      <c r="C218" s="65" t="s">
        <v>2252</v>
      </c>
      <c r="D218" s="64"/>
      <c r="E218" s="102"/>
      <c r="F218" s="21"/>
      <c r="G218" s="21"/>
    </row>
    <row r="219" ht="7.5" customHeight="1" spans="2:7">
      <c r="B219" s="64"/>
      <c r="C219" s="104"/>
      <c r="D219" s="64"/>
      <c r="E219" s="102"/>
      <c r="F219" s="21"/>
      <c r="G219" s="21"/>
    </row>
    <row r="220" ht="18.75" customHeight="1" spans="2:7">
      <c r="B220" s="64" t="s">
        <v>2253</v>
      </c>
      <c r="C220" s="104" t="s">
        <v>1066</v>
      </c>
      <c r="D220" s="64" t="s">
        <v>205</v>
      </c>
      <c r="E220" s="102">
        <v>950</v>
      </c>
      <c r="F220" s="21">
        <v>551</v>
      </c>
      <c r="G220" s="21">
        <f t="shared" ref="G220:G229" si="10">E220*F220</f>
        <v>523450</v>
      </c>
    </row>
    <row r="221" ht="18.75" customHeight="1" spans="2:7">
      <c r="B221" s="64" t="s">
        <v>2254</v>
      </c>
      <c r="C221" s="104" t="s">
        <v>1068</v>
      </c>
      <c r="D221" s="64" t="s">
        <v>205</v>
      </c>
      <c r="E221" s="102">
        <v>978</v>
      </c>
      <c r="F221" s="21">
        <v>551</v>
      </c>
      <c r="G221" s="21">
        <f t="shared" si="10"/>
        <v>538878</v>
      </c>
    </row>
    <row r="222" ht="18.75" customHeight="1" spans="2:7">
      <c r="B222" s="64" t="s">
        <v>2255</v>
      </c>
      <c r="C222" s="104" t="s">
        <v>1070</v>
      </c>
      <c r="D222" s="64" t="s">
        <v>205</v>
      </c>
      <c r="E222" s="102">
        <v>977</v>
      </c>
      <c r="F222" s="21">
        <v>562</v>
      </c>
      <c r="G222" s="21">
        <f t="shared" si="10"/>
        <v>549074</v>
      </c>
    </row>
    <row r="223" ht="18.75" customHeight="1" spans="2:7">
      <c r="B223" s="64" t="s">
        <v>2256</v>
      </c>
      <c r="C223" s="104" t="s">
        <v>1072</v>
      </c>
      <c r="D223" s="64" t="s">
        <v>205</v>
      </c>
      <c r="E223" s="102">
        <v>799</v>
      </c>
      <c r="F223" s="21">
        <v>573</v>
      </c>
      <c r="G223" s="21">
        <f t="shared" si="10"/>
        <v>457827</v>
      </c>
    </row>
    <row r="224" ht="18.75" customHeight="1" spans="2:7">
      <c r="B224" s="64" t="s">
        <v>2257</v>
      </c>
      <c r="C224" s="104" t="s">
        <v>1074</v>
      </c>
      <c r="D224" s="64" t="s">
        <v>205</v>
      </c>
      <c r="E224" s="102">
        <v>716</v>
      </c>
      <c r="F224" s="21">
        <v>584</v>
      </c>
      <c r="G224" s="21">
        <f t="shared" si="10"/>
        <v>418144</v>
      </c>
    </row>
    <row r="225" ht="18.75" customHeight="1" spans="2:7">
      <c r="B225" s="64" t="s">
        <v>2258</v>
      </c>
      <c r="C225" s="104" t="s">
        <v>1076</v>
      </c>
      <c r="D225" s="64" t="s">
        <v>205</v>
      </c>
      <c r="E225" s="102">
        <v>240</v>
      </c>
      <c r="F225" s="21">
        <v>595</v>
      </c>
      <c r="G225" s="21">
        <f t="shared" si="10"/>
        <v>142800</v>
      </c>
    </row>
    <row r="226" ht="18.75" customHeight="1" spans="2:7">
      <c r="B226" s="64" t="s">
        <v>2259</v>
      </c>
      <c r="C226" s="104" t="s">
        <v>1078</v>
      </c>
      <c r="D226" s="64" t="s">
        <v>205</v>
      </c>
      <c r="E226" s="102">
        <v>560</v>
      </c>
      <c r="F226" s="21">
        <v>606</v>
      </c>
      <c r="G226" s="21">
        <f t="shared" si="10"/>
        <v>339360</v>
      </c>
    </row>
    <row r="227" ht="18.75" customHeight="1" spans="2:7">
      <c r="B227" s="64" t="s">
        <v>2260</v>
      </c>
      <c r="C227" s="104" t="s">
        <v>1080</v>
      </c>
      <c r="D227" s="64" t="s">
        <v>205</v>
      </c>
      <c r="E227" s="102">
        <v>434</v>
      </c>
      <c r="F227" s="21">
        <v>617</v>
      </c>
      <c r="G227" s="21">
        <f t="shared" si="10"/>
        <v>267778</v>
      </c>
    </row>
    <row r="228" ht="18.75" customHeight="1" spans="2:7">
      <c r="B228" s="64" t="s">
        <v>2261</v>
      </c>
      <c r="C228" s="104" t="s">
        <v>1082</v>
      </c>
      <c r="D228" s="64" t="s">
        <v>205</v>
      </c>
      <c r="E228" s="102">
        <v>434</v>
      </c>
      <c r="F228" s="21">
        <v>628</v>
      </c>
      <c r="G228" s="21">
        <f t="shared" si="10"/>
        <v>272552</v>
      </c>
    </row>
    <row r="229" ht="18.75" customHeight="1" spans="2:7">
      <c r="B229" s="64" t="s">
        <v>2262</v>
      </c>
      <c r="C229" s="104" t="s">
        <v>1084</v>
      </c>
      <c r="D229" s="64" t="s">
        <v>205</v>
      </c>
      <c r="E229" s="102">
        <v>279</v>
      </c>
      <c r="F229" s="21">
        <v>639</v>
      </c>
      <c r="G229" s="21">
        <f t="shared" si="10"/>
        <v>178281</v>
      </c>
    </row>
    <row r="230" ht="13.5" customHeight="1" spans="2:7">
      <c r="B230" s="64"/>
      <c r="C230" s="104"/>
      <c r="D230" s="64"/>
      <c r="E230" s="102"/>
      <c r="F230" s="21"/>
      <c r="G230" s="21"/>
    </row>
    <row r="231" ht="30.75" customHeight="1" spans="2:7">
      <c r="B231" s="64" t="s">
        <v>2263</v>
      </c>
      <c r="C231" s="65" t="s">
        <v>2264</v>
      </c>
      <c r="D231" s="64"/>
      <c r="E231" s="102"/>
      <c r="F231" s="21"/>
      <c r="G231" s="21"/>
    </row>
    <row r="232" spans="2:7">
      <c r="B232" s="64"/>
      <c r="C232" s="104"/>
      <c r="D232" s="64"/>
      <c r="E232" s="102"/>
      <c r="F232" s="21"/>
      <c r="G232" s="21"/>
    </row>
    <row r="233" ht="18.75" customHeight="1" spans="2:7">
      <c r="B233" s="64" t="s">
        <v>2265</v>
      </c>
      <c r="C233" s="104" t="s">
        <v>1066</v>
      </c>
      <c r="D233" s="64" t="s">
        <v>205</v>
      </c>
      <c r="E233" s="102">
        <v>100</v>
      </c>
      <c r="F233" s="21">
        <v>304</v>
      </c>
      <c r="G233" s="21">
        <f t="shared" ref="G233:G242" si="11">E233*F233</f>
        <v>30400</v>
      </c>
    </row>
    <row r="234" ht="18.75" customHeight="1" spans="2:7">
      <c r="B234" s="64" t="s">
        <v>2266</v>
      </c>
      <c r="C234" s="104" t="s">
        <v>1068</v>
      </c>
      <c r="D234" s="64" t="s">
        <v>205</v>
      </c>
      <c r="E234" s="102">
        <v>20</v>
      </c>
      <c r="F234" s="21">
        <v>304</v>
      </c>
      <c r="G234" s="21">
        <f t="shared" si="11"/>
        <v>6080</v>
      </c>
    </row>
    <row r="235" ht="18.75" customHeight="1" spans="2:7">
      <c r="B235" s="64" t="s">
        <v>2267</v>
      </c>
      <c r="C235" s="104" t="s">
        <v>1070</v>
      </c>
      <c r="D235" s="64" t="s">
        <v>205</v>
      </c>
      <c r="E235" s="102">
        <v>20</v>
      </c>
      <c r="F235" s="21">
        <v>310</v>
      </c>
      <c r="G235" s="21">
        <f t="shared" si="11"/>
        <v>6200</v>
      </c>
    </row>
    <row r="236" ht="18.75" customHeight="1" spans="2:7">
      <c r="B236" s="64" t="s">
        <v>2268</v>
      </c>
      <c r="C236" s="104" t="s">
        <v>1072</v>
      </c>
      <c r="D236" s="64" t="s">
        <v>205</v>
      </c>
      <c r="E236" s="102">
        <v>48</v>
      </c>
      <c r="F236" s="21">
        <v>316</v>
      </c>
      <c r="G236" s="21">
        <f t="shared" si="11"/>
        <v>15168</v>
      </c>
    </row>
    <row r="237" ht="18.75" customHeight="1" spans="2:7">
      <c r="B237" s="64" t="s">
        <v>2269</v>
      </c>
      <c r="C237" s="104" t="s">
        <v>1074</v>
      </c>
      <c r="D237" s="64" t="s">
        <v>205</v>
      </c>
      <c r="E237" s="102">
        <v>66</v>
      </c>
      <c r="F237" s="21">
        <v>322</v>
      </c>
      <c r="G237" s="21">
        <f t="shared" si="11"/>
        <v>21252</v>
      </c>
    </row>
    <row r="238" ht="18.75" customHeight="1" spans="2:7">
      <c r="B238" s="64" t="s">
        <v>2270</v>
      </c>
      <c r="C238" s="104" t="s">
        <v>1076</v>
      </c>
      <c r="D238" s="64" t="s">
        <v>205</v>
      </c>
      <c r="E238" s="102">
        <v>39</v>
      </c>
      <c r="F238" s="21">
        <v>328</v>
      </c>
      <c r="G238" s="21">
        <f t="shared" si="11"/>
        <v>12792</v>
      </c>
    </row>
    <row r="239" ht="18.75" customHeight="1" spans="2:7">
      <c r="B239" s="64" t="s">
        <v>2271</v>
      </c>
      <c r="C239" s="104" t="s">
        <v>1078</v>
      </c>
      <c r="D239" s="64" t="s">
        <v>205</v>
      </c>
      <c r="E239" s="102">
        <v>11</v>
      </c>
      <c r="F239" s="21">
        <v>334</v>
      </c>
      <c r="G239" s="21">
        <f t="shared" si="11"/>
        <v>3674</v>
      </c>
    </row>
    <row r="240" ht="18.75" customHeight="1" spans="2:7">
      <c r="B240" s="64" t="s">
        <v>2272</v>
      </c>
      <c r="C240" s="104" t="s">
        <v>1080</v>
      </c>
      <c r="D240" s="64" t="s">
        <v>205</v>
      </c>
      <c r="E240" s="102">
        <v>21</v>
      </c>
      <c r="F240" s="21">
        <v>340</v>
      </c>
      <c r="G240" s="21">
        <f t="shared" si="11"/>
        <v>7140</v>
      </c>
    </row>
    <row r="241" ht="18.75" customHeight="1" spans="2:7">
      <c r="B241" s="64" t="s">
        <v>2273</v>
      </c>
      <c r="C241" s="104" t="s">
        <v>1082</v>
      </c>
      <c r="D241" s="64" t="s">
        <v>205</v>
      </c>
      <c r="E241" s="102">
        <v>21</v>
      </c>
      <c r="F241" s="21">
        <v>347</v>
      </c>
      <c r="G241" s="21">
        <f t="shared" si="11"/>
        <v>7287</v>
      </c>
    </row>
    <row r="242" ht="28.5" customHeight="1" spans="2:7">
      <c r="B242" s="79" t="s">
        <v>2274</v>
      </c>
      <c r="C242" s="144" t="s">
        <v>1084</v>
      </c>
      <c r="D242" s="79" t="s">
        <v>205</v>
      </c>
      <c r="E242" s="109">
        <v>21</v>
      </c>
      <c r="F242" s="34">
        <v>353</v>
      </c>
      <c r="G242" s="34">
        <f t="shared" si="11"/>
        <v>7413</v>
      </c>
    </row>
    <row r="243" spans="2:7">
      <c r="B243" s="64"/>
      <c r="C243" s="104"/>
      <c r="D243" s="64"/>
      <c r="E243" s="102"/>
      <c r="F243" s="21"/>
      <c r="G243" s="21"/>
    </row>
    <row r="244" spans="2:7">
      <c r="B244" s="97" t="s">
        <v>2275</v>
      </c>
      <c r="C244" s="81" t="s">
        <v>2276</v>
      </c>
      <c r="D244" s="64"/>
      <c r="E244" s="102"/>
      <c r="F244" s="21"/>
      <c r="G244" s="21"/>
    </row>
    <row r="245" spans="2:7">
      <c r="B245" s="64"/>
      <c r="C245" s="65"/>
      <c r="D245" s="64"/>
      <c r="E245" s="102"/>
      <c r="F245" s="21"/>
      <c r="G245" s="21"/>
    </row>
    <row r="246" ht="69.75" customHeight="1" spans="2:7">
      <c r="B246" s="64" t="s">
        <v>2277</v>
      </c>
      <c r="C246" s="162" t="s">
        <v>2278</v>
      </c>
      <c r="D246" s="64"/>
      <c r="E246" s="102"/>
      <c r="F246" s="21"/>
      <c r="G246" s="21"/>
    </row>
    <row r="247" ht="12" customHeight="1" spans="2:7">
      <c r="B247" s="64"/>
      <c r="C247" s="162"/>
      <c r="D247" s="64"/>
      <c r="E247" s="102"/>
      <c r="F247" s="21"/>
      <c r="G247" s="21"/>
    </row>
    <row r="248" ht="18.75" customHeight="1" spans="2:7">
      <c r="B248" s="64" t="s">
        <v>2279</v>
      </c>
      <c r="C248" s="104" t="s">
        <v>1066</v>
      </c>
      <c r="D248" s="64" t="s">
        <v>225</v>
      </c>
      <c r="E248" s="102">
        <v>327</v>
      </c>
      <c r="F248" s="21">
        <v>2592</v>
      </c>
      <c r="G248" s="21">
        <f t="shared" ref="G248:G257" si="12">E248*F248</f>
        <v>847584</v>
      </c>
    </row>
    <row r="249" ht="18.75" customHeight="1" spans="2:7">
      <c r="B249" s="64" t="s">
        <v>2280</v>
      </c>
      <c r="C249" s="104" t="s">
        <v>1068</v>
      </c>
      <c r="D249" s="64" t="s">
        <v>225</v>
      </c>
      <c r="E249" s="102">
        <v>269</v>
      </c>
      <c r="F249" s="21">
        <v>2592</v>
      </c>
      <c r="G249" s="21">
        <f t="shared" si="12"/>
        <v>697248</v>
      </c>
    </row>
    <row r="250" ht="18.75" customHeight="1" spans="2:7">
      <c r="B250" s="64" t="s">
        <v>2281</v>
      </c>
      <c r="C250" s="104" t="s">
        <v>1070</v>
      </c>
      <c r="D250" s="64" t="s">
        <v>225</v>
      </c>
      <c r="E250" s="102">
        <v>942</v>
      </c>
      <c r="F250" s="21">
        <v>2644</v>
      </c>
      <c r="G250" s="21">
        <f t="shared" si="12"/>
        <v>2490648</v>
      </c>
    </row>
    <row r="251" ht="18.75" customHeight="1" spans="2:7">
      <c r="B251" s="64" t="s">
        <v>2282</v>
      </c>
      <c r="C251" s="104" t="s">
        <v>1072</v>
      </c>
      <c r="D251" s="64" t="s">
        <v>225</v>
      </c>
      <c r="E251" s="102">
        <v>173</v>
      </c>
      <c r="F251" s="21">
        <v>2696</v>
      </c>
      <c r="G251" s="21">
        <f t="shared" si="12"/>
        <v>466408</v>
      </c>
    </row>
    <row r="252" ht="18.75" customHeight="1" spans="2:7">
      <c r="B252" s="64" t="s">
        <v>2283</v>
      </c>
      <c r="C252" s="104" t="s">
        <v>1074</v>
      </c>
      <c r="D252" s="64" t="s">
        <v>225</v>
      </c>
      <c r="E252" s="102">
        <v>419</v>
      </c>
      <c r="F252" s="21">
        <v>2748</v>
      </c>
      <c r="G252" s="21">
        <f t="shared" si="12"/>
        <v>1151412</v>
      </c>
    </row>
    <row r="253" ht="18.75" customHeight="1" spans="2:7">
      <c r="B253" s="64" t="s">
        <v>2283</v>
      </c>
      <c r="C253" s="104" t="s">
        <v>1076</v>
      </c>
      <c r="D253" s="64" t="s">
        <v>225</v>
      </c>
      <c r="E253" s="102">
        <v>586</v>
      </c>
      <c r="F253" s="21">
        <v>2800</v>
      </c>
      <c r="G253" s="21">
        <f t="shared" si="12"/>
        <v>1640800</v>
      </c>
    </row>
    <row r="254" ht="18.75" customHeight="1" spans="2:7">
      <c r="B254" s="64" t="s">
        <v>2284</v>
      </c>
      <c r="C254" s="104" t="s">
        <v>1078</v>
      </c>
      <c r="D254" s="64" t="s">
        <v>225</v>
      </c>
      <c r="E254" s="102">
        <v>360</v>
      </c>
      <c r="F254" s="21">
        <v>2852</v>
      </c>
      <c r="G254" s="21">
        <f t="shared" si="12"/>
        <v>1026720</v>
      </c>
    </row>
    <row r="255" ht="18.75" customHeight="1" spans="2:7">
      <c r="B255" s="64" t="s">
        <v>2285</v>
      </c>
      <c r="C255" s="104" t="s">
        <v>1080</v>
      </c>
      <c r="D255" s="64" t="s">
        <v>225</v>
      </c>
      <c r="E255" s="102">
        <v>227</v>
      </c>
      <c r="F255" s="21">
        <v>2903</v>
      </c>
      <c r="G255" s="21">
        <f t="shared" si="12"/>
        <v>658981</v>
      </c>
    </row>
    <row r="256" ht="18.75" customHeight="1" spans="2:7">
      <c r="B256" s="64" t="s">
        <v>2286</v>
      </c>
      <c r="C256" s="104" t="s">
        <v>1082</v>
      </c>
      <c r="D256" s="64" t="s">
        <v>225</v>
      </c>
      <c r="E256" s="102">
        <v>232</v>
      </c>
      <c r="F256" s="21">
        <v>2955</v>
      </c>
      <c r="G256" s="21">
        <f t="shared" si="12"/>
        <v>685560</v>
      </c>
    </row>
    <row r="257" ht="18.75" customHeight="1" spans="2:7">
      <c r="B257" s="64" t="s">
        <v>2287</v>
      </c>
      <c r="C257" s="104" t="s">
        <v>1084</v>
      </c>
      <c r="D257" s="64" t="s">
        <v>225</v>
      </c>
      <c r="E257" s="102">
        <v>316</v>
      </c>
      <c r="F257" s="21">
        <v>3007</v>
      </c>
      <c r="G257" s="21">
        <f t="shared" si="12"/>
        <v>950212</v>
      </c>
    </row>
    <row r="258" ht="19.5" customHeight="1" spans="2:7">
      <c r="B258" s="64"/>
      <c r="C258" s="104"/>
      <c r="D258" s="64"/>
      <c r="E258" s="102"/>
      <c r="F258" s="21"/>
      <c r="G258" s="21"/>
    </row>
    <row r="259" ht="20.25" customHeight="1" spans="2:7">
      <c r="B259" s="64" t="s">
        <v>2288</v>
      </c>
      <c r="C259" s="162" t="s">
        <v>2289</v>
      </c>
      <c r="D259" s="64"/>
      <c r="E259" s="102"/>
      <c r="F259" s="21"/>
      <c r="G259" s="21"/>
    </row>
    <row r="260" ht="7.5" customHeight="1" spans="2:7">
      <c r="B260" s="64"/>
      <c r="C260" s="162"/>
      <c r="D260" s="64"/>
      <c r="E260" s="102"/>
      <c r="F260" s="21"/>
      <c r="G260" s="21"/>
    </row>
    <row r="261" ht="19.5" customHeight="1" spans="2:7">
      <c r="B261" s="64" t="s">
        <v>2290</v>
      </c>
      <c r="C261" s="104" t="s">
        <v>1066</v>
      </c>
      <c r="D261" s="64" t="s">
        <v>225</v>
      </c>
      <c r="E261" s="102">
        <v>735</v>
      </c>
      <c r="F261" s="21">
        <v>4545</v>
      </c>
      <c r="G261" s="21">
        <f>E261*F261</f>
        <v>3340575</v>
      </c>
    </row>
    <row r="262" ht="20.25" customHeight="1" spans="2:7">
      <c r="B262" s="64" t="s">
        <v>2291</v>
      </c>
      <c r="C262" s="104" t="s">
        <v>1068</v>
      </c>
      <c r="D262" s="64" t="s">
        <v>225</v>
      </c>
      <c r="E262" s="102">
        <v>343</v>
      </c>
      <c r="F262" s="21">
        <v>4545</v>
      </c>
      <c r="G262" s="21">
        <f>E262*F262</f>
        <v>1558935</v>
      </c>
    </row>
    <row r="263" spans="2:7">
      <c r="B263" s="64"/>
      <c r="C263" s="104"/>
      <c r="D263" s="64"/>
      <c r="E263" s="102"/>
      <c r="F263" s="21"/>
      <c r="G263" s="21"/>
    </row>
    <row r="264" ht="84.75" customHeight="1" spans="2:7">
      <c r="B264" s="64" t="s">
        <v>2292</v>
      </c>
      <c r="C264" s="162" t="s">
        <v>2293</v>
      </c>
      <c r="D264" s="64"/>
      <c r="E264" s="102"/>
      <c r="F264" s="21"/>
      <c r="G264" s="21"/>
    </row>
    <row r="265" ht="9.75" customHeight="1" spans="2:7">
      <c r="B265" s="64"/>
      <c r="C265" s="162"/>
      <c r="D265" s="64"/>
      <c r="E265" s="102"/>
      <c r="F265" s="21"/>
      <c r="G265" s="21"/>
    </row>
    <row r="266" ht="18.75" customHeight="1" spans="2:7">
      <c r="B266" s="64" t="s">
        <v>2294</v>
      </c>
      <c r="C266" s="104" t="s">
        <v>1066</v>
      </c>
      <c r="D266" s="64" t="s">
        <v>225</v>
      </c>
      <c r="E266" s="102">
        <v>190</v>
      </c>
      <c r="F266" s="21">
        <v>5114</v>
      </c>
      <c r="G266" s="21">
        <f t="shared" ref="G266:G275" si="13">E266*F266</f>
        <v>971660</v>
      </c>
    </row>
    <row r="267" ht="18.75" customHeight="1" spans="2:7">
      <c r="B267" s="64" t="s">
        <v>2295</v>
      </c>
      <c r="C267" s="104" t="s">
        <v>1068</v>
      </c>
      <c r="D267" s="64" t="s">
        <v>225</v>
      </c>
      <c r="E267" s="102">
        <v>2070</v>
      </c>
      <c r="F267" s="21">
        <v>5114</v>
      </c>
      <c r="G267" s="21">
        <f t="shared" si="13"/>
        <v>10585980</v>
      </c>
    </row>
    <row r="268" ht="18.75" customHeight="1" spans="2:7">
      <c r="B268" s="64" t="s">
        <v>2296</v>
      </c>
      <c r="C268" s="104" t="s">
        <v>1070</v>
      </c>
      <c r="D268" s="64" t="s">
        <v>225</v>
      </c>
      <c r="E268" s="102">
        <v>990</v>
      </c>
      <c r="F268" s="21">
        <v>5217</v>
      </c>
      <c r="G268" s="21">
        <f t="shared" si="13"/>
        <v>5164830</v>
      </c>
    </row>
    <row r="269" ht="18.75" customHeight="1" spans="2:7">
      <c r="B269" s="64" t="s">
        <v>2297</v>
      </c>
      <c r="C269" s="104" t="s">
        <v>1072</v>
      </c>
      <c r="D269" s="64" t="s">
        <v>225</v>
      </c>
      <c r="E269" s="102">
        <v>1571</v>
      </c>
      <c r="F269" s="21">
        <v>5319</v>
      </c>
      <c r="G269" s="21">
        <f t="shared" si="13"/>
        <v>8356149</v>
      </c>
    </row>
    <row r="270" ht="18.75" customHeight="1" spans="2:7">
      <c r="B270" s="64" t="s">
        <v>2298</v>
      </c>
      <c r="C270" s="104" t="s">
        <v>1074</v>
      </c>
      <c r="D270" s="64" t="s">
        <v>225</v>
      </c>
      <c r="E270" s="102">
        <v>603</v>
      </c>
      <c r="F270" s="21">
        <v>5421</v>
      </c>
      <c r="G270" s="21">
        <f t="shared" si="13"/>
        <v>3268863</v>
      </c>
    </row>
    <row r="271" ht="18.75" customHeight="1" spans="2:7">
      <c r="B271" s="64" t="s">
        <v>2299</v>
      </c>
      <c r="C271" s="104" t="s">
        <v>1076</v>
      </c>
      <c r="D271" s="64" t="s">
        <v>225</v>
      </c>
      <c r="E271" s="102">
        <v>356</v>
      </c>
      <c r="F271" s="21">
        <v>5523</v>
      </c>
      <c r="G271" s="21">
        <f t="shared" si="13"/>
        <v>1966188</v>
      </c>
    </row>
    <row r="272" ht="18.75" customHeight="1" spans="2:7">
      <c r="B272" s="64" t="s">
        <v>2300</v>
      </c>
      <c r="C272" s="104" t="s">
        <v>1078</v>
      </c>
      <c r="D272" s="64" t="s">
        <v>225</v>
      </c>
      <c r="E272" s="102">
        <v>1157</v>
      </c>
      <c r="F272" s="21">
        <v>5626</v>
      </c>
      <c r="G272" s="21">
        <f t="shared" si="13"/>
        <v>6509282</v>
      </c>
    </row>
    <row r="273" ht="18.75" customHeight="1" spans="2:7">
      <c r="B273" s="64" t="s">
        <v>2301</v>
      </c>
      <c r="C273" s="104" t="s">
        <v>1080</v>
      </c>
      <c r="D273" s="64" t="s">
        <v>225</v>
      </c>
      <c r="E273" s="102">
        <v>330</v>
      </c>
      <c r="F273" s="21">
        <v>5728</v>
      </c>
      <c r="G273" s="21">
        <f t="shared" si="13"/>
        <v>1890240</v>
      </c>
    </row>
    <row r="274" ht="18.75" customHeight="1" spans="2:7">
      <c r="B274" s="64" t="s">
        <v>2302</v>
      </c>
      <c r="C274" s="104" t="s">
        <v>1082</v>
      </c>
      <c r="D274" s="64" t="s">
        <v>225</v>
      </c>
      <c r="E274" s="102">
        <v>330</v>
      </c>
      <c r="F274" s="21">
        <v>5830</v>
      </c>
      <c r="G274" s="21">
        <f t="shared" si="13"/>
        <v>1923900</v>
      </c>
    </row>
    <row r="275" ht="18.75" customHeight="1" spans="2:7">
      <c r="B275" s="64" t="s">
        <v>2303</v>
      </c>
      <c r="C275" s="104" t="s">
        <v>1084</v>
      </c>
      <c r="D275" s="64" t="s">
        <v>225</v>
      </c>
      <c r="E275" s="102">
        <v>378</v>
      </c>
      <c r="F275" s="21">
        <v>5933</v>
      </c>
      <c r="G275" s="21">
        <f t="shared" si="13"/>
        <v>2242674</v>
      </c>
    </row>
    <row r="276" ht="13.5" customHeight="1" spans="2:7">
      <c r="B276" s="64"/>
      <c r="C276" s="104"/>
      <c r="D276" s="64"/>
      <c r="E276" s="102"/>
      <c r="F276" s="21"/>
      <c r="G276" s="21"/>
    </row>
    <row r="277" spans="2:7">
      <c r="B277" s="64" t="s">
        <v>2304</v>
      </c>
      <c r="C277" s="162" t="s">
        <v>2305</v>
      </c>
      <c r="D277" s="64"/>
      <c r="E277" s="102"/>
      <c r="F277" s="21"/>
      <c r="G277" s="21"/>
    </row>
    <row r="278" ht="12.75" customHeight="1" spans="2:7">
      <c r="B278" s="64"/>
      <c r="C278" s="162"/>
      <c r="D278" s="64"/>
      <c r="E278" s="102"/>
      <c r="F278" s="21"/>
      <c r="G278" s="21"/>
    </row>
    <row r="279" ht="18.75" customHeight="1" spans="2:7">
      <c r="B279" s="64" t="s">
        <v>2306</v>
      </c>
      <c r="C279" s="104" t="s">
        <v>1066</v>
      </c>
      <c r="D279" s="64" t="s">
        <v>225</v>
      </c>
      <c r="E279" s="102">
        <v>36</v>
      </c>
      <c r="F279" s="21">
        <v>5366</v>
      </c>
      <c r="G279" s="21">
        <f>E279*F279</f>
        <v>193176</v>
      </c>
    </row>
    <row r="280" ht="18.75" customHeight="1" spans="2:7">
      <c r="B280" s="64" t="s">
        <v>2307</v>
      </c>
      <c r="C280" s="104" t="s">
        <v>1068</v>
      </c>
      <c r="D280" s="64" t="s">
        <v>225</v>
      </c>
      <c r="E280" s="102">
        <v>305</v>
      </c>
      <c r="F280" s="21">
        <v>5366</v>
      </c>
      <c r="G280" s="21">
        <f>E280*F280</f>
        <v>1636630</v>
      </c>
    </row>
    <row r="281" ht="18.75" customHeight="1" spans="2:7">
      <c r="B281" s="64" t="s">
        <v>2308</v>
      </c>
      <c r="C281" s="104" t="s">
        <v>1070</v>
      </c>
      <c r="D281" s="64" t="s">
        <v>225</v>
      </c>
      <c r="E281" s="102">
        <v>202</v>
      </c>
      <c r="F281" s="21">
        <v>5474</v>
      </c>
      <c r="G281" s="21">
        <f>E281*F281</f>
        <v>1105748</v>
      </c>
    </row>
    <row r="282" ht="18.75" customHeight="1" spans="2:7">
      <c r="B282" s="64" t="s">
        <v>2309</v>
      </c>
      <c r="C282" s="104" t="s">
        <v>1072</v>
      </c>
      <c r="D282" s="64" t="s">
        <v>225</v>
      </c>
      <c r="E282" s="102">
        <v>155</v>
      </c>
      <c r="F282" s="21">
        <v>5581</v>
      </c>
      <c r="G282" s="21">
        <f>E282*F282</f>
        <v>865055</v>
      </c>
    </row>
    <row r="283" ht="18.75" customHeight="1" spans="2:7">
      <c r="B283" s="64" t="s">
        <v>2310</v>
      </c>
      <c r="C283" s="104" t="s">
        <v>1078</v>
      </c>
      <c r="D283" s="64" t="s">
        <v>225</v>
      </c>
      <c r="E283" s="102">
        <v>134</v>
      </c>
      <c r="F283" s="21">
        <v>5903</v>
      </c>
      <c r="G283" s="21">
        <f>E283*F283</f>
        <v>791002</v>
      </c>
    </row>
    <row r="284" spans="2:7">
      <c r="B284" s="41"/>
      <c r="C284" s="42"/>
      <c r="D284" s="41"/>
      <c r="E284" s="116"/>
      <c r="F284" s="21"/>
      <c r="G284" s="21"/>
    </row>
    <row r="285" s="1" customFormat="1" ht="22.5" customHeight="1" spans="2:7">
      <c r="B285" s="43"/>
      <c r="C285" s="44" t="s">
        <v>215</v>
      </c>
      <c r="D285" s="43"/>
      <c r="E285" s="117"/>
      <c r="F285" s="82" t="s">
        <v>1032</v>
      </c>
      <c r="G285" s="46">
        <f>SUM(G10:G283)</f>
        <v>267292814.846</v>
      </c>
    </row>
    <row r="286" ht="7.5" customHeight="1" spans="2:7">
      <c r="B286" s="83"/>
      <c r="C286" s="120"/>
      <c r="D286" s="121"/>
      <c r="E286" s="122"/>
      <c r="F286" s="163"/>
      <c r="G286" s="163"/>
    </row>
    <row r="287" spans="2:4">
      <c r="B287" s="124"/>
      <c r="C287" s="125"/>
      <c r="D287" s="3"/>
    </row>
    <row r="288" spans="2:4">
      <c r="B288" s="124"/>
      <c r="C288" s="125"/>
      <c r="D288" s="3"/>
    </row>
  </sheetData>
  <mergeCells count="4">
    <mergeCell ref="B2:G2"/>
    <mergeCell ref="B3:G3"/>
    <mergeCell ref="B4:C4"/>
    <mergeCell ref="D4:G4"/>
  </mergeCells>
  <pageMargins left="0.85" right="0.15" top="0.35" bottom="0.3" header="0.3" footer="0.15"/>
  <pageSetup paperSize="9" scale="91" firstPageNumber="86" orientation="portrait" useFirstPageNumber="1"/>
  <headerFooter>
    <oddFooter>&amp;C&amp;P</oddFooter>
  </headerFooter>
  <rowBreaks count="2" manualBreakCount="2">
    <brk id="35" max="6" man="1"/>
    <brk id="72" max="6" man="1"/>
  </row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B2:I68"/>
  <sheetViews>
    <sheetView view="pageBreakPreview" zoomScaleNormal="100" workbookViewId="0">
      <selection activeCell="M7" sqref="M7"/>
    </sheetView>
  </sheetViews>
  <sheetFormatPr defaultColWidth="10.287037037037" defaultRowHeight="14.4"/>
  <cols>
    <col min="1" max="1" width="10.287037037037" style="2"/>
    <col min="2" max="2" width="9.13888888888889" style="2"/>
    <col min="3" max="3" width="39.8518518518519" style="2" customWidth="1"/>
    <col min="4" max="4" width="6.71296296296296" style="2" customWidth="1"/>
    <col min="5" max="5" width="11" style="90" customWidth="1"/>
    <col min="6" max="6" width="12.712962962963" style="90" customWidth="1"/>
    <col min="7" max="7" width="16.712962962963" style="90" customWidth="1"/>
    <col min="8" max="16384" width="10.287037037037" style="2"/>
  </cols>
  <sheetData>
    <row r="2" ht="21" customHeight="1" spans="2:7">
      <c r="B2" s="5" t="s">
        <v>20</v>
      </c>
      <c r="C2" s="5"/>
      <c r="D2" s="5"/>
      <c r="E2" s="5"/>
      <c r="F2" s="5"/>
      <c r="G2" s="5"/>
    </row>
    <row r="3" ht="21" customHeight="1" spans="2:7">
      <c r="B3" s="7" t="s">
        <v>37</v>
      </c>
      <c r="C3" s="7"/>
      <c r="D3" s="7"/>
      <c r="E3" s="7"/>
      <c r="F3" s="7"/>
      <c r="G3" s="7"/>
    </row>
    <row r="4" ht="22.5" customHeight="1" spans="2:7">
      <c r="B4" s="91" t="str">
        <f>Elec!B4</f>
        <v>BILL OF QUANTITIES</v>
      </c>
      <c r="C4" s="91"/>
      <c r="D4" s="91" t="s">
        <v>147</v>
      </c>
      <c r="E4" s="91"/>
      <c r="F4" s="91"/>
      <c r="G4" s="91"/>
    </row>
    <row r="5" ht="22.5" customHeight="1" spans="2:7">
      <c r="B5" s="11" t="s">
        <v>155</v>
      </c>
      <c r="C5" s="11" t="s">
        <v>2</v>
      </c>
      <c r="D5" s="11" t="s">
        <v>156</v>
      </c>
      <c r="E5" s="92" t="s">
        <v>218</v>
      </c>
      <c r="F5" s="92" t="s">
        <v>2058</v>
      </c>
      <c r="G5" s="92" t="s">
        <v>159</v>
      </c>
    </row>
    <row r="6" ht="5.25" customHeight="1" spans="2:7">
      <c r="B6" s="93"/>
      <c r="C6" s="94"/>
      <c r="D6" s="93"/>
      <c r="E6" s="95"/>
      <c r="F6" s="96"/>
      <c r="G6" s="96"/>
    </row>
    <row r="7" spans="2:7">
      <c r="B7" s="97" t="s">
        <v>2311</v>
      </c>
      <c r="C7" s="98" t="s">
        <v>147</v>
      </c>
      <c r="D7" s="99"/>
      <c r="E7" s="100"/>
      <c r="F7" s="101"/>
      <c r="G7" s="101"/>
    </row>
    <row r="8" ht="5.25" customHeight="1" spans="2:7">
      <c r="B8" s="64"/>
      <c r="C8" s="81"/>
      <c r="D8" s="99"/>
      <c r="E8" s="100"/>
      <c r="F8" s="101"/>
      <c r="G8" s="101"/>
    </row>
    <row r="9" ht="56.25" customHeight="1" spans="2:7">
      <c r="B9" s="64" t="s">
        <v>2312</v>
      </c>
      <c r="C9" s="65" t="s">
        <v>2313</v>
      </c>
      <c r="D9" s="64"/>
      <c r="E9" s="102"/>
      <c r="F9" s="103"/>
      <c r="G9" s="103"/>
    </row>
    <row r="10" ht="6" customHeight="1" spans="2:7">
      <c r="B10" s="64"/>
      <c r="C10" s="65"/>
      <c r="D10" s="64"/>
      <c r="E10" s="102"/>
      <c r="F10" s="103"/>
      <c r="G10" s="103"/>
    </row>
    <row r="11" ht="18.75" customHeight="1" spans="2:7">
      <c r="B11" s="64" t="s">
        <v>2314</v>
      </c>
      <c r="C11" s="104" t="s">
        <v>960</v>
      </c>
      <c r="D11" s="105" t="s">
        <v>225</v>
      </c>
      <c r="E11" s="106">
        <v>1509</v>
      </c>
      <c r="F11" s="103">
        <v>410</v>
      </c>
      <c r="G11" s="103">
        <f t="shared" ref="G11:G22" si="0">E11*F11</f>
        <v>618690</v>
      </c>
    </row>
    <row r="12" ht="18.75" customHeight="1" spans="2:7">
      <c r="B12" s="64" t="s">
        <v>2315</v>
      </c>
      <c r="C12" s="104" t="s">
        <v>962</v>
      </c>
      <c r="D12" s="105" t="s">
        <v>225</v>
      </c>
      <c r="E12" s="106">
        <v>6</v>
      </c>
      <c r="F12" s="103">
        <v>410</v>
      </c>
      <c r="G12" s="103">
        <f t="shared" si="0"/>
        <v>2460</v>
      </c>
    </row>
    <row r="13" ht="18.75" customHeight="1" spans="2:7">
      <c r="B13" s="64" t="s">
        <v>2316</v>
      </c>
      <c r="C13" s="104" t="s">
        <v>964</v>
      </c>
      <c r="D13" s="105" t="s">
        <v>225</v>
      </c>
      <c r="E13" s="106">
        <v>1481</v>
      </c>
      <c r="F13" s="103">
        <v>410</v>
      </c>
      <c r="G13" s="103">
        <f t="shared" si="0"/>
        <v>607210</v>
      </c>
    </row>
    <row r="14" ht="18.75" customHeight="1" spans="2:7">
      <c r="B14" s="64" t="s">
        <v>2317</v>
      </c>
      <c r="C14" s="104" t="s">
        <v>966</v>
      </c>
      <c r="D14" s="105" t="s">
        <v>225</v>
      </c>
      <c r="E14" s="106">
        <v>1462</v>
      </c>
      <c r="F14" s="103">
        <v>418</v>
      </c>
      <c r="G14" s="103">
        <f t="shared" si="0"/>
        <v>611116</v>
      </c>
    </row>
    <row r="15" ht="18.75" customHeight="1" spans="2:7">
      <c r="B15" s="64" t="s">
        <v>2318</v>
      </c>
      <c r="C15" s="104" t="s">
        <v>968</v>
      </c>
      <c r="D15" s="105" t="s">
        <v>225</v>
      </c>
      <c r="E15" s="106">
        <v>1472</v>
      </c>
      <c r="F15" s="103">
        <v>426</v>
      </c>
      <c r="G15" s="103">
        <f t="shared" si="0"/>
        <v>627072</v>
      </c>
    </row>
    <row r="16" ht="18.75" customHeight="1" spans="2:7">
      <c r="B16" s="64" t="s">
        <v>2319</v>
      </c>
      <c r="C16" s="104" t="s">
        <v>970</v>
      </c>
      <c r="D16" s="105" t="s">
        <v>225</v>
      </c>
      <c r="E16" s="106">
        <v>1589</v>
      </c>
      <c r="F16" s="103">
        <v>435</v>
      </c>
      <c r="G16" s="103">
        <f t="shared" si="0"/>
        <v>691215</v>
      </c>
    </row>
    <row r="17" ht="18.75" customHeight="1" spans="2:7">
      <c r="B17" s="64" t="s">
        <v>2320</v>
      </c>
      <c r="C17" s="104" t="s">
        <v>972</v>
      </c>
      <c r="D17" s="105" t="s">
        <v>225</v>
      </c>
      <c r="E17" s="106">
        <v>1034</v>
      </c>
      <c r="F17" s="103">
        <v>443</v>
      </c>
      <c r="G17" s="103">
        <f t="shared" si="0"/>
        <v>458062</v>
      </c>
    </row>
    <row r="18" ht="18.75" customHeight="1" spans="2:7">
      <c r="B18" s="64" t="s">
        <v>2321</v>
      </c>
      <c r="C18" s="104" t="s">
        <v>974</v>
      </c>
      <c r="D18" s="105" t="s">
        <v>225</v>
      </c>
      <c r="E18" s="106">
        <v>1105</v>
      </c>
      <c r="F18" s="103">
        <v>451</v>
      </c>
      <c r="G18" s="103">
        <f t="shared" si="0"/>
        <v>498355</v>
      </c>
    </row>
    <row r="19" ht="18.75" customHeight="1" spans="2:7">
      <c r="B19" s="64" t="s">
        <v>2322</v>
      </c>
      <c r="C19" s="104" t="s">
        <v>976</v>
      </c>
      <c r="D19" s="105" t="s">
        <v>225</v>
      </c>
      <c r="E19" s="106">
        <v>1202</v>
      </c>
      <c r="F19" s="103">
        <v>459</v>
      </c>
      <c r="G19" s="103">
        <f t="shared" si="0"/>
        <v>551718</v>
      </c>
    </row>
    <row r="20" ht="18.75" customHeight="1" spans="2:7">
      <c r="B20" s="64" t="s">
        <v>2323</v>
      </c>
      <c r="C20" s="104" t="s">
        <v>978</v>
      </c>
      <c r="D20" s="105" t="s">
        <v>225</v>
      </c>
      <c r="E20" s="106">
        <v>646</v>
      </c>
      <c r="F20" s="103">
        <v>467</v>
      </c>
      <c r="G20" s="103">
        <f t="shared" si="0"/>
        <v>301682</v>
      </c>
    </row>
    <row r="21" ht="18.75" customHeight="1" spans="2:7">
      <c r="B21" s="64" t="s">
        <v>2324</v>
      </c>
      <c r="C21" s="104" t="s">
        <v>1084</v>
      </c>
      <c r="D21" s="105" t="s">
        <v>225</v>
      </c>
      <c r="E21" s="106">
        <v>661</v>
      </c>
      <c r="F21" s="103">
        <v>476</v>
      </c>
      <c r="G21" s="103">
        <f t="shared" si="0"/>
        <v>314636</v>
      </c>
    </row>
    <row r="22" ht="18.75" customHeight="1" spans="2:7">
      <c r="B22" s="64" t="s">
        <v>2325</v>
      </c>
      <c r="C22" s="104" t="s">
        <v>2326</v>
      </c>
      <c r="D22" s="105" t="s">
        <v>225</v>
      </c>
      <c r="E22" s="106">
        <v>237</v>
      </c>
      <c r="F22" s="103">
        <v>484</v>
      </c>
      <c r="G22" s="103">
        <f t="shared" si="0"/>
        <v>114708</v>
      </c>
    </row>
    <row r="23" ht="18.75" customHeight="1" spans="2:7">
      <c r="B23" s="64"/>
      <c r="C23" s="104"/>
      <c r="D23" s="105"/>
      <c r="E23" s="100"/>
      <c r="F23" s="101"/>
      <c r="G23" s="101"/>
    </row>
    <row r="24" ht="54.75" customHeight="1" spans="2:7">
      <c r="B24" s="64" t="s">
        <v>2327</v>
      </c>
      <c r="C24" s="65" t="s">
        <v>2328</v>
      </c>
      <c r="D24" s="64"/>
      <c r="E24" s="102"/>
      <c r="F24" s="103"/>
      <c r="G24" s="103"/>
    </row>
    <row r="25" ht="12" customHeight="1" spans="2:7">
      <c r="B25" s="64"/>
      <c r="C25" s="65"/>
      <c r="D25" s="64"/>
      <c r="E25" s="102"/>
      <c r="F25" s="103"/>
      <c r="G25" s="103"/>
    </row>
    <row r="26" ht="18.75" customHeight="1" spans="2:7">
      <c r="B26" s="64" t="s">
        <v>2329</v>
      </c>
      <c r="C26" s="104" t="s">
        <v>960</v>
      </c>
      <c r="D26" s="105" t="s">
        <v>225</v>
      </c>
      <c r="E26" s="102">
        <v>8577</v>
      </c>
      <c r="F26" s="103">
        <v>518</v>
      </c>
      <c r="G26" s="103">
        <f t="shared" ref="G26:G37" si="1">E26*F26</f>
        <v>4442886</v>
      </c>
    </row>
    <row r="27" ht="18.75" customHeight="1" spans="2:7">
      <c r="B27" s="64" t="s">
        <v>2330</v>
      </c>
      <c r="C27" s="104" t="s">
        <v>962</v>
      </c>
      <c r="D27" s="105" t="s">
        <v>225</v>
      </c>
      <c r="E27" s="102">
        <v>346</v>
      </c>
      <c r="F27" s="103">
        <v>518</v>
      </c>
      <c r="G27" s="103">
        <f t="shared" si="1"/>
        <v>179228</v>
      </c>
    </row>
    <row r="28" ht="18.75" customHeight="1" spans="2:7">
      <c r="B28" s="64" t="s">
        <v>2331</v>
      </c>
      <c r="C28" s="104" t="s">
        <v>964</v>
      </c>
      <c r="D28" s="105" t="s">
        <v>225</v>
      </c>
      <c r="E28" s="102">
        <v>8114</v>
      </c>
      <c r="F28" s="103">
        <v>518</v>
      </c>
      <c r="G28" s="103">
        <f t="shared" si="1"/>
        <v>4203052</v>
      </c>
    </row>
    <row r="29" ht="18.75" customHeight="1" spans="2:7">
      <c r="B29" s="64" t="s">
        <v>2332</v>
      </c>
      <c r="C29" s="104" t="s">
        <v>966</v>
      </c>
      <c r="D29" s="105" t="s">
        <v>225</v>
      </c>
      <c r="E29" s="102">
        <v>4750</v>
      </c>
      <c r="F29" s="103">
        <v>528</v>
      </c>
      <c r="G29" s="103">
        <f t="shared" si="1"/>
        <v>2508000</v>
      </c>
    </row>
    <row r="30" ht="18.75" customHeight="1" spans="2:7">
      <c r="B30" s="64" t="s">
        <v>2333</v>
      </c>
      <c r="C30" s="104" t="s">
        <v>968</v>
      </c>
      <c r="D30" s="105" t="s">
        <v>225</v>
      </c>
      <c r="E30" s="102">
        <v>5880</v>
      </c>
      <c r="F30" s="103">
        <v>539</v>
      </c>
      <c r="G30" s="103">
        <f t="shared" si="1"/>
        <v>3169320</v>
      </c>
    </row>
    <row r="31" ht="18.75" customHeight="1" spans="2:7">
      <c r="B31" s="64" t="s">
        <v>2334</v>
      </c>
      <c r="C31" s="104" t="s">
        <v>970</v>
      </c>
      <c r="D31" s="105" t="s">
        <v>225</v>
      </c>
      <c r="E31" s="102">
        <v>3707</v>
      </c>
      <c r="F31" s="103">
        <v>549</v>
      </c>
      <c r="G31" s="103">
        <f t="shared" si="1"/>
        <v>2035143</v>
      </c>
    </row>
    <row r="32" ht="18.75" customHeight="1" spans="2:7">
      <c r="B32" s="64" t="s">
        <v>2335</v>
      </c>
      <c r="C32" s="104" t="s">
        <v>972</v>
      </c>
      <c r="D32" s="105" t="s">
        <v>225</v>
      </c>
      <c r="E32" s="102">
        <v>3082</v>
      </c>
      <c r="F32" s="103">
        <v>559</v>
      </c>
      <c r="G32" s="103">
        <f t="shared" si="1"/>
        <v>1722838</v>
      </c>
    </row>
    <row r="33" ht="18.75" customHeight="1" spans="2:7">
      <c r="B33" s="64" t="s">
        <v>2336</v>
      </c>
      <c r="C33" s="104" t="s">
        <v>974</v>
      </c>
      <c r="D33" s="105" t="s">
        <v>225</v>
      </c>
      <c r="E33" s="102">
        <v>3383</v>
      </c>
      <c r="F33" s="103">
        <v>570</v>
      </c>
      <c r="G33" s="103">
        <f t="shared" si="1"/>
        <v>1928310</v>
      </c>
    </row>
    <row r="34" ht="18.75" customHeight="1" spans="2:7">
      <c r="B34" s="64" t="s">
        <v>2337</v>
      </c>
      <c r="C34" s="104" t="s">
        <v>976</v>
      </c>
      <c r="D34" s="105" t="s">
        <v>225</v>
      </c>
      <c r="E34" s="102">
        <v>2154</v>
      </c>
      <c r="F34" s="103">
        <v>580</v>
      </c>
      <c r="G34" s="103">
        <f t="shared" si="1"/>
        <v>1249320</v>
      </c>
    </row>
    <row r="35" ht="18.75" customHeight="1" spans="2:7">
      <c r="B35" s="64" t="s">
        <v>2338</v>
      </c>
      <c r="C35" s="104" t="s">
        <v>978</v>
      </c>
      <c r="D35" s="105" t="s">
        <v>225</v>
      </c>
      <c r="E35" s="102">
        <v>2006</v>
      </c>
      <c r="F35" s="103">
        <v>591</v>
      </c>
      <c r="G35" s="103">
        <f t="shared" si="1"/>
        <v>1185546</v>
      </c>
    </row>
    <row r="36" ht="18.75" customHeight="1" spans="2:7">
      <c r="B36" s="64" t="s">
        <v>2339</v>
      </c>
      <c r="C36" s="104" t="s">
        <v>1084</v>
      </c>
      <c r="D36" s="105" t="s">
        <v>225</v>
      </c>
      <c r="E36" s="102">
        <v>1937</v>
      </c>
      <c r="F36" s="103">
        <v>601</v>
      </c>
      <c r="G36" s="103">
        <f t="shared" si="1"/>
        <v>1164137</v>
      </c>
    </row>
    <row r="37" ht="18.75" customHeight="1" spans="2:7">
      <c r="B37" s="64" t="s">
        <v>2340</v>
      </c>
      <c r="C37" s="104" t="s">
        <v>2326</v>
      </c>
      <c r="D37" s="105" t="s">
        <v>225</v>
      </c>
      <c r="E37" s="102">
        <v>243</v>
      </c>
      <c r="F37" s="103">
        <v>611</v>
      </c>
      <c r="G37" s="103">
        <f t="shared" si="1"/>
        <v>148473</v>
      </c>
    </row>
    <row r="38" ht="23.25" customHeight="1" spans="2:7">
      <c r="B38" s="64"/>
      <c r="C38" s="104"/>
      <c r="D38" s="105"/>
      <c r="E38" s="102"/>
      <c r="F38" s="103"/>
      <c r="G38" s="103"/>
    </row>
    <row r="39" ht="56.25" customHeight="1" spans="2:7">
      <c r="B39" s="64" t="s">
        <v>2341</v>
      </c>
      <c r="C39" s="65" t="s">
        <v>2342</v>
      </c>
      <c r="D39" s="64"/>
      <c r="E39" s="102"/>
      <c r="F39" s="103"/>
      <c r="G39" s="103"/>
    </row>
    <row r="40" ht="10.5" customHeight="1" spans="2:7">
      <c r="B40" s="64"/>
      <c r="C40" s="65"/>
      <c r="D40" s="64"/>
      <c r="E40" s="107"/>
      <c r="F40" s="103"/>
      <c r="G40" s="103"/>
    </row>
    <row r="41" ht="18.75" customHeight="1" spans="2:7">
      <c r="B41" s="64" t="s">
        <v>2343</v>
      </c>
      <c r="C41" s="104" t="s">
        <v>960</v>
      </c>
      <c r="D41" s="105" t="s">
        <v>225</v>
      </c>
      <c r="E41" s="102">
        <v>2002</v>
      </c>
      <c r="F41" s="103">
        <v>382</v>
      </c>
      <c r="G41" s="103">
        <f t="shared" ref="G41:G50" si="2">E41*F41</f>
        <v>764764</v>
      </c>
    </row>
    <row r="42" ht="36.75" customHeight="1" spans="2:7">
      <c r="B42" s="79" t="s">
        <v>2344</v>
      </c>
      <c r="C42" s="31" t="s">
        <v>2345</v>
      </c>
      <c r="D42" s="108" t="s">
        <v>225</v>
      </c>
      <c r="E42" s="109">
        <v>71</v>
      </c>
      <c r="F42" s="110">
        <v>382</v>
      </c>
      <c r="G42" s="110">
        <f t="shared" si="2"/>
        <v>27122</v>
      </c>
    </row>
    <row r="43" s="1" customFormat="1" ht="27.75" customHeight="1" spans="2:7">
      <c r="B43" s="74" t="s">
        <v>2346</v>
      </c>
      <c r="C43" s="111" t="s">
        <v>962</v>
      </c>
      <c r="D43" s="112" t="s">
        <v>225</v>
      </c>
      <c r="E43" s="113">
        <v>427</v>
      </c>
      <c r="F43" s="114">
        <v>382</v>
      </c>
      <c r="G43" s="114">
        <f t="shared" si="2"/>
        <v>163114</v>
      </c>
    </row>
    <row r="44" ht="18.75" customHeight="1" spans="2:7">
      <c r="B44" s="64" t="s">
        <v>2347</v>
      </c>
      <c r="C44" s="104" t="s">
        <v>964</v>
      </c>
      <c r="D44" s="105" t="s">
        <v>225</v>
      </c>
      <c r="E44" s="102">
        <v>560</v>
      </c>
      <c r="F44" s="103">
        <v>382</v>
      </c>
      <c r="G44" s="103">
        <f t="shared" si="2"/>
        <v>213920</v>
      </c>
    </row>
    <row r="45" ht="18.75" customHeight="1" spans="2:7">
      <c r="B45" s="64" t="s">
        <v>2348</v>
      </c>
      <c r="C45" s="104" t="s">
        <v>966</v>
      </c>
      <c r="D45" s="105" t="s">
        <v>225</v>
      </c>
      <c r="E45" s="102">
        <v>1718</v>
      </c>
      <c r="F45" s="103">
        <v>390</v>
      </c>
      <c r="G45" s="103">
        <f t="shared" si="2"/>
        <v>670020</v>
      </c>
    </row>
    <row r="46" ht="18.75" customHeight="1" spans="2:7">
      <c r="B46" s="64" t="s">
        <v>2349</v>
      </c>
      <c r="C46" s="104" t="s">
        <v>968</v>
      </c>
      <c r="D46" s="105" t="s">
        <v>225</v>
      </c>
      <c r="E46" s="102">
        <v>1186</v>
      </c>
      <c r="F46" s="103">
        <v>397</v>
      </c>
      <c r="G46" s="103">
        <f t="shared" si="2"/>
        <v>470842</v>
      </c>
    </row>
    <row r="47" ht="18.75" customHeight="1" spans="2:7">
      <c r="B47" s="64" t="s">
        <v>2350</v>
      </c>
      <c r="C47" s="104" t="s">
        <v>970</v>
      </c>
      <c r="D47" s="105" t="s">
        <v>225</v>
      </c>
      <c r="E47" s="102">
        <v>915</v>
      </c>
      <c r="F47" s="103">
        <v>405</v>
      </c>
      <c r="G47" s="103">
        <f t="shared" si="2"/>
        <v>370575</v>
      </c>
    </row>
    <row r="48" ht="18.75" customHeight="1" spans="2:7">
      <c r="B48" s="64" t="s">
        <v>2351</v>
      </c>
      <c r="C48" s="104" t="s">
        <v>972</v>
      </c>
      <c r="D48" s="105" t="s">
        <v>225</v>
      </c>
      <c r="E48" s="102">
        <v>741</v>
      </c>
      <c r="F48" s="103">
        <v>413</v>
      </c>
      <c r="G48" s="103">
        <f t="shared" si="2"/>
        <v>306033</v>
      </c>
    </row>
    <row r="49" ht="18.75" customHeight="1" spans="2:7">
      <c r="B49" s="64" t="s">
        <v>2352</v>
      </c>
      <c r="C49" s="104" t="s">
        <v>974</v>
      </c>
      <c r="D49" s="105" t="s">
        <v>225</v>
      </c>
      <c r="E49" s="102">
        <v>685</v>
      </c>
      <c r="F49" s="103">
        <v>420</v>
      </c>
      <c r="G49" s="103">
        <f t="shared" si="2"/>
        <v>287700</v>
      </c>
    </row>
    <row r="50" ht="27.75" customHeight="1" spans="2:9">
      <c r="B50" s="64" t="s">
        <v>2353</v>
      </c>
      <c r="C50" s="115" t="s">
        <v>2354</v>
      </c>
      <c r="D50" s="105" t="s">
        <v>225</v>
      </c>
      <c r="E50" s="102">
        <v>207</v>
      </c>
      <c r="F50" s="103">
        <v>451</v>
      </c>
      <c r="G50" s="103">
        <f t="shared" si="2"/>
        <v>93357</v>
      </c>
      <c r="I50" s="89">
        <f>SUM(E41:E50)</f>
        <v>8512</v>
      </c>
    </row>
    <row r="51" ht="21" customHeight="1" spans="2:7">
      <c r="B51" s="64"/>
      <c r="C51" s="65"/>
      <c r="D51" s="64"/>
      <c r="E51" s="107"/>
      <c r="F51" s="103"/>
      <c r="G51" s="103"/>
    </row>
    <row r="52" ht="59.25" customHeight="1" spans="2:7">
      <c r="B52" s="64" t="s">
        <v>2355</v>
      </c>
      <c r="C52" s="65" t="s">
        <v>2356</v>
      </c>
      <c r="D52" s="64"/>
      <c r="E52" s="102"/>
      <c r="F52" s="103"/>
      <c r="G52" s="103"/>
    </row>
    <row r="53" ht="10.5" customHeight="1" spans="2:7">
      <c r="B53" s="64"/>
      <c r="C53" s="65"/>
      <c r="D53" s="64"/>
      <c r="E53" s="107"/>
      <c r="F53" s="103"/>
      <c r="G53" s="103"/>
    </row>
    <row r="54" ht="18.75" customHeight="1" spans="2:7">
      <c r="B54" s="64" t="s">
        <v>2357</v>
      </c>
      <c r="C54" s="104" t="s">
        <v>960</v>
      </c>
      <c r="D54" s="105" t="s">
        <v>225</v>
      </c>
      <c r="E54" s="102">
        <v>327</v>
      </c>
      <c r="F54" s="103">
        <v>571</v>
      </c>
      <c r="G54" s="103">
        <f t="shared" ref="G54:G62" si="3">E54*F54</f>
        <v>186717</v>
      </c>
    </row>
    <row r="55" ht="18.75" customHeight="1" spans="2:7">
      <c r="B55" s="64" t="s">
        <v>2358</v>
      </c>
      <c r="C55" s="104" t="s">
        <v>1068</v>
      </c>
      <c r="D55" s="105" t="s">
        <v>225</v>
      </c>
      <c r="E55" s="102">
        <v>269</v>
      </c>
      <c r="F55" s="103">
        <v>571</v>
      </c>
      <c r="G55" s="103">
        <f t="shared" si="3"/>
        <v>153599</v>
      </c>
    </row>
    <row r="56" ht="18.75" customHeight="1" spans="2:7">
      <c r="B56" s="64" t="s">
        <v>2359</v>
      </c>
      <c r="C56" s="104" t="s">
        <v>1070</v>
      </c>
      <c r="D56" s="105" t="s">
        <v>225</v>
      </c>
      <c r="E56" s="102">
        <v>942</v>
      </c>
      <c r="F56" s="103">
        <v>582</v>
      </c>
      <c r="G56" s="103">
        <f t="shared" si="3"/>
        <v>548244</v>
      </c>
    </row>
    <row r="57" ht="18.75" customHeight="1" spans="2:7">
      <c r="B57" s="64" t="s">
        <v>2360</v>
      </c>
      <c r="C57" s="104" t="s">
        <v>1072</v>
      </c>
      <c r="D57" s="105" t="s">
        <v>225</v>
      </c>
      <c r="E57" s="102">
        <v>173</v>
      </c>
      <c r="F57" s="103">
        <v>594</v>
      </c>
      <c r="G57" s="103">
        <f t="shared" si="3"/>
        <v>102762</v>
      </c>
    </row>
    <row r="58" ht="18.75" customHeight="1" spans="2:7">
      <c r="B58" s="64" t="s">
        <v>2361</v>
      </c>
      <c r="C58" s="104" t="s">
        <v>1074</v>
      </c>
      <c r="D58" s="105" t="s">
        <v>225</v>
      </c>
      <c r="E58" s="102">
        <v>419</v>
      </c>
      <c r="F58" s="103">
        <v>605</v>
      </c>
      <c r="G58" s="103">
        <f t="shared" si="3"/>
        <v>253495</v>
      </c>
    </row>
    <row r="59" ht="18.75" customHeight="1" spans="2:7">
      <c r="B59" s="64" t="s">
        <v>2362</v>
      </c>
      <c r="C59" s="104" t="s">
        <v>1078</v>
      </c>
      <c r="D59" s="105" t="s">
        <v>225</v>
      </c>
      <c r="E59" s="102">
        <v>360</v>
      </c>
      <c r="F59" s="103">
        <v>628</v>
      </c>
      <c r="G59" s="103">
        <f t="shared" si="3"/>
        <v>226080</v>
      </c>
    </row>
    <row r="60" ht="18.75" customHeight="1" spans="2:7">
      <c r="B60" s="64" t="s">
        <v>2363</v>
      </c>
      <c r="C60" s="104" t="s">
        <v>1080</v>
      </c>
      <c r="D60" s="105" t="s">
        <v>225</v>
      </c>
      <c r="E60" s="102">
        <v>227</v>
      </c>
      <c r="F60" s="103">
        <v>640</v>
      </c>
      <c r="G60" s="103">
        <f t="shared" si="3"/>
        <v>145280</v>
      </c>
    </row>
    <row r="61" ht="18.75" customHeight="1" spans="2:7">
      <c r="B61" s="64" t="s">
        <v>2364</v>
      </c>
      <c r="C61" s="104" t="s">
        <v>1082</v>
      </c>
      <c r="D61" s="105" t="s">
        <v>225</v>
      </c>
      <c r="E61" s="102">
        <v>232</v>
      </c>
      <c r="F61" s="103">
        <v>651</v>
      </c>
      <c r="G61" s="103">
        <f t="shared" si="3"/>
        <v>151032</v>
      </c>
    </row>
    <row r="62" ht="18.75" customHeight="1" spans="2:9">
      <c r="B62" s="64" t="s">
        <v>2365</v>
      </c>
      <c r="C62" s="104" t="s">
        <v>1084</v>
      </c>
      <c r="D62" s="105" t="s">
        <v>225</v>
      </c>
      <c r="E62" s="102">
        <v>316</v>
      </c>
      <c r="F62" s="103">
        <v>662</v>
      </c>
      <c r="G62" s="103">
        <f t="shared" si="3"/>
        <v>209192</v>
      </c>
      <c r="I62" s="89">
        <f>SUM(E54:E62)</f>
        <v>3265</v>
      </c>
    </row>
    <row r="63" ht="22.5" customHeight="1" spans="2:7">
      <c r="B63" s="64"/>
      <c r="C63" s="65"/>
      <c r="D63" s="64"/>
      <c r="E63" s="107"/>
      <c r="F63" s="103"/>
      <c r="G63" s="103"/>
    </row>
    <row r="64" spans="2:7">
      <c r="B64" s="41"/>
      <c r="C64" s="42"/>
      <c r="D64" s="41"/>
      <c r="E64" s="116"/>
      <c r="F64" s="103"/>
      <c r="G64" s="103"/>
    </row>
    <row r="65" s="1" customFormat="1" ht="22.5" customHeight="1" spans="2:7">
      <c r="B65" s="43"/>
      <c r="C65" s="44" t="s">
        <v>2366</v>
      </c>
      <c r="D65" s="43"/>
      <c r="E65" s="117"/>
      <c r="F65" s="118" t="s">
        <v>1032</v>
      </c>
      <c r="G65" s="119">
        <f>SUM(G9:G64)</f>
        <v>34677025</v>
      </c>
    </row>
    <row r="66" ht="15.15" spans="2:7">
      <c r="B66" s="83"/>
      <c r="C66" s="120"/>
      <c r="D66" s="121"/>
      <c r="E66" s="122"/>
      <c r="F66" s="123"/>
      <c r="G66" s="123"/>
    </row>
    <row r="67" spans="2:5">
      <c r="B67" s="124"/>
      <c r="C67" s="125"/>
      <c r="D67" s="3"/>
      <c r="E67" s="126"/>
    </row>
    <row r="68" spans="2:5">
      <c r="B68" s="124"/>
      <c r="C68" s="125"/>
      <c r="D68" s="3"/>
      <c r="E68" s="126"/>
    </row>
  </sheetData>
  <mergeCells count="4">
    <mergeCell ref="B2:G2"/>
    <mergeCell ref="B3:G3"/>
    <mergeCell ref="B4:C4"/>
    <mergeCell ref="D4:G4"/>
  </mergeCells>
  <pageMargins left="0.85" right="0.13" top="0.35" bottom="0.3" header="0.3" footer="0.15"/>
  <pageSetup paperSize="9" scale="94" firstPageNumber="93" orientation="portrait" useFirstPageNumber="1"/>
  <headerFooter>
    <oddFooter>&amp;C&amp;P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B2:Q107"/>
  <sheetViews>
    <sheetView view="pageBreakPreview" zoomScaleNormal="100" workbookViewId="0">
      <selection activeCell="F41" sqref="F41"/>
    </sheetView>
  </sheetViews>
  <sheetFormatPr defaultColWidth="10.287037037037" defaultRowHeight="14.4"/>
  <cols>
    <col min="1" max="1" width="9.13888888888889" style="2" customWidth="1"/>
    <col min="2" max="2" width="11.5740740740741" style="3" customWidth="1"/>
    <col min="3" max="3" width="40.5740740740741" style="2" customWidth="1"/>
    <col min="4" max="4" width="7" style="4" customWidth="1"/>
    <col min="5" max="5" width="11.8518518518519" style="52" customWidth="1"/>
    <col min="6" max="6" width="12.8518518518519" style="4" customWidth="1"/>
    <col min="7" max="7" width="16.4259259259259" style="4" customWidth="1"/>
    <col min="8" max="8" width="9.13888888888889" style="2"/>
    <col min="9" max="9" width="16" style="2" customWidth="1"/>
    <col min="10" max="10" width="20.4259259259259" style="2" customWidth="1"/>
    <col min="11" max="11" width="16.8518518518519" style="2" customWidth="1"/>
    <col min="12" max="16384" width="10.287037037037" style="2"/>
  </cols>
  <sheetData>
    <row r="2" ht="21" customHeight="1" spans="2:8">
      <c r="B2" s="5" t="s">
        <v>20</v>
      </c>
      <c r="C2" s="5"/>
      <c r="D2" s="5"/>
      <c r="E2" s="5"/>
      <c r="F2" s="5"/>
      <c r="G2" s="5"/>
      <c r="H2" s="53"/>
    </row>
    <row r="3" ht="21" customHeight="1" spans="2:8">
      <c r="B3" s="7" t="s">
        <v>37</v>
      </c>
      <c r="C3" s="7"/>
      <c r="D3" s="7"/>
      <c r="E3" s="7"/>
      <c r="F3" s="7"/>
      <c r="G3" s="7"/>
      <c r="H3" s="54"/>
    </row>
    <row r="4" ht="22.5" customHeight="1" spans="2:8">
      <c r="B4" s="55" t="str">
        <f>[2]Painting!A3</f>
        <v>BILL OF QUANTITIES</v>
      </c>
      <c r="C4" s="55"/>
      <c r="D4" s="55" t="s">
        <v>2367</v>
      </c>
      <c r="E4" s="55"/>
      <c r="F4" s="55"/>
      <c r="G4" s="55"/>
      <c r="H4" s="54"/>
    </row>
    <row r="5" ht="22.5" customHeight="1" spans="2:7">
      <c r="B5" s="11" t="s">
        <v>155</v>
      </c>
      <c r="C5" s="11" t="s">
        <v>2</v>
      </c>
      <c r="D5" s="12" t="s">
        <v>156</v>
      </c>
      <c r="E5" s="56" t="s">
        <v>1557</v>
      </c>
      <c r="F5" s="13" t="s">
        <v>2368</v>
      </c>
      <c r="G5" s="14" t="s">
        <v>159</v>
      </c>
    </row>
    <row r="6" spans="2:7">
      <c r="B6" s="57"/>
      <c r="C6" s="16"/>
      <c r="D6" s="16"/>
      <c r="E6" s="58"/>
      <c r="F6" s="17"/>
      <c r="G6" s="17"/>
    </row>
    <row r="7" spans="2:7">
      <c r="B7" s="59"/>
      <c r="C7" s="19" t="s">
        <v>2369</v>
      </c>
      <c r="D7" s="20"/>
      <c r="E7" s="60"/>
      <c r="F7" s="21"/>
      <c r="G7" s="21"/>
    </row>
    <row r="8" spans="2:7">
      <c r="B8" s="59"/>
      <c r="C8" s="61"/>
      <c r="D8" s="20"/>
      <c r="E8" s="60"/>
      <c r="F8" s="21"/>
      <c r="G8" s="21"/>
    </row>
    <row r="9" ht="57" customHeight="1" spans="2:7">
      <c r="B9" s="59" t="s">
        <v>2370</v>
      </c>
      <c r="C9" s="26" t="s">
        <v>2371</v>
      </c>
      <c r="D9" s="27" t="s">
        <v>205</v>
      </c>
      <c r="E9" s="62">
        <v>273</v>
      </c>
      <c r="F9" s="63">
        <v>1169</v>
      </c>
      <c r="G9" s="29">
        <f>F9*E9</f>
        <v>319137</v>
      </c>
    </row>
    <row r="10" ht="13.5" customHeight="1" spans="2:7">
      <c r="B10" s="59"/>
      <c r="C10" s="61"/>
      <c r="D10" s="64"/>
      <c r="E10" s="60"/>
      <c r="F10" s="21"/>
      <c r="G10" s="21"/>
    </row>
    <row r="11" ht="67.5" customHeight="1" spans="2:7">
      <c r="B11" s="59" t="s">
        <v>2372</v>
      </c>
      <c r="C11" s="26" t="s">
        <v>2373</v>
      </c>
      <c r="D11" s="27"/>
      <c r="E11" s="62"/>
      <c r="F11" s="21"/>
      <c r="G11" s="29"/>
    </row>
    <row r="12" ht="12" customHeight="1" spans="2:7">
      <c r="B12" s="59"/>
      <c r="C12" s="61"/>
      <c r="D12" s="64"/>
      <c r="E12" s="60"/>
      <c r="F12" s="21"/>
      <c r="G12" s="21"/>
    </row>
    <row r="13" ht="18.75" customHeight="1" spans="2:17">
      <c r="B13" s="59" t="s">
        <v>2374</v>
      </c>
      <c r="C13" s="65" t="s">
        <v>991</v>
      </c>
      <c r="D13" s="64" t="s">
        <v>205</v>
      </c>
      <c r="E13" s="62">
        <v>91</v>
      </c>
      <c r="F13" s="63">
        <v>1296</v>
      </c>
      <c r="G13" s="29">
        <f t="shared" ref="G13:G18" si="0">F13*E13</f>
        <v>117936</v>
      </c>
      <c r="Q13" s="2">
        <v>0</v>
      </c>
    </row>
    <row r="14" ht="18.75" customHeight="1" spans="2:9">
      <c r="B14" s="59" t="s">
        <v>2375</v>
      </c>
      <c r="C14" s="65" t="s">
        <v>993</v>
      </c>
      <c r="D14" s="66" t="s">
        <v>205</v>
      </c>
      <c r="E14" s="62">
        <v>70</v>
      </c>
      <c r="F14" s="63">
        <v>1322</v>
      </c>
      <c r="G14" s="29">
        <f t="shared" si="0"/>
        <v>92540</v>
      </c>
      <c r="I14" s="78" t="s">
        <v>579</v>
      </c>
    </row>
    <row r="15" ht="18.75" customHeight="1" spans="2:9">
      <c r="B15" s="59" t="s">
        <v>2376</v>
      </c>
      <c r="C15" s="65" t="s">
        <v>995</v>
      </c>
      <c r="D15" s="66" t="s">
        <v>205</v>
      </c>
      <c r="E15" s="62">
        <v>154</v>
      </c>
      <c r="F15" s="63">
        <v>1348</v>
      </c>
      <c r="G15" s="29">
        <f t="shared" si="0"/>
        <v>207592</v>
      </c>
      <c r="I15" s="78" t="s">
        <v>579</v>
      </c>
    </row>
    <row r="16" ht="18.75" customHeight="1" spans="2:16">
      <c r="B16" s="59" t="s">
        <v>2377</v>
      </c>
      <c r="C16" s="65" t="s">
        <v>997</v>
      </c>
      <c r="D16" s="66" t="s">
        <v>205</v>
      </c>
      <c r="E16" s="62">
        <v>98</v>
      </c>
      <c r="F16" s="63">
        <v>1374</v>
      </c>
      <c r="G16" s="29">
        <f t="shared" si="0"/>
        <v>134652</v>
      </c>
      <c r="I16" s="78" t="s">
        <v>579</v>
      </c>
      <c r="P16" s="2">
        <v>3</v>
      </c>
    </row>
    <row r="17" ht="18.75" customHeight="1" spans="2:9">
      <c r="B17" s="59" t="s">
        <v>2378</v>
      </c>
      <c r="C17" s="65" t="s">
        <v>999</v>
      </c>
      <c r="D17" s="66" t="s">
        <v>205</v>
      </c>
      <c r="E17" s="62">
        <v>210</v>
      </c>
      <c r="F17" s="63">
        <v>1452</v>
      </c>
      <c r="G17" s="29">
        <f t="shared" si="0"/>
        <v>304920</v>
      </c>
      <c r="I17" s="78" t="s">
        <v>579</v>
      </c>
    </row>
    <row r="18" ht="18.75" customHeight="1" spans="2:9">
      <c r="B18" s="59" t="s">
        <v>2379</v>
      </c>
      <c r="C18" s="65" t="s">
        <v>1001</v>
      </c>
      <c r="D18" s="66" t="s">
        <v>205</v>
      </c>
      <c r="E18" s="62">
        <v>133</v>
      </c>
      <c r="F18" s="63">
        <v>1529</v>
      </c>
      <c r="G18" s="29">
        <f t="shared" si="0"/>
        <v>203357</v>
      </c>
      <c r="I18" s="78" t="s">
        <v>579</v>
      </c>
    </row>
    <row r="19" ht="27" customHeight="1" spans="2:7">
      <c r="B19" s="64"/>
      <c r="C19" s="65"/>
      <c r="D19" s="64"/>
      <c r="E19" s="62"/>
      <c r="F19" s="21"/>
      <c r="G19" s="29"/>
    </row>
    <row r="20" ht="70.5" customHeight="1" spans="2:7">
      <c r="B20" s="59" t="s">
        <v>2380</v>
      </c>
      <c r="C20" s="26" t="s">
        <v>2381</v>
      </c>
      <c r="D20" s="27" t="s">
        <v>205</v>
      </c>
      <c r="E20" s="62">
        <v>575</v>
      </c>
      <c r="F20" s="63">
        <v>1355</v>
      </c>
      <c r="G20" s="29">
        <f>F20*E20</f>
        <v>779125</v>
      </c>
    </row>
    <row r="21" ht="6.75" customHeight="1" spans="2:7">
      <c r="B21" s="59"/>
      <c r="C21" s="22"/>
      <c r="D21" s="64"/>
      <c r="E21" s="60"/>
      <c r="F21" s="21"/>
      <c r="G21" s="21"/>
    </row>
    <row r="22" ht="18.75" customHeight="1" spans="2:7">
      <c r="B22" s="59" t="s">
        <v>2382</v>
      </c>
      <c r="C22" s="22" t="s">
        <v>2383</v>
      </c>
      <c r="D22" s="27" t="s">
        <v>205</v>
      </c>
      <c r="E22" s="62">
        <v>200</v>
      </c>
      <c r="F22" s="63">
        <v>1513</v>
      </c>
      <c r="G22" s="29">
        <f>F22*E22</f>
        <v>302600</v>
      </c>
    </row>
    <row r="23" ht="18.75" customHeight="1" spans="2:7">
      <c r="B23" s="59" t="s">
        <v>2384</v>
      </c>
      <c r="C23" s="22" t="s">
        <v>2385</v>
      </c>
      <c r="D23" s="27" t="s">
        <v>205</v>
      </c>
      <c r="E23" s="62">
        <v>200</v>
      </c>
      <c r="F23" s="63">
        <v>2839</v>
      </c>
      <c r="G23" s="29">
        <f>F23*E23</f>
        <v>567800</v>
      </c>
    </row>
    <row r="24" ht="20.25" customHeight="1" spans="2:7">
      <c r="B24" s="64"/>
      <c r="C24" s="22"/>
      <c r="D24" s="64"/>
      <c r="E24" s="60"/>
      <c r="F24" s="21"/>
      <c r="G24" s="21"/>
    </row>
    <row r="25" ht="71.25" customHeight="1" spans="2:7">
      <c r="B25" s="59" t="s">
        <v>2386</v>
      </c>
      <c r="C25" s="26" t="s">
        <v>2387</v>
      </c>
      <c r="D25" s="27" t="s">
        <v>205</v>
      </c>
      <c r="E25" s="62">
        <v>780</v>
      </c>
      <c r="F25" s="63">
        <v>2747</v>
      </c>
      <c r="G25" s="29">
        <f>F25*E25</f>
        <v>2142660</v>
      </c>
    </row>
    <row r="26" ht="18" customHeight="1" spans="2:7">
      <c r="B26" s="59"/>
      <c r="C26" s="22"/>
      <c r="D26" s="64"/>
      <c r="E26" s="60"/>
      <c r="F26" s="60"/>
      <c r="G26" s="21"/>
    </row>
    <row r="27" ht="30" customHeight="1" spans="2:7">
      <c r="B27" s="59" t="s">
        <v>2388</v>
      </c>
      <c r="C27" s="22" t="s">
        <v>2389</v>
      </c>
      <c r="D27" s="27" t="s">
        <v>205</v>
      </c>
      <c r="E27" s="62">
        <v>115</v>
      </c>
      <c r="F27" s="63">
        <v>3948</v>
      </c>
      <c r="G27" s="29">
        <f>F27*E27</f>
        <v>454020</v>
      </c>
    </row>
    <row r="28" ht="17.25" customHeight="1" spans="2:7">
      <c r="B28" s="59"/>
      <c r="C28" s="22"/>
      <c r="D28" s="64"/>
      <c r="E28" s="60"/>
      <c r="F28" s="60"/>
      <c r="G28" s="21"/>
    </row>
    <row r="29" ht="30" customHeight="1" spans="2:7">
      <c r="B29" s="59" t="s">
        <v>2390</v>
      </c>
      <c r="C29" s="22" t="s">
        <v>2391</v>
      </c>
      <c r="D29" s="27" t="s">
        <v>205</v>
      </c>
      <c r="E29" s="62">
        <v>115</v>
      </c>
      <c r="F29" s="63">
        <v>5554</v>
      </c>
      <c r="G29" s="29">
        <f>F29*E29</f>
        <v>638710</v>
      </c>
    </row>
    <row r="30" ht="17.25" customHeight="1" spans="2:7">
      <c r="B30" s="59"/>
      <c r="C30" s="22"/>
      <c r="D30" s="64"/>
      <c r="E30" s="60"/>
      <c r="F30" s="60"/>
      <c r="G30" s="21"/>
    </row>
    <row r="31" ht="32.25" customHeight="1" spans="2:7">
      <c r="B31" s="59" t="s">
        <v>2392</v>
      </c>
      <c r="C31" s="22" t="s">
        <v>2393</v>
      </c>
      <c r="D31" s="27" t="s">
        <v>205</v>
      </c>
      <c r="E31" s="62">
        <v>80</v>
      </c>
      <c r="F31" s="63">
        <v>8151</v>
      </c>
      <c r="G31" s="29">
        <f>F31*E31</f>
        <v>652080</v>
      </c>
    </row>
    <row r="32" ht="17.25" customHeight="1" spans="2:7">
      <c r="B32" s="64"/>
      <c r="C32" s="26"/>
      <c r="D32" s="64"/>
      <c r="E32" s="60"/>
      <c r="F32" s="60"/>
      <c r="G32" s="21"/>
    </row>
    <row r="33" ht="63.75" customHeight="1" spans="2:7">
      <c r="B33" s="67" t="s">
        <v>2394</v>
      </c>
      <c r="C33" s="31" t="s">
        <v>2395</v>
      </c>
      <c r="D33" s="32" t="s">
        <v>205</v>
      </c>
      <c r="E33" s="68">
        <v>158</v>
      </c>
      <c r="F33" s="69">
        <v>7711</v>
      </c>
      <c r="G33" s="70">
        <f>F33*E33</f>
        <v>1218338</v>
      </c>
    </row>
    <row r="34" spans="2:7">
      <c r="B34" s="59"/>
      <c r="C34" s="22"/>
      <c r="D34" s="64"/>
      <c r="E34" s="60"/>
      <c r="F34" s="21"/>
      <c r="G34" s="21"/>
    </row>
    <row r="35" ht="21" customHeight="1" spans="2:7">
      <c r="B35" s="59" t="s">
        <v>2396</v>
      </c>
      <c r="C35" s="71" t="s">
        <v>284</v>
      </c>
      <c r="D35" s="64"/>
      <c r="E35" s="60"/>
      <c r="F35" s="21"/>
      <c r="G35" s="21"/>
    </row>
    <row r="36" ht="18.75" customHeight="1" spans="2:7">
      <c r="B36" s="64"/>
      <c r="C36" s="71" t="s">
        <v>2397</v>
      </c>
      <c r="D36" s="64"/>
      <c r="E36" s="60"/>
      <c r="F36" s="21"/>
      <c r="G36" s="21"/>
    </row>
    <row r="37" ht="60" customHeight="1" spans="2:7">
      <c r="B37" s="59" t="s">
        <v>2398</v>
      </c>
      <c r="C37" s="26" t="s">
        <v>2399</v>
      </c>
      <c r="D37" s="64" t="s">
        <v>62</v>
      </c>
      <c r="E37" s="60">
        <v>1</v>
      </c>
      <c r="F37" s="21">
        <v>8142</v>
      </c>
      <c r="G37" s="29">
        <f>F37*E37</f>
        <v>8142</v>
      </c>
    </row>
    <row r="38" spans="2:7">
      <c r="B38" s="64"/>
      <c r="C38" s="26"/>
      <c r="D38" s="64"/>
      <c r="E38" s="60"/>
      <c r="F38" s="21"/>
      <c r="G38" s="21"/>
    </row>
    <row r="39" ht="45.75" customHeight="1" spans="2:7">
      <c r="B39" s="59" t="s">
        <v>2400</v>
      </c>
      <c r="C39" s="26" t="s">
        <v>2401</v>
      </c>
      <c r="D39" s="64" t="s">
        <v>1500</v>
      </c>
      <c r="E39" s="60">
        <v>10</v>
      </c>
      <c r="F39" s="21">
        <v>1170</v>
      </c>
      <c r="G39" s="29">
        <f>F39*E39</f>
        <v>11700</v>
      </c>
    </row>
    <row r="40" spans="2:7">
      <c r="B40" s="64"/>
      <c r="C40" s="26"/>
      <c r="D40" s="64"/>
      <c r="E40" s="60"/>
      <c r="F40" s="21"/>
      <c r="G40" s="21"/>
    </row>
    <row r="41" ht="32.25" customHeight="1" spans="2:7">
      <c r="B41" s="59" t="s">
        <v>2402</v>
      </c>
      <c r="C41" s="26" t="s">
        <v>2403</v>
      </c>
      <c r="D41" s="64" t="s">
        <v>205</v>
      </c>
      <c r="E41" s="60">
        <v>56</v>
      </c>
      <c r="F41" s="21">
        <v>6298</v>
      </c>
      <c r="G41" s="29">
        <f>F41*E41</f>
        <v>352688</v>
      </c>
    </row>
    <row r="42" ht="12" customHeight="1" spans="2:7">
      <c r="B42" s="64"/>
      <c r="C42" s="26"/>
      <c r="D42" s="64"/>
      <c r="E42" s="60"/>
      <c r="F42" s="21"/>
      <c r="G42" s="21"/>
    </row>
    <row r="43" s="1" customFormat="1" ht="21" customHeight="1" spans="2:7">
      <c r="B43" s="72" t="s">
        <v>2404</v>
      </c>
      <c r="C43" s="73" t="s">
        <v>567</v>
      </c>
      <c r="D43" s="74"/>
      <c r="E43" s="75"/>
      <c r="F43" s="76"/>
      <c r="G43" s="76"/>
    </row>
    <row r="44" ht="6.75" customHeight="1" spans="2:7">
      <c r="B44" s="64"/>
      <c r="C44" s="77"/>
      <c r="D44" s="64"/>
      <c r="E44" s="60"/>
      <c r="F44" s="21"/>
      <c r="G44" s="21"/>
    </row>
    <row r="45" ht="55.5" customHeight="1" spans="2:7">
      <c r="B45" s="59" t="s">
        <v>2405</v>
      </c>
      <c r="C45" s="26" t="s">
        <v>2399</v>
      </c>
      <c r="D45" s="64" t="s">
        <v>62</v>
      </c>
      <c r="E45" s="60">
        <v>1</v>
      </c>
      <c r="F45" s="21">
        <v>8142</v>
      </c>
      <c r="G45" s="29">
        <f>F45*E45</f>
        <v>8142</v>
      </c>
    </row>
    <row r="46" spans="2:7">
      <c r="B46" s="64"/>
      <c r="C46" s="26"/>
      <c r="D46" s="64"/>
      <c r="E46" s="60"/>
      <c r="F46" s="21"/>
      <c r="G46" s="21"/>
    </row>
    <row r="47" ht="46.5" customHeight="1" spans="2:7">
      <c r="B47" s="59" t="s">
        <v>2406</v>
      </c>
      <c r="C47" s="26" t="s">
        <v>2407</v>
      </c>
      <c r="D47" s="64" t="s">
        <v>322</v>
      </c>
      <c r="E47" s="60">
        <v>8</v>
      </c>
      <c r="F47" s="21">
        <v>1170</v>
      </c>
      <c r="G47" s="29">
        <f>F47*E47</f>
        <v>9360</v>
      </c>
    </row>
    <row r="48" spans="2:7">
      <c r="B48" s="64"/>
      <c r="C48" s="26"/>
      <c r="D48" s="64"/>
      <c r="E48" s="60"/>
      <c r="F48" s="21"/>
      <c r="G48" s="21"/>
    </row>
    <row r="49" ht="32.25" customHeight="1" spans="2:7">
      <c r="B49" s="59" t="s">
        <v>2408</v>
      </c>
      <c r="C49" s="26" t="s">
        <v>2409</v>
      </c>
      <c r="D49" s="64" t="s">
        <v>205</v>
      </c>
      <c r="E49" s="60">
        <v>38</v>
      </c>
      <c r="F49" s="21">
        <v>6298</v>
      </c>
      <c r="G49" s="29">
        <f>F49*E49</f>
        <v>239324</v>
      </c>
    </row>
    <row r="50" spans="2:7">
      <c r="B50" s="64"/>
      <c r="C50" s="77"/>
      <c r="D50" s="64"/>
      <c r="E50" s="60"/>
      <c r="F50" s="21"/>
      <c r="G50" s="21"/>
    </row>
    <row r="51" ht="34.5" customHeight="1" spans="2:7">
      <c r="B51" s="59" t="s">
        <v>2410</v>
      </c>
      <c r="C51" s="26" t="s">
        <v>2411</v>
      </c>
      <c r="D51" s="64" t="s">
        <v>62</v>
      </c>
      <c r="E51" s="60">
        <v>1</v>
      </c>
      <c r="F51" s="63">
        <v>4705</v>
      </c>
      <c r="G51" s="29">
        <f>F51*E51</f>
        <v>4705</v>
      </c>
    </row>
    <row r="52" ht="17.25" customHeight="1" spans="2:7">
      <c r="B52" s="64"/>
      <c r="C52" s="77"/>
      <c r="D52" s="64"/>
      <c r="E52" s="60"/>
      <c r="F52" s="21"/>
      <c r="G52" s="21"/>
    </row>
    <row r="53" ht="19.5" customHeight="1" spans="2:7">
      <c r="B53" s="59" t="s">
        <v>2412</v>
      </c>
      <c r="C53" s="77" t="s">
        <v>2413</v>
      </c>
      <c r="D53" s="64"/>
      <c r="E53" s="60"/>
      <c r="F53" s="21"/>
      <c r="G53" s="21"/>
    </row>
    <row r="54" ht="81.75" customHeight="1" spans="2:7">
      <c r="B54" s="64"/>
      <c r="C54" s="26" t="s">
        <v>2414</v>
      </c>
      <c r="D54" s="64"/>
      <c r="E54" s="60"/>
      <c r="F54" s="21"/>
      <c r="G54" s="21"/>
    </row>
    <row r="55" ht="9.75" customHeight="1" spans="2:7">
      <c r="B55" s="64"/>
      <c r="C55" s="26"/>
      <c r="D55" s="64"/>
      <c r="E55" s="60"/>
      <c r="F55" s="21"/>
      <c r="G55" s="21"/>
    </row>
    <row r="56" ht="19.5" customHeight="1" spans="2:7">
      <c r="B56" s="59" t="s">
        <v>2415</v>
      </c>
      <c r="C56" s="77" t="s">
        <v>2416</v>
      </c>
      <c r="D56" s="64"/>
      <c r="E56" s="60"/>
      <c r="F56" s="21"/>
      <c r="G56" s="21"/>
    </row>
    <row r="57" ht="9" customHeight="1" spans="2:7">
      <c r="B57" s="59"/>
      <c r="C57" s="77"/>
      <c r="D57" s="64"/>
      <c r="E57" s="60"/>
      <c r="F57" s="21"/>
      <c r="G57" s="21"/>
    </row>
    <row r="58" ht="18.75" customHeight="1" spans="2:7">
      <c r="B58" s="59" t="s">
        <v>2417</v>
      </c>
      <c r="C58" s="26" t="s">
        <v>2418</v>
      </c>
      <c r="D58" s="64" t="s">
        <v>205</v>
      </c>
      <c r="E58" s="62">
        <v>417</v>
      </c>
      <c r="F58" s="21">
        <v>1521</v>
      </c>
      <c r="G58" s="29">
        <f t="shared" ref="G58:G67" si="1">F58*E58</f>
        <v>634257</v>
      </c>
    </row>
    <row r="59" ht="18.75" customHeight="1" spans="2:7">
      <c r="B59" s="59" t="s">
        <v>2419</v>
      </c>
      <c r="C59" s="26" t="s">
        <v>2420</v>
      </c>
      <c r="D59" s="64" t="s">
        <v>205</v>
      </c>
      <c r="E59" s="62">
        <v>430</v>
      </c>
      <c r="F59" s="21">
        <v>1521</v>
      </c>
      <c r="G59" s="29">
        <f t="shared" si="1"/>
        <v>654030</v>
      </c>
    </row>
    <row r="60" ht="18.75" customHeight="1" spans="2:7">
      <c r="B60" s="59" t="s">
        <v>2421</v>
      </c>
      <c r="C60" s="26" t="s">
        <v>2422</v>
      </c>
      <c r="D60" s="64" t="s">
        <v>205</v>
      </c>
      <c r="E60" s="62">
        <v>340</v>
      </c>
      <c r="F60" s="21">
        <v>1551</v>
      </c>
      <c r="G60" s="29">
        <f t="shared" si="1"/>
        <v>527340</v>
      </c>
    </row>
    <row r="61" ht="18.75" customHeight="1" spans="2:7">
      <c r="B61" s="59" t="s">
        <v>2423</v>
      </c>
      <c r="C61" s="26" t="s">
        <v>2424</v>
      </c>
      <c r="D61" s="64" t="s">
        <v>205</v>
      </c>
      <c r="E61" s="62">
        <v>410</v>
      </c>
      <c r="F61" s="21">
        <v>1582</v>
      </c>
      <c r="G61" s="29">
        <f t="shared" si="1"/>
        <v>648620</v>
      </c>
    </row>
    <row r="62" ht="18.75" customHeight="1" spans="2:7">
      <c r="B62" s="59" t="s">
        <v>2425</v>
      </c>
      <c r="C62" s="26" t="s">
        <v>2426</v>
      </c>
      <c r="D62" s="64" t="s">
        <v>205</v>
      </c>
      <c r="E62" s="62">
        <v>300</v>
      </c>
      <c r="F62" s="21">
        <v>1612</v>
      </c>
      <c r="G62" s="29">
        <f t="shared" si="1"/>
        <v>483600</v>
      </c>
    </row>
    <row r="63" ht="18.75" customHeight="1" spans="2:7">
      <c r="B63" s="59" t="s">
        <v>2427</v>
      </c>
      <c r="C63" s="26" t="s">
        <v>2428</v>
      </c>
      <c r="D63" s="64" t="s">
        <v>205</v>
      </c>
      <c r="E63" s="62">
        <v>360</v>
      </c>
      <c r="F63" s="21">
        <v>1643</v>
      </c>
      <c r="G63" s="29">
        <f t="shared" si="1"/>
        <v>591480</v>
      </c>
    </row>
    <row r="64" ht="18.75" customHeight="1" spans="2:7">
      <c r="B64" s="59" t="s">
        <v>2429</v>
      </c>
      <c r="C64" s="26" t="s">
        <v>2430</v>
      </c>
      <c r="D64" s="64" t="s">
        <v>205</v>
      </c>
      <c r="E64" s="62">
        <v>275</v>
      </c>
      <c r="F64" s="21">
        <v>1673</v>
      </c>
      <c r="G64" s="29">
        <f t="shared" si="1"/>
        <v>460075</v>
      </c>
    </row>
    <row r="65" ht="18.75" customHeight="1" spans="2:7">
      <c r="B65" s="59" t="s">
        <v>2431</v>
      </c>
      <c r="C65" s="26" t="s">
        <v>2432</v>
      </c>
      <c r="D65" s="64" t="s">
        <v>205</v>
      </c>
      <c r="E65" s="62">
        <v>180</v>
      </c>
      <c r="F65" s="21">
        <v>1704</v>
      </c>
      <c r="G65" s="29">
        <f t="shared" si="1"/>
        <v>306720</v>
      </c>
    </row>
    <row r="66" ht="18.75" customHeight="1" spans="2:7">
      <c r="B66" s="59" t="s">
        <v>2433</v>
      </c>
      <c r="C66" s="26" t="s">
        <v>2434</v>
      </c>
      <c r="D66" s="64" t="s">
        <v>205</v>
      </c>
      <c r="E66" s="62">
        <v>180</v>
      </c>
      <c r="F66" s="21">
        <v>1734</v>
      </c>
      <c r="G66" s="29">
        <f t="shared" si="1"/>
        <v>312120</v>
      </c>
    </row>
    <row r="67" ht="26.25" customHeight="1" spans="2:7">
      <c r="B67" s="67" t="s">
        <v>2435</v>
      </c>
      <c r="C67" s="31" t="s">
        <v>2436</v>
      </c>
      <c r="D67" s="79" t="s">
        <v>205</v>
      </c>
      <c r="E67" s="68">
        <v>200</v>
      </c>
      <c r="F67" s="34">
        <v>1764</v>
      </c>
      <c r="G67" s="70">
        <f t="shared" si="1"/>
        <v>352800</v>
      </c>
    </row>
    <row r="68" spans="2:7">
      <c r="B68" s="64"/>
      <c r="C68" s="26"/>
      <c r="D68" s="64"/>
      <c r="E68" s="62"/>
      <c r="F68" s="21"/>
      <c r="G68" s="29"/>
    </row>
    <row r="69" ht="31.5" customHeight="1" spans="2:7">
      <c r="B69" s="59" t="s">
        <v>2437</v>
      </c>
      <c r="C69" s="77" t="s">
        <v>2438</v>
      </c>
      <c r="D69" s="64"/>
      <c r="E69" s="60"/>
      <c r="F69" s="21"/>
      <c r="G69" s="21"/>
    </row>
    <row r="70" ht="6.75" customHeight="1" spans="2:7">
      <c r="B70" s="59"/>
      <c r="C70" s="77"/>
      <c r="D70" s="64"/>
      <c r="E70" s="60"/>
      <c r="F70" s="21"/>
      <c r="G70" s="21"/>
    </row>
    <row r="71" ht="18.75" customHeight="1" spans="2:7">
      <c r="B71" s="59" t="s">
        <v>2439</v>
      </c>
      <c r="C71" s="26" t="s">
        <v>2418</v>
      </c>
      <c r="D71" s="64" t="s">
        <v>2440</v>
      </c>
      <c r="E71" s="62">
        <v>12</v>
      </c>
      <c r="F71" s="21">
        <v>919</v>
      </c>
      <c r="G71" s="29">
        <f t="shared" ref="G71:G80" si="2">F71*E71</f>
        <v>11028</v>
      </c>
    </row>
    <row r="72" ht="18.75" customHeight="1" spans="2:7">
      <c r="B72" s="59" t="s">
        <v>2441</v>
      </c>
      <c r="C72" s="26" t="s">
        <v>2420</v>
      </c>
      <c r="D72" s="64" t="s">
        <v>2440</v>
      </c>
      <c r="E72" s="62">
        <v>68</v>
      </c>
      <c r="F72" s="21">
        <v>919</v>
      </c>
      <c r="G72" s="29">
        <f t="shared" si="2"/>
        <v>62492</v>
      </c>
    </row>
    <row r="73" ht="18.75" customHeight="1" spans="2:7">
      <c r="B73" s="59" t="s">
        <v>2442</v>
      </c>
      <c r="C73" s="26" t="s">
        <v>2422</v>
      </c>
      <c r="D73" s="64" t="s">
        <v>2440</v>
      </c>
      <c r="E73" s="62">
        <v>44</v>
      </c>
      <c r="F73" s="21">
        <v>937</v>
      </c>
      <c r="G73" s="29">
        <f t="shared" si="2"/>
        <v>41228</v>
      </c>
    </row>
    <row r="74" ht="18.75" customHeight="1" spans="2:7">
      <c r="B74" s="59" t="s">
        <v>2443</v>
      </c>
      <c r="C74" s="26" t="s">
        <v>2444</v>
      </c>
      <c r="D74" s="64" t="s">
        <v>2440</v>
      </c>
      <c r="E74" s="62">
        <v>1</v>
      </c>
      <c r="F74" s="21">
        <v>956</v>
      </c>
      <c r="G74" s="29">
        <f t="shared" si="2"/>
        <v>956</v>
      </c>
    </row>
    <row r="75" ht="18.75" customHeight="1" spans="2:7">
      <c r="B75" s="59" t="s">
        <v>2445</v>
      </c>
      <c r="C75" s="26" t="s">
        <v>2426</v>
      </c>
      <c r="D75" s="64" t="s">
        <v>2440</v>
      </c>
      <c r="E75" s="62">
        <v>1</v>
      </c>
      <c r="F75" s="21">
        <v>974</v>
      </c>
      <c r="G75" s="29">
        <f t="shared" si="2"/>
        <v>974</v>
      </c>
    </row>
    <row r="76" ht="18.75" customHeight="1" spans="2:7">
      <c r="B76" s="59" t="s">
        <v>2446</v>
      </c>
      <c r="C76" s="26" t="s">
        <v>2428</v>
      </c>
      <c r="D76" s="64" t="s">
        <v>2440</v>
      </c>
      <c r="E76" s="62">
        <v>1</v>
      </c>
      <c r="F76" s="21">
        <v>993</v>
      </c>
      <c r="G76" s="29">
        <f t="shared" si="2"/>
        <v>993</v>
      </c>
    </row>
    <row r="77" ht="18.75" customHeight="1" spans="2:7">
      <c r="B77" s="59" t="s">
        <v>2447</v>
      </c>
      <c r="C77" s="26" t="s">
        <v>2430</v>
      </c>
      <c r="D77" s="64" t="s">
        <v>2440</v>
      </c>
      <c r="E77" s="62">
        <v>1</v>
      </c>
      <c r="F77" s="21">
        <v>1011</v>
      </c>
      <c r="G77" s="29">
        <f t="shared" si="2"/>
        <v>1011</v>
      </c>
    </row>
    <row r="78" ht="18.75" customHeight="1" spans="2:7">
      <c r="B78" s="59" t="s">
        <v>2448</v>
      </c>
      <c r="C78" s="26" t="s">
        <v>2432</v>
      </c>
      <c r="D78" s="64" t="s">
        <v>2440</v>
      </c>
      <c r="E78" s="62">
        <v>1</v>
      </c>
      <c r="F78" s="21">
        <v>1029</v>
      </c>
      <c r="G78" s="29">
        <f t="shared" si="2"/>
        <v>1029</v>
      </c>
    </row>
    <row r="79" ht="18.75" customHeight="1" spans="2:7">
      <c r="B79" s="59" t="s">
        <v>2449</v>
      </c>
      <c r="C79" s="26" t="s">
        <v>2434</v>
      </c>
      <c r="D79" s="64" t="s">
        <v>2440</v>
      </c>
      <c r="E79" s="62">
        <v>1</v>
      </c>
      <c r="F79" s="21">
        <v>1048</v>
      </c>
      <c r="G79" s="29">
        <f t="shared" si="2"/>
        <v>1048</v>
      </c>
    </row>
    <row r="80" ht="18.75" customHeight="1" spans="2:7">
      <c r="B80" s="59" t="s">
        <v>2450</v>
      </c>
      <c r="C80" s="26" t="s">
        <v>2436</v>
      </c>
      <c r="D80" s="64" t="s">
        <v>2440</v>
      </c>
      <c r="E80" s="62">
        <v>1</v>
      </c>
      <c r="F80" s="21">
        <v>1066</v>
      </c>
      <c r="G80" s="29">
        <f t="shared" si="2"/>
        <v>1066</v>
      </c>
    </row>
    <row r="81" ht="18" customHeight="1" spans="2:7">
      <c r="B81" s="64"/>
      <c r="C81" s="26"/>
      <c r="D81" s="64"/>
      <c r="E81" s="62"/>
      <c r="F81" s="21"/>
      <c r="G81" s="29"/>
    </row>
    <row r="82" ht="21" customHeight="1" spans="2:7">
      <c r="B82" s="59" t="s">
        <v>2451</v>
      </c>
      <c r="C82" s="77" t="s">
        <v>2452</v>
      </c>
      <c r="D82" s="64"/>
      <c r="E82" s="62"/>
      <c r="F82" s="21"/>
      <c r="G82" s="29"/>
    </row>
    <row r="83" ht="11.25" customHeight="1" spans="2:7">
      <c r="B83" s="59"/>
      <c r="C83" s="77"/>
      <c r="D83" s="64"/>
      <c r="E83" s="62"/>
      <c r="F83" s="21"/>
      <c r="G83" s="29"/>
    </row>
    <row r="84" ht="18.75" customHeight="1" spans="2:7">
      <c r="B84" s="59" t="s">
        <v>2453</v>
      </c>
      <c r="C84" s="26" t="s">
        <v>2418</v>
      </c>
      <c r="D84" s="64" t="s">
        <v>2440</v>
      </c>
      <c r="E84" s="62">
        <v>20</v>
      </c>
      <c r="F84" s="21">
        <v>606</v>
      </c>
      <c r="G84" s="29">
        <f t="shared" ref="G84:G93" si="3">F84*E84</f>
        <v>12120</v>
      </c>
    </row>
    <row r="85" ht="18.75" customHeight="1" spans="2:7">
      <c r="B85" s="59" t="s">
        <v>2454</v>
      </c>
      <c r="C85" s="26" t="s">
        <v>2420</v>
      </c>
      <c r="D85" s="64" t="s">
        <v>2440</v>
      </c>
      <c r="E85" s="62">
        <v>50</v>
      </c>
      <c r="F85" s="21">
        <v>606</v>
      </c>
      <c r="G85" s="29">
        <f t="shared" si="3"/>
        <v>30300</v>
      </c>
    </row>
    <row r="86" ht="18.75" customHeight="1" spans="2:7">
      <c r="B86" s="59" t="s">
        <v>2455</v>
      </c>
      <c r="C86" s="26" t="s">
        <v>2422</v>
      </c>
      <c r="D86" s="64" t="s">
        <v>2440</v>
      </c>
      <c r="E86" s="62">
        <v>20</v>
      </c>
      <c r="F86" s="21">
        <v>618</v>
      </c>
      <c r="G86" s="29">
        <f t="shared" si="3"/>
        <v>12360</v>
      </c>
    </row>
    <row r="87" ht="18.75" customHeight="1" spans="2:7">
      <c r="B87" s="59" t="s">
        <v>2456</v>
      </c>
      <c r="C87" s="26" t="s">
        <v>2424</v>
      </c>
      <c r="D87" s="64" t="s">
        <v>2440</v>
      </c>
      <c r="E87" s="62">
        <v>40</v>
      </c>
      <c r="F87" s="21">
        <v>630</v>
      </c>
      <c r="G87" s="29">
        <f t="shared" si="3"/>
        <v>25200</v>
      </c>
    </row>
    <row r="88" ht="18.75" customHeight="1" spans="2:7">
      <c r="B88" s="59" t="s">
        <v>2457</v>
      </c>
      <c r="C88" s="26" t="s">
        <v>2426</v>
      </c>
      <c r="D88" s="64" t="s">
        <v>2440</v>
      </c>
      <c r="E88" s="62">
        <v>35</v>
      </c>
      <c r="F88" s="21">
        <v>642</v>
      </c>
      <c r="G88" s="29">
        <f t="shared" si="3"/>
        <v>22470</v>
      </c>
    </row>
    <row r="89" ht="18.75" customHeight="1" spans="2:7">
      <c r="B89" s="59" t="s">
        <v>2458</v>
      </c>
      <c r="C89" s="26" t="s">
        <v>2428</v>
      </c>
      <c r="D89" s="64" t="s">
        <v>2440</v>
      </c>
      <c r="E89" s="62">
        <v>35</v>
      </c>
      <c r="F89" s="21">
        <v>654</v>
      </c>
      <c r="G89" s="29">
        <f t="shared" si="3"/>
        <v>22890</v>
      </c>
    </row>
    <row r="90" ht="18.75" customHeight="1" spans="2:7">
      <c r="B90" s="59" t="s">
        <v>2459</v>
      </c>
      <c r="C90" s="26" t="s">
        <v>2430</v>
      </c>
      <c r="D90" s="64" t="s">
        <v>2440</v>
      </c>
      <c r="E90" s="62">
        <v>30</v>
      </c>
      <c r="F90" s="21">
        <v>667</v>
      </c>
      <c r="G90" s="29">
        <f t="shared" si="3"/>
        <v>20010</v>
      </c>
    </row>
    <row r="91" ht="18.75" customHeight="1" spans="2:7">
      <c r="B91" s="59" t="s">
        <v>2460</v>
      </c>
      <c r="C91" s="26" t="s">
        <v>2432</v>
      </c>
      <c r="D91" s="64" t="s">
        <v>2440</v>
      </c>
      <c r="E91" s="62">
        <v>14</v>
      </c>
      <c r="F91" s="21">
        <v>679</v>
      </c>
      <c r="G91" s="29">
        <f t="shared" si="3"/>
        <v>9506</v>
      </c>
    </row>
    <row r="92" ht="18.75" customHeight="1" spans="2:7">
      <c r="B92" s="59" t="s">
        <v>2461</v>
      </c>
      <c r="C92" s="26" t="s">
        <v>2434</v>
      </c>
      <c r="D92" s="64" t="s">
        <v>2440</v>
      </c>
      <c r="E92" s="62">
        <v>14</v>
      </c>
      <c r="F92" s="21">
        <v>691</v>
      </c>
      <c r="G92" s="29">
        <f t="shared" si="3"/>
        <v>9674</v>
      </c>
    </row>
    <row r="93" ht="18.75" customHeight="1" spans="2:9">
      <c r="B93" s="59" t="s">
        <v>2462</v>
      </c>
      <c r="C93" s="26" t="s">
        <v>2436</v>
      </c>
      <c r="D93" s="64" t="s">
        <v>2440</v>
      </c>
      <c r="E93" s="62">
        <v>23</v>
      </c>
      <c r="F93" s="21">
        <v>703</v>
      </c>
      <c r="G93" s="29">
        <f t="shared" si="3"/>
        <v>16169</v>
      </c>
      <c r="I93" s="89"/>
    </row>
    <row r="94" ht="20.25" customHeight="1" spans="2:7">
      <c r="B94" s="64"/>
      <c r="C94" s="26"/>
      <c r="D94" s="64"/>
      <c r="E94" s="62"/>
      <c r="F94" s="21"/>
      <c r="G94" s="29"/>
    </row>
    <row r="95" ht="19.5" customHeight="1" spans="2:7">
      <c r="B95" s="59" t="s">
        <v>2463</v>
      </c>
      <c r="C95" s="80" t="s">
        <v>2464</v>
      </c>
      <c r="D95" s="64"/>
      <c r="E95" s="62"/>
      <c r="F95" s="21"/>
      <c r="G95" s="29"/>
    </row>
    <row r="96" ht="30" customHeight="1" spans="2:7">
      <c r="B96" s="59" t="s">
        <v>2465</v>
      </c>
      <c r="C96" s="26" t="s">
        <v>2466</v>
      </c>
      <c r="D96" s="64"/>
      <c r="E96" s="62"/>
      <c r="F96" s="21"/>
      <c r="G96" s="29"/>
    </row>
    <row r="97" ht="11.25" customHeight="1" spans="2:7">
      <c r="B97" s="64"/>
      <c r="C97" s="26"/>
      <c r="D97" s="64"/>
      <c r="E97" s="62"/>
      <c r="F97" s="21"/>
      <c r="G97" s="29"/>
    </row>
    <row r="98" ht="19.5" customHeight="1" spans="2:7">
      <c r="B98" s="59" t="s">
        <v>2467</v>
      </c>
      <c r="C98" s="26" t="s">
        <v>2468</v>
      </c>
      <c r="D98" s="64" t="s">
        <v>225</v>
      </c>
      <c r="E98" s="62">
        <v>110</v>
      </c>
      <c r="F98" s="21">
        <v>3197</v>
      </c>
      <c r="G98" s="29">
        <f>F98*E98</f>
        <v>351670</v>
      </c>
    </row>
    <row r="99" ht="20.25" customHeight="1" spans="2:7">
      <c r="B99" s="59" t="s">
        <v>2469</v>
      </c>
      <c r="C99" s="26" t="s">
        <v>2470</v>
      </c>
      <c r="D99" s="64" t="s">
        <v>225</v>
      </c>
      <c r="E99" s="62">
        <v>98</v>
      </c>
      <c r="F99" s="21">
        <v>3197</v>
      </c>
      <c r="G99" s="29">
        <f>F99*E99</f>
        <v>313306</v>
      </c>
    </row>
    <row r="100" spans="2:7">
      <c r="B100" s="64"/>
      <c r="C100" s="26"/>
      <c r="D100" s="64"/>
      <c r="E100" s="62"/>
      <c r="F100" s="21"/>
      <c r="G100" s="29"/>
    </row>
    <row r="101" ht="21" customHeight="1" spans="2:7">
      <c r="B101" s="59" t="s">
        <v>2471</v>
      </c>
      <c r="C101" s="80" t="s">
        <v>2472</v>
      </c>
      <c r="D101" s="64"/>
      <c r="E101" s="62"/>
      <c r="F101" s="21"/>
      <c r="G101" s="29"/>
    </row>
    <row r="102" ht="57.75" customHeight="1" spans="2:7">
      <c r="B102" s="59" t="s">
        <v>2473</v>
      </c>
      <c r="C102" s="26" t="s">
        <v>2474</v>
      </c>
      <c r="D102" s="64"/>
      <c r="E102" s="62"/>
      <c r="F102" s="21"/>
      <c r="G102" s="29"/>
    </row>
    <row r="103" ht="9.75" customHeight="1" spans="2:7">
      <c r="B103" s="64"/>
      <c r="C103" s="26"/>
      <c r="D103" s="64"/>
      <c r="E103" s="62"/>
      <c r="F103" s="21"/>
      <c r="G103" s="29"/>
    </row>
    <row r="104" ht="20.25" customHeight="1" spans="2:7">
      <c r="B104" s="59" t="s">
        <v>2475</v>
      </c>
      <c r="C104" s="26" t="s">
        <v>2476</v>
      </c>
      <c r="D104" s="64" t="s">
        <v>205</v>
      </c>
      <c r="E104" s="62">
        <v>118</v>
      </c>
      <c r="F104" s="21">
        <v>6392</v>
      </c>
      <c r="G104" s="29">
        <f>F104*E104</f>
        <v>754256</v>
      </c>
    </row>
    <row r="105" spans="2:7">
      <c r="B105" s="64"/>
      <c r="C105" s="26"/>
      <c r="D105" s="64"/>
      <c r="E105" s="62"/>
      <c r="F105" s="21"/>
      <c r="G105" s="29"/>
    </row>
    <row r="106" ht="23.25" customHeight="1" spans="2:7">
      <c r="B106" s="64"/>
      <c r="C106" s="81" t="s">
        <v>2477</v>
      </c>
      <c r="D106" s="20"/>
      <c r="E106" s="60"/>
      <c r="F106" s="82" t="s">
        <v>1032</v>
      </c>
      <c r="G106" s="46">
        <f>SUM(G8:G105)</f>
        <v>15462326</v>
      </c>
    </row>
    <row r="107" ht="15.15" spans="2:7">
      <c r="B107" s="83"/>
      <c r="C107" s="84"/>
      <c r="D107" s="85"/>
      <c r="E107" s="86"/>
      <c r="F107" s="87"/>
      <c r="G107" s="88"/>
    </row>
  </sheetData>
  <mergeCells count="4">
    <mergeCell ref="B2:G2"/>
    <mergeCell ref="B3:G3"/>
    <mergeCell ref="B4:C4"/>
    <mergeCell ref="D4:G4"/>
  </mergeCells>
  <pageMargins left="0.8" right="0.25" top="0.75" bottom="0.5" header="0.3" footer="0.3"/>
  <pageSetup paperSize="9" scale="91" firstPageNumber="95" orientation="portrait" useFirstPageNumber="1"/>
  <headerFooter>
    <oddFooter>&amp;C&amp;P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2:H41"/>
  <sheetViews>
    <sheetView tabSelected="1" view="pageBreakPreview" zoomScaleNormal="100" topLeftCell="A24" workbookViewId="0">
      <selection activeCell="L9" sqref="L9"/>
    </sheetView>
  </sheetViews>
  <sheetFormatPr defaultColWidth="10.287037037037" defaultRowHeight="14.4" outlineLevelCol="7"/>
  <cols>
    <col min="1" max="1" width="10.287037037037" style="2"/>
    <col min="2" max="2" width="9.13888888888889" style="3"/>
    <col min="3" max="3" width="39.8518518518519" style="2" customWidth="1"/>
    <col min="4" max="4" width="6.57407407407407" style="4" customWidth="1"/>
    <col min="5" max="5" width="10.5740740740741" style="2" customWidth="1"/>
    <col min="6" max="7" width="16.712962962963" style="4" customWidth="1"/>
    <col min="8" max="16384" width="10.287037037037" style="2"/>
  </cols>
  <sheetData>
    <row r="2" s="1" customFormat="1" ht="22.5" customHeight="1" spans="2:8">
      <c r="B2" s="5" t="s">
        <v>20</v>
      </c>
      <c r="C2" s="5"/>
      <c r="D2" s="5"/>
      <c r="E2" s="5"/>
      <c r="F2" s="5"/>
      <c r="G2" s="5"/>
      <c r="H2" s="6"/>
    </row>
    <row r="3" s="1" customFormat="1" ht="22.5" customHeight="1" spans="2:8">
      <c r="B3" s="7" t="s">
        <v>37</v>
      </c>
      <c r="C3" s="7"/>
      <c r="D3" s="7"/>
      <c r="E3" s="7"/>
      <c r="F3" s="7"/>
      <c r="G3" s="7"/>
      <c r="H3" s="8"/>
    </row>
    <row r="4" s="1" customFormat="1" ht="22.5" customHeight="1" spans="2:8">
      <c r="B4" s="9" t="str">
        <f>W.proof!B4</f>
        <v>BILL OF QUANTITIES</v>
      </c>
      <c r="C4" s="9"/>
      <c r="D4" s="10" t="s">
        <v>2478</v>
      </c>
      <c r="E4" s="10"/>
      <c r="F4" s="10"/>
      <c r="G4" s="10"/>
      <c r="H4" s="8"/>
    </row>
    <row r="5" ht="49.5" customHeight="1" spans="2:7">
      <c r="B5" s="11" t="s">
        <v>155</v>
      </c>
      <c r="C5" s="11" t="s">
        <v>2</v>
      </c>
      <c r="D5" s="12" t="s">
        <v>156</v>
      </c>
      <c r="E5" s="13" t="s">
        <v>1557</v>
      </c>
      <c r="F5" s="14" t="s">
        <v>2479</v>
      </c>
      <c r="G5" s="14" t="s">
        <v>2480</v>
      </c>
    </row>
    <row r="6" spans="2:7">
      <c r="B6" s="15"/>
      <c r="C6" s="16"/>
      <c r="D6" s="16"/>
      <c r="E6" s="16"/>
      <c r="F6" s="17"/>
      <c r="G6" s="17"/>
    </row>
    <row r="7" spans="2:7">
      <c r="B7" s="18"/>
      <c r="C7" s="19" t="s">
        <v>2481</v>
      </c>
      <c r="D7" s="20"/>
      <c r="E7" s="20"/>
      <c r="F7" s="21"/>
      <c r="G7" s="21"/>
    </row>
    <row r="8" spans="2:7">
      <c r="B8" s="18"/>
      <c r="C8" s="22"/>
      <c r="D8" s="20"/>
      <c r="E8" s="20"/>
      <c r="F8" s="21"/>
      <c r="G8" s="21"/>
    </row>
    <row r="9" ht="49.5" customHeight="1" spans="2:7">
      <c r="B9" s="23"/>
      <c r="C9" s="24" t="s">
        <v>2482</v>
      </c>
      <c r="D9" s="20"/>
      <c r="E9" s="20"/>
      <c r="F9" s="21"/>
      <c r="G9" s="21"/>
    </row>
    <row r="10" ht="41.25" customHeight="1" spans="2:7">
      <c r="B10" s="18"/>
      <c r="C10" s="22" t="s">
        <v>2483</v>
      </c>
      <c r="D10" s="20"/>
      <c r="E10" s="20"/>
      <c r="F10" s="21"/>
      <c r="G10" s="21"/>
    </row>
    <row r="11" ht="65.25" customHeight="1" spans="2:7">
      <c r="B11" s="18"/>
      <c r="C11" s="22" t="s">
        <v>2484</v>
      </c>
      <c r="D11" s="20"/>
      <c r="E11" s="20"/>
      <c r="F11" s="21"/>
      <c r="G11" s="21"/>
    </row>
    <row r="12" ht="43.5" customHeight="1" spans="2:7">
      <c r="B12" s="18"/>
      <c r="C12" s="22" t="s">
        <v>2485</v>
      </c>
      <c r="D12" s="20"/>
      <c r="E12" s="20"/>
      <c r="F12" s="21"/>
      <c r="G12" s="21"/>
    </row>
    <row r="13" ht="61.5" customHeight="1" spans="2:7">
      <c r="B13" s="18"/>
      <c r="C13" s="22" t="s">
        <v>2486</v>
      </c>
      <c r="D13" s="20"/>
      <c r="E13" s="20"/>
      <c r="F13" s="21"/>
      <c r="G13" s="21"/>
    </row>
    <row r="14" ht="58.5" customHeight="1" spans="2:7">
      <c r="B14" s="18"/>
      <c r="C14" s="22" t="s">
        <v>2487</v>
      </c>
      <c r="D14" s="20"/>
      <c r="E14" s="20"/>
      <c r="F14" s="21"/>
      <c r="G14" s="21"/>
    </row>
    <row r="15" ht="54" customHeight="1" spans="2:7">
      <c r="B15" s="25"/>
      <c r="C15" s="22" t="s">
        <v>2488</v>
      </c>
      <c r="D15" s="20"/>
      <c r="E15" s="20"/>
      <c r="F15" s="21"/>
      <c r="G15" s="21"/>
    </row>
    <row r="16" spans="2:7">
      <c r="B16" s="18"/>
      <c r="C16" s="22"/>
      <c r="D16" s="20"/>
      <c r="E16" s="20"/>
      <c r="F16" s="21"/>
      <c r="G16" s="21"/>
    </row>
    <row r="17" ht="55.5" customHeight="1" spans="2:7">
      <c r="B17" s="18" t="s">
        <v>2489</v>
      </c>
      <c r="C17" s="26" t="s">
        <v>2490</v>
      </c>
      <c r="D17" s="27" t="s">
        <v>62</v>
      </c>
      <c r="E17" s="28" t="s">
        <v>212</v>
      </c>
      <c r="F17" s="29">
        <v>50000000</v>
      </c>
      <c r="G17" s="29"/>
    </row>
    <row r="18" ht="45" customHeight="1" spans="2:7">
      <c r="B18" s="18" t="s">
        <v>2491</v>
      </c>
      <c r="C18" s="22" t="s">
        <v>2492</v>
      </c>
      <c r="D18" s="27" t="s">
        <v>62</v>
      </c>
      <c r="E18" s="28"/>
      <c r="F18" s="29"/>
      <c r="G18" s="29">
        <f>F17*0.1</f>
        <v>5000000</v>
      </c>
    </row>
    <row r="19" ht="61.5" customHeight="1" spans="2:7">
      <c r="B19" s="18" t="s">
        <v>2493</v>
      </c>
      <c r="C19" s="26" t="s">
        <v>2494</v>
      </c>
      <c r="D19" s="27" t="s">
        <v>62</v>
      </c>
      <c r="E19" s="28" t="s">
        <v>212</v>
      </c>
      <c r="F19" s="21"/>
      <c r="G19" s="21">
        <f>F17*0.07</f>
        <v>3500000</v>
      </c>
    </row>
    <row r="20" ht="46.5" customHeight="1" spans="2:7">
      <c r="B20" s="18" t="s">
        <v>2495</v>
      </c>
      <c r="C20" s="26" t="s">
        <v>2496</v>
      </c>
      <c r="D20" s="27" t="s">
        <v>62</v>
      </c>
      <c r="E20" s="28" t="s">
        <v>212</v>
      </c>
      <c r="F20" s="29">
        <v>24000000</v>
      </c>
      <c r="G20" s="29"/>
    </row>
    <row r="21" ht="44.25" customHeight="1" spans="2:7">
      <c r="B21" s="18" t="s">
        <v>2497</v>
      </c>
      <c r="C21" s="22" t="s">
        <v>2498</v>
      </c>
      <c r="D21" s="27" t="s">
        <v>62</v>
      </c>
      <c r="E21" s="28"/>
      <c r="F21" s="29"/>
      <c r="G21" s="29">
        <f>F20*0.05</f>
        <v>1200000</v>
      </c>
    </row>
    <row r="22" ht="46.5" customHeight="1" spans="2:7">
      <c r="B22" s="30" t="s">
        <v>2499</v>
      </c>
      <c r="C22" s="31" t="s">
        <v>2494</v>
      </c>
      <c r="D22" s="32" t="s">
        <v>62</v>
      </c>
      <c r="E22" s="33" t="s">
        <v>212</v>
      </c>
      <c r="F22" s="34"/>
      <c r="G22" s="34">
        <f>F20*0.07</f>
        <v>1680000</v>
      </c>
    </row>
    <row r="23" ht="19.5" customHeight="1" spans="2:7">
      <c r="B23" s="35"/>
      <c r="C23" s="36"/>
      <c r="D23" s="37"/>
      <c r="E23" s="38"/>
      <c r="F23" s="17"/>
      <c r="G23" s="17"/>
    </row>
    <row r="24" ht="45" customHeight="1" spans="2:7">
      <c r="B24" s="18" t="s">
        <v>2500</v>
      </c>
      <c r="C24" s="26" t="s">
        <v>2501</v>
      </c>
      <c r="D24" s="27" t="s">
        <v>62</v>
      </c>
      <c r="E24" s="28" t="s">
        <v>212</v>
      </c>
      <c r="F24" s="29">
        <v>18000000</v>
      </c>
      <c r="G24" s="29"/>
    </row>
    <row r="25" ht="42.75" customHeight="1" spans="2:7">
      <c r="B25" s="18" t="s">
        <v>2502</v>
      </c>
      <c r="C25" s="22" t="s">
        <v>2503</v>
      </c>
      <c r="D25" s="27" t="s">
        <v>62</v>
      </c>
      <c r="E25" s="28"/>
      <c r="F25" s="29"/>
      <c r="G25" s="29">
        <f>F24*0.08</f>
        <v>1440000</v>
      </c>
    </row>
    <row r="26" ht="56.25" customHeight="1" spans="2:7">
      <c r="B26" s="18" t="s">
        <v>2504</v>
      </c>
      <c r="C26" s="26" t="s">
        <v>2494</v>
      </c>
      <c r="D26" s="27" t="s">
        <v>62</v>
      </c>
      <c r="E26" s="28" t="s">
        <v>212</v>
      </c>
      <c r="F26" s="21"/>
      <c r="G26" s="21">
        <f>F24*0.07</f>
        <v>1260000</v>
      </c>
    </row>
    <row r="27" ht="43.5" customHeight="1" spans="2:7">
      <c r="B27" s="18" t="s">
        <v>2505</v>
      </c>
      <c r="C27" s="26" t="s">
        <v>2506</v>
      </c>
      <c r="D27" s="27" t="s">
        <v>62</v>
      </c>
      <c r="E27" s="28" t="s">
        <v>212</v>
      </c>
      <c r="F27" s="29">
        <v>15000000</v>
      </c>
      <c r="G27" s="29"/>
    </row>
    <row r="28" ht="39.75" customHeight="1" spans="2:7">
      <c r="B28" s="18" t="s">
        <v>2507</v>
      </c>
      <c r="C28" s="22" t="s">
        <v>2508</v>
      </c>
      <c r="D28" s="27" t="s">
        <v>62</v>
      </c>
      <c r="E28" s="28"/>
      <c r="F28" s="29"/>
      <c r="G28" s="29">
        <f>F27*0.08</f>
        <v>1200000</v>
      </c>
    </row>
    <row r="29" ht="56.25" customHeight="1" spans="2:7">
      <c r="B29" s="18" t="s">
        <v>2509</v>
      </c>
      <c r="C29" s="26" t="s">
        <v>2494</v>
      </c>
      <c r="D29" s="27" t="s">
        <v>62</v>
      </c>
      <c r="E29" s="28" t="s">
        <v>212</v>
      </c>
      <c r="F29" s="21"/>
      <c r="G29" s="21">
        <f>F27*0.07</f>
        <v>1050000</v>
      </c>
    </row>
    <row r="30" ht="45" customHeight="1" spans="2:7">
      <c r="B30" s="18" t="s">
        <v>2510</v>
      </c>
      <c r="C30" s="26" t="s">
        <v>2511</v>
      </c>
      <c r="D30" s="27" t="s">
        <v>62</v>
      </c>
      <c r="E30" s="28" t="s">
        <v>212</v>
      </c>
      <c r="F30" s="29">
        <v>75000000</v>
      </c>
      <c r="G30" s="29"/>
    </row>
    <row r="31" ht="42" customHeight="1" spans="2:7">
      <c r="B31" s="18" t="s">
        <v>2512</v>
      </c>
      <c r="C31" s="22" t="s">
        <v>2513</v>
      </c>
      <c r="D31" s="27" t="s">
        <v>62</v>
      </c>
      <c r="E31" s="28"/>
      <c r="F31" s="29"/>
      <c r="G31" s="29">
        <f>F30*0.1</f>
        <v>7500000</v>
      </c>
    </row>
    <row r="32" ht="57" customHeight="1" spans="2:7">
      <c r="B32" s="18" t="s">
        <v>2514</v>
      </c>
      <c r="C32" s="26" t="s">
        <v>2494</v>
      </c>
      <c r="D32" s="27" t="s">
        <v>62</v>
      </c>
      <c r="E32" s="28" t="s">
        <v>212</v>
      </c>
      <c r="F32" s="21"/>
      <c r="G32" s="21">
        <f>F30*0.07</f>
        <v>5250000</v>
      </c>
    </row>
    <row r="33" ht="48" customHeight="1" spans="2:7">
      <c r="B33" s="18" t="s">
        <v>2515</v>
      </c>
      <c r="C33" s="26" t="s">
        <v>2516</v>
      </c>
      <c r="D33" s="27" t="s">
        <v>62</v>
      </c>
      <c r="E33" s="28" t="s">
        <v>212</v>
      </c>
      <c r="F33" s="29">
        <v>29000000</v>
      </c>
      <c r="G33" s="29"/>
    </row>
    <row r="34" ht="43.5" customHeight="1" spans="2:7">
      <c r="B34" s="18" t="s">
        <v>2517</v>
      </c>
      <c r="C34" s="22" t="s">
        <v>2518</v>
      </c>
      <c r="D34" s="27" t="s">
        <v>62</v>
      </c>
      <c r="E34" s="28"/>
      <c r="F34" s="29"/>
      <c r="G34" s="29">
        <f>F33*0.05</f>
        <v>1450000</v>
      </c>
    </row>
    <row r="35" ht="47.25" customHeight="1" spans="2:7">
      <c r="B35" s="18" t="s">
        <v>2519</v>
      </c>
      <c r="C35" s="26" t="s">
        <v>2494</v>
      </c>
      <c r="D35" s="27" t="s">
        <v>62</v>
      </c>
      <c r="E35" s="28" t="s">
        <v>212</v>
      </c>
      <c r="F35" s="21"/>
      <c r="G35" s="21">
        <f>F33*0.07</f>
        <v>2030000</v>
      </c>
    </row>
    <row r="36" spans="2:7">
      <c r="B36" s="18"/>
      <c r="C36" s="39"/>
      <c r="D36" s="20"/>
      <c r="E36" s="20"/>
      <c r="F36" s="40"/>
      <c r="G36" s="21"/>
    </row>
    <row r="37" spans="2:7">
      <c r="B37" s="41"/>
      <c r="C37" s="42"/>
      <c r="D37" s="41"/>
      <c r="E37" s="41"/>
      <c r="F37" s="21"/>
      <c r="G37" s="21"/>
    </row>
    <row r="38" s="1" customFormat="1" ht="29.25" customHeight="1" spans="2:7">
      <c r="B38" s="43"/>
      <c r="C38" s="44" t="s">
        <v>2477</v>
      </c>
      <c r="D38" s="45"/>
      <c r="E38" s="45"/>
      <c r="F38" s="46">
        <v>211000000</v>
      </c>
      <c r="G38" s="46">
        <f>G19+G22+G26+G29+G32+G35</f>
        <v>14770000</v>
      </c>
    </row>
    <row r="39" ht="23.25" customHeight="1" spans="2:7">
      <c r="B39" s="47"/>
      <c r="C39" s="48"/>
      <c r="D39" s="49"/>
      <c r="E39" s="49"/>
      <c r="F39" s="50"/>
      <c r="G39" s="51">
        <f>G18+G21+G25+G28+G34+G31</f>
        <v>17790000</v>
      </c>
    </row>
    <row r="40" spans="7:7">
      <c r="G40" s="4">
        <f>SUM(G38:G39)</f>
        <v>32560000</v>
      </c>
    </row>
    <row r="41" spans="6:6">
      <c r="F41" s="4">
        <v>211000000</v>
      </c>
    </row>
  </sheetData>
  <mergeCells count="4">
    <mergeCell ref="B2:G2"/>
    <mergeCell ref="B3:G3"/>
    <mergeCell ref="B4:C4"/>
    <mergeCell ref="D4:G4"/>
  </mergeCells>
  <pageMargins left="0.85" right="0.15" top="0.35" bottom="0.3" header="0.3" footer="0.15"/>
  <pageSetup paperSize="9" scale="92" firstPageNumber="98" orientation="portrait" useFirstPageNumber="1"/>
  <headerFooter>
    <oddFooter>&amp;C&amp;P</oddFooter>
  </headerFooter>
  <rowBreaks count="1" manualBreakCount="1">
    <brk id="22" max="6" man="1"/>
  </rowBreak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G. SUM</vt:lpstr>
      <vt:lpstr>mode-pay</vt:lpstr>
      <vt:lpstr>prelem</vt:lpstr>
      <vt:lpstr>SUMMARY</vt:lpstr>
      <vt:lpstr>E.wk</vt:lpstr>
      <vt:lpstr>Concrete</vt:lpstr>
      <vt:lpstr>masonry</vt:lpstr>
      <vt:lpstr>W.proof</vt:lpstr>
      <vt:lpstr>Metal wk</vt:lpstr>
      <vt:lpstr>roofing</vt:lpstr>
      <vt:lpstr>Elec</vt:lpstr>
      <vt:lpstr>Finishes</vt:lpstr>
      <vt:lpstr>Painting</vt:lpstr>
      <vt:lpstr>miscell</vt:lpstr>
      <vt:lpstr>Money provision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SIDATH</dc:creator>
  <cp:lastModifiedBy>Dell</cp:lastModifiedBy>
  <dcterms:created xsi:type="dcterms:W3CDTF">2013-04-04T10:49:00Z</dcterms:created>
  <cp:lastPrinted>2018-01-14T12:43:00Z</cp:lastPrinted>
  <dcterms:modified xsi:type="dcterms:W3CDTF">2024-06-11T23:11:06Z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2985EE2F36FF40CB95A57647A8BA5958_12</vt:lpwstr>
  </property>
  <property fmtid="{D5CDD505-2E9C-101B-9397-08002B2CF9AE}" pid="3" name="KSOProductBuildVer">
    <vt:lpwstr>1033-12.2.0.16909</vt:lpwstr>
  </property>
</Properties>
</file>